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fileSharing readOnlyRecommended="1" userName="ALEXANDRE, LUISA" algorithmName="SHA-512" hashValue="Adf9lh9ReIucWlaaerszpKKTBJ1wqwczuUrc7Pxi/LtOOgKn18lrTzx/X3SDZIrlwuYvDSYptHSGSM48KU7dCQ==" saltValue="KG7kan4hwKZZufg2n+VohQ==" spinCount="10000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ufthansagroup-my.sharepoint.com/personal/luisa_alexandre_dlh_de/Documents/Desktop/"/>
    </mc:Choice>
  </mc:AlternateContent>
  <xr:revisionPtr revIDLastSave="0" documentId="13_ncr:10001_{991245FC-07BC-4015-BDEF-4EED57848F2D}" xr6:coauthVersionLast="47" xr6:coauthVersionMax="47" xr10:uidLastSave="{00000000-0000-0000-0000-000000000000}"/>
  <bookViews>
    <workbookView xWindow="28680" yWindow="-120" windowWidth="29040" windowHeight="15720" firstSheet="11" activeTab="11" xr2:uid="{00000000-000D-0000-FFFF-FFFF00000000}"/>
  </bookViews>
  <sheets>
    <sheet name="JAN" sheetId="86" r:id="rId1"/>
    <sheet name="FEB" sheetId="102" r:id="rId2"/>
    <sheet name="MAR" sheetId="103" r:id="rId3"/>
    <sheet name="APR" sheetId="113" r:id="rId4"/>
    <sheet name="MAY" sheetId="114" r:id="rId5"/>
    <sheet name="JUN" sheetId="115" r:id="rId6"/>
    <sheet name="JUL" sheetId="116" r:id="rId7"/>
    <sheet name="AUG" sheetId="118" r:id="rId8"/>
    <sheet name="SEP" sheetId="119" r:id="rId9"/>
    <sheet name="OCT" sheetId="121" r:id="rId10"/>
    <sheet name="NOV" sheetId="122" r:id="rId11"/>
    <sheet name="DEC" sheetId="12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1" i="122" l="1"/>
  <c r="AH5" i="122"/>
  <c r="AH6" i="122"/>
  <c r="AH7" i="122"/>
  <c r="AH8" i="122"/>
  <c r="AH9" i="122"/>
  <c r="AH10" i="122"/>
  <c r="AH4" i="122"/>
  <c r="AI11" i="121"/>
  <c r="AI4" i="121"/>
  <c r="AH11" i="119"/>
  <c r="AH5" i="119"/>
  <c r="AH6" i="119"/>
  <c r="AH7" i="119"/>
  <c r="AH8" i="119"/>
  <c r="AH9" i="119"/>
  <c r="AH10" i="119"/>
  <c r="AH4" i="119"/>
  <c r="AI11" i="118"/>
  <c r="AI4" i="118"/>
  <c r="AI11" i="116"/>
  <c r="AI4" i="116"/>
  <c r="AH11" i="115"/>
  <c r="AH5" i="115"/>
  <c r="AH6" i="115"/>
  <c r="AH7" i="115"/>
  <c r="AH8" i="115"/>
  <c r="AH9" i="115"/>
  <c r="AH10" i="115"/>
  <c r="AH4" i="115"/>
  <c r="AI11" i="114"/>
  <c r="AI5" i="114"/>
  <c r="AI6" i="114"/>
  <c r="AI7" i="114"/>
  <c r="AI8" i="114"/>
  <c r="AI9" i="114"/>
  <c r="AI10" i="114"/>
  <c r="AI4" i="114"/>
  <c r="AL11" i="113"/>
  <c r="AL4" i="113"/>
  <c r="AH11" i="113"/>
  <c r="AH4" i="113"/>
  <c r="AM11" i="103"/>
  <c r="AM5" i="103"/>
  <c r="AM6" i="103"/>
  <c r="AM7" i="103"/>
  <c r="AM8" i="103"/>
  <c r="AM9" i="103"/>
  <c r="AM10" i="103"/>
  <c r="AM4" i="103"/>
  <c r="AI5" i="103"/>
  <c r="AI6" i="103"/>
  <c r="AI7" i="103"/>
  <c r="AI8" i="103"/>
  <c r="AI9" i="103"/>
  <c r="AI10" i="103"/>
  <c r="AI11" i="103"/>
  <c r="AI4" i="103"/>
  <c r="AF11" i="102"/>
  <c r="AJ11" i="102"/>
  <c r="AJ4" i="102"/>
  <c r="AF4" i="102"/>
  <c r="AM10" i="86"/>
  <c r="AM4" i="86"/>
  <c r="AI4" i="86"/>
  <c r="AL10" i="113"/>
  <c r="AL5" i="113"/>
  <c r="AL6" i="113"/>
  <c r="AL7" i="113"/>
  <c r="AL8" i="113"/>
  <c r="AL9" i="113"/>
  <c r="AH5" i="113"/>
  <c r="AH6" i="113"/>
  <c r="AH7" i="113"/>
  <c r="AH8" i="113"/>
  <c r="AH9" i="113"/>
  <c r="AH10" i="113"/>
  <c r="AI11" i="123"/>
  <c r="AI10" i="123"/>
  <c r="AI9" i="123"/>
  <c r="AI8" i="123"/>
  <c r="AI7" i="123"/>
  <c r="AI6" i="123"/>
  <c r="AI5" i="123"/>
  <c r="AI4" i="123"/>
  <c r="AI10" i="121"/>
  <c r="AI9" i="121"/>
  <c r="AI8" i="121"/>
  <c r="AI7" i="121"/>
  <c r="AI6" i="121"/>
  <c r="AI5" i="121"/>
  <c r="AI10" i="118"/>
  <c r="AI9" i="118"/>
  <c r="AI8" i="118"/>
  <c r="AI7" i="118"/>
  <c r="AI6" i="118"/>
  <c r="AI5" i="118"/>
  <c r="AI10" i="116"/>
  <c r="AI9" i="116"/>
  <c r="AI8" i="116"/>
  <c r="AI7" i="116"/>
  <c r="AI6" i="116"/>
  <c r="AI5" i="116"/>
  <c r="AF14" i="86" l="1"/>
  <c r="AE14" i="86"/>
  <c r="AD14" i="86"/>
  <c r="AC14" i="86"/>
  <c r="AB14" i="86"/>
  <c r="AA14" i="86"/>
  <c r="Z14" i="86"/>
  <c r="Y14" i="86"/>
  <c r="X14" i="86"/>
  <c r="W14" i="86"/>
  <c r="V14" i="86"/>
  <c r="U14" i="86"/>
  <c r="T14" i="86"/>
  <c r="S14" i="86"/>
  <c r="R14" i="86"/>
  <c r="Q14" i="86"/>
  <c r="P14" i="86"/>
  <c r="O14" i="86"/>
  <c r="N14" i="86"/>
  <c r="M14" i="86"/>
  <c r="L14" i="86"/>
  <c r="K14" i="86"/>
  <c r="J14" i="86"/>
  <c r="I14" i="86"/>
  <c r="H14" i="86"/>
  <c r="G14" i="86"/>
  <c r="F14" i="86"/>
  <c r="E14" i="86"/>
  <c r="D14" i="86"/>
  <c r="C14" i="86"/>
  <c r="B14" i="86"/>
  <c r="AF13" i="86"/>
  <c r="AE13" i="86"/>
  <c r="AD13" i="86"/>
  <c r="AC13" i="86"/>
  <c r="AB13" i="86"/>
  <c r="AA13" i="86"/>
  <c r="Z13" i="86"/>
  <c r="Y13" i="86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H13" i="86"/>
  <c r="G13" i="86"/>
  <c r="F13" i="86"/>
  <c r="E13" i="86"/>
  <c r="D13" i="86"/>
  <c r="C13" i="86"/>
  <c r="B13" i="86"/>
  <c r="AC14" i="102"/>
  <c r="AB14" i="102"/>
  <c r="AA14" i="102"/>
  <c r="Z14" i="102"/>
  <c r="Y14" i="102"/>
  <c r="X14" i="102"/>
  <c r="W14" i="102"/>
  <c r="V14" i="102"/>
  <c r="U14" i="102"/>
  <c r="T14" i="102"/>
  <c r="S14" i="102"/>
  <c r="R14" i="102"/>
  <c r="Q14" i="102"/>
  <c r="P14" i="102"/>
  <c r="O14" i="102"/>
  <c r="N14" i="102"/>
  <c r="M14" i="102"/>
  <c r="L14" i="102"/>
  <c r="K14" i="102"/>
  <c r="J14" i="102"/>
  <c r="I14" i="102"/>
  <c r="H14" i="102"/>
  <c r="G14" i="102"/>
  <c r="F14" i="102"/>
  <c r="E14" i="102"/>
  <c r="D14" i="102"/>
  <c r="C14" i="102"/>
  <c r="B14" i="102"/>
  <c r="AC13" i="102"/>
  <c r="AB13" i="102"/>
  <c r="AA13" i="102"/>
  <c r="Z13" i="102"/>
  <c r="Y13" i="102"/>
  <c r="X13" i="102"/>
  <c r="W13" i="102"/>
  <c r="V13" i="102"/>
  <c r="U13" i="102"/>
  <c r="T13" i="102"/>
  <c r="S13" i="102"/>
  <c r="R13" i="102"/>
  <c r="Q13" i="102"/>
  <c r="P13" i="102"/>
  <c r="O13" i="102"/>
  <c r="N13" i="102"/>
  <c r="M13" i="102"/>
  <c r="L13" i="102"/>
  <c r="K13" i="102"/>
  <c r="J13" i="102"/>
  <c r="I13" i="102"/>
  <c r="H13" i="102"/>
  <c r="G13" i="102"/>
  <c r="F13" i="102"/>
  <c r="E13" i="102"/>
  <c r="D13" i="102"/>
  <c r="C13" i="102"/>
  <c r="B13" i="102"/>
  <c r="AF14" i="103"/>
  <c r="AE14" i="103"/>
  <c r="AD14" i="103"/>
  <c r="AC14" i="103"/>
  <c r="AB14" i="103"/>
  <c r="AA14" i="103"/>
  <c r="Z14" i="103"/>
  <c r="Y14" i="103"/>
  <c r="X14" i="103"/>
  <c r="W14" i="103"/>
  <c r="V14" i="103"/>
  <c r="U14" i="103"/>
  <c r="T14" i="103"/>
  <c r="S14" i="103"/>
  <c r="R14" i="103"/>
  <c r="Q14" i="103"/>
  <c r="P14" i="103"/>
  <c r="O14" i="103"/>
  <c r="N14" i="103"/>
  <c r="M14" i="103"/>
  <c r="L14" i="103"/>
  <c r="K14" i="103"/>
  <c r="J14" i="103"/>
  <c r="I14" i="103"/>
  <c r="H14" i="103"/>
  <c r="G14" i="103"/>
  <c r="F14" i="103"/>
  <c r="E14" i="103"/>
  <c r="D14" i="103"/>
  <c r="C14" i="103"/>
  <c r="B14" i="103"/>
  <c r="AF13" i="103"/>
  <c r="AE13" i="103"/>
  <c r="AD13" i="103"/>
  <c r="AC13" i="103"/>
  <c r="AB13" i="103"/>
  <c r="AA13" i="103"/>
  <c r="Z13" i="103"/>
  <c r="Y13" i="103"/>
  <c r="X13" i="103"/>
  <c r="W13" i="103"/>
  <c r="V13" i="103"/>
  <c r="U13" i="103"/>
  <c r="T13" i="103"/>
  <c r="S13" i="103"/>
  <c r="R13" i="103"/>
  <c r="Q13" i="103"/>
  <c r="P13" i="103"/>
  <c r="O13" i="103"/>
  <c r="N13" i="103"/>
  <c r="M13" i="103"/>
  <c r="L13" i="103"/>
  <c r="K13" i="103"/>
  <c r="J13" i="103"/>
  <c r="I13" i="103"/>
  <c r="H13" i="103"/>
  <c r="G13" i="103"/>
  <c r="F13" i="103"/>
  <c r="E13" i="103"/>
  <c r="D13" i="103"/>
  <c r="C13" i="103"/>
  <c r="B13" i="103"/>
  <c r="AE14" i="113"/>
  <c r="AD14" i="113"/>
  <c r="AC14" i="113"/>
  <c r="AB14" i="113"/>
  <c r="AA14" i="113"/>
  <c r="Z14" i="113"/>
  <c r="Y14" i="113"/>
  <c r="X14" i="113"/>
  <c r="W14" i="113"/>
  <c r="V14" i="113"/>
  <c r="U14" i="113"/>
  <c r="T14" i="113"/>
  <c r="S14" i="113"/>
  <c r="R14" i="113"/>
  <c r="Q14" i="113"/>
  <c r="P14" i="113"/>
  <c r="O14" i="113"/>
  <c r="N14" i="113"/>
  <c r="M14" i="113"/>
  <c r="L14" i="113"/>
  <c r="K14" i="113"/>
  <c r="J14" i="113"/>
  <c r="I14" i="113"/>
  <c r="H14" i="113"/>
  <c r="G14" i="113"/>
  <c r="F14" i="113"/>
  <c r="E14" i="113"/>
  <c r="D14" i="113"/>
  <c r="C14" i="113"/>
  <c r="B14" i="113"/>
  <c r="AE13" i="113"/>
  <c r="AD13" i="113"/>
  <c r="AC13" i="113"/>
  <c r="AB13" i="113"/>
  <c r="AA13" i="113"/>
  <c r="Z13" i="113"/>
  <c r="Y13" i="113"/>
  <c r="X13" i="113"/>
  <c r="W13" i="113"/>
  <c r="V13" i="113"/>
  <c r="U13" i="113"/>
  <c r="T13" i="113"/>
  <c r="S13" i="113"/>
  <c r="R13" i="113"/>
  <c r="Q13" i="113"/>
  <c r="P13" i="113"/>
  <c r="O13" i="113"/>
  <c r="N13" i="113"/>
  <c r="M13" i="113"/>
  <c r="L13" i="113"/>
  <c r="K13" i="113"/>
  <c r="J13" i="113"/>
  <c r="I13" i="113"/>
  <c r="H13" i="113"/>
  <c r="G13" i="113"/>
  <c r="F13" i="113"/>
  <c r="E13" i="113"/>
  <c r="D13" i="113"/>
  <c r="C13" i="113"/>
  <c r="B13" i="113"/>
  <c r="AF14" i="114"/>
  <c r="AE14" i="114"/>
  <c r="AD14" i="114"/>
  <c r="AC14" i="114"/>
  <c r="AB14" i="114"/>
  <c r="AA14" i="114"/>
  <c r="Z14" i="114"/>
  <c r="Y14" i="114"/>
  <c r="X14" i="114"/>
  <c r="W14" i="114"/>
  <c r="V14" i="114"/>
  <c r="U14" i="114"/>
  <c r="T14" i="114"/>
  <c r="S14" i="114"/>
  <c r="R14" i="114"/>
  <c r="Q14" i="114"/>
  <c r="P14" i="114"/>
  <c r="O14" i="114"/>
  <c r="N14" i="114"/>
  <c r="M14" i="114"/>
  <c r="L14" i="114"/>
  <c r="K14" i="114"/>
  <c r="J14" i="114"/>
  <c r="I14" i="114"/>
  <c r="H14" i="114"/>
  <c r="G14" i="114"/>
  <c r="F14" i="114"/>
  <c r="E14" i="114"/>
  <c r="D14" i="114"/>
  <c r="C14" i="114"/>
  <c r="B14" i="114"/>
  <c r="AF13" i="114"/>
  <c r="AE13" i="114"/>
  <c r="AD13" i="114"/>
  <c r="AC13" i="114"/>
  <c r="AB13" i="114"/>
  <c r="AA13" i="114"/>
  <c r="Z13" i="114"/>
  <c r="Y13" i="114"/>
  <c r="X13" i="114"/>
  <c r="W13" i="114"/>
  <c r="V13" i="114"/>
  <c r="U13" i="114"/>
  <c r="T13" i="114"/>
  <c r="S13" i="114"/>
  <c r="R13" i="114"/>
  <c r="Q13" i="114"/>
  <c r="P13" i="114"/>
  <c r="O13" i="114"/>
  <c r="N13" i="114"/>
  <c r="M13" i="114"/>
  <c r="L13" i="114"/>
  <c r="K13" i="114"/>
  <c r="J13" i="114"/>
  <c r="I13" i="114"/>
  <c r="H13" i="114"/>
  <c r="G13" i="114"/>
  <c r="F13" i="114"/>
  <c r="E13" i="114"/>
  <c r="D13" i="114"/>
  <c r="C13" i="114"/>
  <c r="B13" i="114"/>
  <c r="AE14" i="115"/>
  <c r="AD14" i="115"/>
  <c r="AC14" i="115"/>
  <c r="AB14" i="115"/>
  <c r="AA14" i="115"/>
  <c r="Z14" i="115"/>
  <c r="Y14" i="115"/>
  <c r="X14" i="115"/>
  <c r="W14" i="115"/>
  <c r="V14" i="115"/>
  <c r="U14" i="115"/>
  <c r="T14" i="115"/>
  <c r="S14" i="115"/>
  <c r="R14" i="115"/>
  <c r="Q14" i="115"/>
  <c r="P14" i="115"/>
  <c r="O14" i="115"/>
  <c r="N14" i="115"/>
  <c r="M14" i="115"/>
  <c r="L14" i="115"/>
  <c r="K14" i="115"/>
  <c r="J14" i="115"/>
  <c r="I14" i="115"/>
  <c r="H14" i="115"/>
  <c r="G14" i="115"/>
  <c r="F14" i="115"/>
  <c r="E14" i="115"/>
  <c r="D14" i="115"/>
  <c r="C14" i="115"/>
  <c r="B14" i="115"/>
  <c r="AE13" i="115"/>
  <c r="AD13" i="115"/>
  <c r="AC13" i="115"/>
  <c r="AB13" i="115"/>
  <c r="AA13" i="115"/>
  <c r="Z13" i="115"/>
  <c r="Y13" i="115"/>
  <c r="X13" i="115"/>
  <c r="W13" i="115"/>
  <c r="V13" i="115"/>
  <c r="U13" i="115"/>
  <c r="T13" i="115"/>
  <c r="S13" i="115"/>
  <c r="R13" i="115"/>
  <c r="Q13" i="115"/>
  <c r="P13" i="115"/>
  <c r="O13" i="115"/>
  <c r="N13" i="115"/>
  <c r="M13" i="115"/>
  <c r="L13" i="115"/>
  <c r="K13" i="115"/>
  <c r="J13" i="115"/>
  <c r="I13" i="115"/>
  <c r="H13" i="115"/>
  <c r="G13" i="115"/>
  <c r="F13" i="115"/>
  <c r="E13" i="115"/>
  <c r="D13" i="115"/>
  <c r="C13" i="115"/>
  <c r="B13" i="115"/>
  <c r="AF14" i="116"/>
  <c r="AE14" i="116"/>
  <c r="AD14" i="116"/>
  <c r="AC14" i="116"/>
  <c r="AB14" i="116"/>
  <c r="AA14" i="116"/>
  <c r="Z14" i="116"/>
  <c r="Y14" i="116"/>
  <c r="X14" i="116"/>
  <c r="W14" i="116"/>
  <c r="V14" i="116"/>
  <c r="U14" i="116"/>
  <c r="T14" i="116"/>
  <c r="S14" i="116"/>
  <c r="R14" i="116"/>
  <c r="Q14" i="116"/>
  <c r="P14" i="116"/>
  <c r="O14" i="116"/>
  <c r="N14" i="116"/>
  <c r="M14" i="116"/>
  <c r="L14" i="116"/>
  <c r="K14" i="116"/>
  <c r="J14" i="116"/>
  <c r="I14" i="116"/>
  <c r="H14" i="116"/>
  <c r="G14" i="116"/>
  <c r="F14" i="116"/>
  <c r="E14" i="116"/>
  <c r="D14" i="116"/>
  <c r="C14" i="116"/>
  <c r="B14" i="116"/>
  <c r="AF13" i="116"/>
  <c r="AE13" i="116"/>
  <c r="AD13" i="116"/>
  <c r="AC13" i="116"/>
  <c r="AB13" i="116"/>
  <c r="AA13" i="116"/>
  <c r="Z13" i="116"/>
  <c r="Y13" i="116"/>
  <c r="X13" i="116"/>
  <c r="W13" i="116"/>
  <c r="V13" i="116"/>
  <c r="U13" i="116"/>
  <c r="T13" i="116"/>
  <c r="S13" i="116"/>
  <c r="R13" i="116"/>
  <c r="Q13" i="116"/>
  <c r="P13" i="116"/>
  <c r="O13" i="116"/>
  <c r="N13" i="116"/>
  <c r="M13" i="116"/>
  <c r="L13" i="116"/>
  <c r="K13" i="116"/>
  <c r="J13" i="116"/>
  <c r="I13" i="116"/>
  <c r="H13" i="116"/>
  <c r="G13" i="116"/>
  <c r="F13" i="116"/>
  <c r="E13" i="116"/>
  <c r="D13" i="116"/>
  <c r="C13" i="116"/>
  <c r="B13" i="116"/>
  <c r="AF14" i="118"/>
  <c r="AE14" i="118"/>
  <c r="AD14" i="118"/>
  <c r="AC14" i="118"/>
  <c r="AB14" i="118"/>
  <c r="AA14" i="118"/>
  <c r="Z14" i="118"/>
  <c r="Y14" i="118"/>
  <c r="X14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C14" i="118"/>
  <c r="B14" i="118"/>
  <c r="AF13" i="118"/>
  <c r="AE13" i="118"/>
  <c r="AD13" i="118"/>
  <c r="AC13" i="118"/>
  <c r="AB13" i="118"/>
  <c r="AA13" i="118"/>
  <c r="Z13" i="118"/>
  <c r="Y13" i="118"/>
  <c r="X13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C13" i="118"/>
  <c r="B13" i="118"/>
  <c r="AE14" i="119"/>
  <c r="AD14" i="119"/>
  <c r="AC14" i="119"/>
  <c r="AB14" i="119"/>
  <c r="AA14" i="119"/>
  <c r="Z14" i="119"/>
  <c r="Y14" i="119"/>
  <c r="X14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B14" i="119"/>
  <c r="AE13" i="119"/>
  <c r="AD13" i="119"/>
  <c r="AC13" i="119"/>
  <c r="AB13" i="119"/>
  <c r="AA13" i="119"/>
  <c r="Z13" i="119"/>
  <c r="Y13" i="119"/>
  <c r="X13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B13" i="119"/>
  <c r="AF14" i="121"/>
  <c r="AE14" i="121"/>
  <c r="AD14" i="121"/>
  <c r="AC14" i="121"/>
  <c r="AB14" i="121"/>
  <c r="AA14" i="121"/>
  <c r="Z14" i="121"/>
  <c r="Y14" i="121"/>
  <c r="X14" i="121"/>
  <c r="W14" i="121"/>
  <c r="V14" i="121"/>
  <c r="U14" i="121"/>
  <c r="T14" i="121"/>
  <c r="S14" i="121"/>
  <c r="R14" i="121"/>
  <c r="Q14" i="121"/>
  <c r="P14" i="121"/>
  <c r="O14" i="121"/>
  <c r="N14" i="121"/>
  <c r="M14" i="121"/>
  <c r="L14" i="121"/>
  <c r="K14" i="121"/>
  <c r="J14" i="121"/>
  <c r="I14" i="121"/>
  <c r="H14" i="121"/>
  <c r="G14" i="121"/>
  <c r="F14" i="121"/>
  <c r="E14" i="121"/>
  <c r="D14" i="121"/>
  <c r="C14" i="121"/>
  <c r="B14" i="121"/>
  <c r="AF13" i="121"/>
  <c r="AE13" i="121"/>
  <c r="AD13" i="121"/>
  <c r="AC13" i="121"/>
  <c r="AB13" i="121"/>
  <c r="AA13" i="121"/>
  <c r="Z13" i="121"/>
  <c r="Y13" i="121"/>
  <c r="X13" i="121"/>
  <c r="W13" i="121"/>
  <c r="V13" i="121"/>
  <c r="U13" i="121"/>
  <c r="T13" i="121"/>
  <c r="S13" i="121"/>
  <c r="R13" i="121"/>
  <c r="Q13" i="121"/>
  <c r="P13" i="121"/>
  <c r="O13" i="121"/>
  <c r="N13" i="121"/>
  <c r="M13" i="121"/>
  <c r="L13" i="121"/>
  <c r="K13" i="121"/>
  <c r="J13" i="121"/>
  <c r="I13" i="121"/>
  <c r="H13" i="121"/>
  <c r="G13" i="121"/>
  <c r="F13" i="121"/>
  <c r="E13" i="121"/>
  <c r="D13" i="121"/>
  <c r="C13" i="121"/>
  <c r="B13" i="121"/>
  <c r="AE14" i="122"/>
  <c r="AD14" i="122"/>
  <c r="AC14" i="122"/>
  <c r="AB14" i="122"/>
  <c r="AA14" i="122"/>
  <c r="Z14" i="122"/>
  <c r="Y14" i="122"/>
  <c r="X14" i="122"/>
  <c r="W14" i="122"/>
  <c r="V14" i="122"/>
  <c r="U14" i="122"/>
  <c r="T14" i="122"/>
  <c r="S14" i="122"/>
  <c r="R14" i="122"/>
  <c r="Q14" i="122"/>
  <c r="P14" i="122"/>
  <c r="O14" i="122"/>
  <c r="N14" i="122"/>
  <c r="M14" i="122"/>
  <c r="L14" i="122"/>
  <c r="K14" i="122"/>
  <c r="J14" i="122"/>
  <c r="I14" i="122"/>
  <c r="H14" i="122"/>
  <c r="G14" i="122"/>
  <c r="F14" i="122"/>
  <c r="E14" i="122"/>
  <c r="D14" i="122"/>
  <c r="C14" i="122"/>
  <c r="B14" i="122"/>
  <c r="AE13" i="122"/>
  <c r="AD13" i="122"/>
  <c r="AC13" i="122"/>
  <c r="AB13" i="122"/>
  <c r="AA13" i="122"/>
  <c r="Z13" i="122"/>
  <c r="Y13" i="122"/>
  <c r="X13" i="122"/>
  <c r="W13" i="122"/>
  <c r="V13" i="122"/>
  <c r="U13" i="122"/>
  <c r="T13" i="122"/>
  <c r="S13" i="122"/>
  <c r="R13" i="122"/>
  <c r="Q13" i="122"/>
  <c r="P13" i="122"/>
  <c r="O13" i="122"/>
  <c r="N13" i="122"/>
  <c r="M13" i="122"/>
  <c r="L13" i="122"/>
  <c r="K13" i="122"/>
  <c r="J13" i="122"/>
  <c r="I13" i="122"/>
  <c r="H13" i="122"/>
  <c r="G13" i="122"/>
  <c r="F13" i="122"/>
  <c r="E13" i="122"/>
  <c r="D13" i="122"/>
  <c r="C13" i="122"/>
  <c r="B13" i="122"/>
  <c r="C14" i="123"/>
  <c r="D14" i="123"/>
  <c r="E14" i="123"/>
  <c r="F14" i="123"/>
  <c r="G14" i="123"/>
  <c r="H14" i="123"/>
  <c r="I14" i="123"/>
  <c r="J14" i="123"/>
  <c r="K14" i="123"/>
  <c r="L14" i="123"/>
  <c r="M14" i="123"/>
  <c r="N14" i="123"/>
  <c r="O14" i="123"/>
  <c r="P14" i="123"/>
  <c r="Q14" i="123"/>
  <c r="R14" i="123"/>
  <c r="S14" i="123"/>
  <c r="T14" i="123"/>
  <c r="U14" i="123"/>
  <c r="V14" i="123"/>
  <c r="W14" i="123"/>
  <c r="X14" i="123"/>
  <c r="Y14" i="123"/>
  <c r="Z14" i="123"/>
  <c r="AA14" i="123"/>
  <c r="AB14" i="123"/>
  <c r="AC14" i="123"/>
  <c r="AD14" i="123"/>
  <c r="AE14" i="123"/>
  <c r="AF14" i="123"/>
  <c r="B14" i="123"/>
  <c r="C13" i="123"/>
  <c r="D13" i="123"/>
  <c r="E13" i="123"/>
  <c r="F13" i="123"/>
  <c r="G13" i="123"/>
  <c r="H13" i="123"/>
  <c r="I13" i="123"/>
  <c r="J13" i="123"/>
  <c r="K13" i="123"/>
  <c r="L13" i="123"/>
  <c r="M13" i="123"/>
  <c r="N13" i="123"/>
  <c r="O13" i="123"/>
  <c r="P13" i="123"/>
  <c r="Q13" i="123"/>
  <c r="R13" i="123"/>
  <c r="S13" i="123"/>
  <c r="T13" i="123"/>
  <c r="U13" i="123"/>
  <c r="V13" i="123"/>
  <c r="W13" i="123"/>
  <c r="X13" i="123"/>
  <c r="Y13" i="123"/>
  <c r="Z13" i="123"/>
  <c r="AA13" i="123"/>
  <c r="AB13" i="123"/>
  <c r="AC13" i="123"/>
  <c r="AD13" i="123"/>
  <c r="AE13" i="123"/>
  <c r="AF13" i="123"/>
  <c r="B13" i="123"/>
  <c r="AF2" i="123"/>
  <c r="AF3" i="123" s="1"/>
  <c r="AE2" i="123"/>
  <c r="AE3" i="123" s="1"/>
  <c r="AD2" i="123"/>
  <c r="AD3" i="123" s="1"/>
  <c r="AC2" i="123"/>
  <c r="AC3" i="123" s="1"/>
  <c r="AB2" i="123"/>
  <c r="AB3" i="123" s="1"/>
  <c r="AA2" i="123"/>
  <c r="AA3" i="123" s="1"/>
  <c r="Z2" i="123"/>
  <c r="Z3" i="123" s="1"/>
  <c r="Y2" i="123"/>
  <c r="Y3" i="123" s="1"/>
  <c r="X2" i="123"/>
  <c r="X3" i="123" s="1"/>
  <c r="W2" i="123"/>
  <c r="W3" i="123" s="1"/>
  <c r="V2" i="123"/>
  <c r="V3" i="123" s="1"/>
  <c r="U2" i="123"/>
  <c r="U3" i="123" s="1"/>
  <c r="T2" i="123"/>
  <c r="T3" i="123" s="1"/>
  <c r="S2" i="123"/>
  <c r="S3" i="123" s="1"/>
  <c r="R2" i="123"/>
  <c r="R3" i="123" s="1"/>
  <c r="Q2" i="123"/>
  <c r="Q3" i="123" s="1"/>
  <c r="P2" i="123"/>
  <c r="P3" i="123" s="1"/>
  <c r="O2" i="123"/>
  <c r="O3" i="123" s="1"/>
  <c r="N2" i="123"/>
  <c r="N3" i="123" s="1"/>
  <c r="M2" i="123"/>
  <c r="M3" i="123" s="1"/>
  <c r="L2" i="123"/>
  <c r="L3" i="123" s="1"/>
  <c r="K2" i="123"/>
  <c r="K3" i="123" s="1"/>
  <c r="J2" i="123"/>
  <c r="J3" i="123" s="1"/>
  <c r="I2" i="123"/>
  <c r="I3" i="123" s="1"/>
  <c r="H2" i="123"/>
  <c r="H3" i="123" s="1"/>
  <c r="G2" i="123"/>
  <c r="G3" i="123" s="1"/>
  <c r="F2" i="123"/>
  <c r="F3" i="123" s="1"/>
  <c r="E2" i="123"/>
  <c r="E3" i="123" s="1"/>
  <c r="D2" i="123"/>
  <c r="D3" i="123" s="1"/>
  <c r="C2" i="123"/>
  <c r="C3" i="123" s="1"/>
  <c r="B2" i="123"/>
  <c r="B3" i="123" s="1"/>
  <c r="AE2" i="122"/>
  <c r="AE3" i="122" s="1"/>
  <c r="AD2" i="122"/>
  <c r="AD3" i="122" s="1"/>
  <c r="AC2" i="122"/>
  <c r="AC3" i="122" s="1"/>
  <c r="AB2" i="122"/>
  <c r="AB3" i="122" s="1"/>
  <c r="AA2" i="122"/>
  <c r="AA3" i="122" s="1"/>
  <c r="Z2" i="122"/>
  <c r="Z3" i="122" s="1"/>
  <c r="Y2" i="122"/>
  <c r="Y3" i="122" s="1"/>
  <c r="X2" i="122"/>
  <c r="X3" i="122" s="1"/>
  <c r="W2" i="122"/>
  <c r="W3" i="122" s="1"/>
  <c r="V2" i="122"/>
  <c r="V3" i="122" s="1"/>
  <c r="U2" i="122"/>
  <c r="U3" i="122" s="1"/>
  <c r="T2" i="122"/>
  <c r="T3" i="122" s="1"/>
  <c r="S2" i="122"/>
  <c r="S3" i="122" s="1"/>
  <c r="R2" i="122"/>
  <c r="R3" i="122" s="1"/>
  <c r="Q2" i="122"/>
  <c r="Q3" i="122" s="1"/>
  <c r="P2" i="122"/>
  <c r="P3" i="122" s="1"/>
  <c r="O2" i="122"/>
  <c r="O3" i="122" s="1"/>
  <c r="N2" i="122"/>
  <c r="N3" i="122" s="1"/>
  <c r="M2" i="122"/>
  <c r="M3" i="122" s="1"/>
  <c r="L2" i="122"/>
  <c r="L3" i="122" s="1"/>
  <c r="K2" i="122"/>
  <c r="K3" i="122" s="1"/>
  <c r="J2" i="122"/>
  <c r="J3" i="122" s="1"/>
  <c r="I2" i="122"/>
  <c r="I3" i="122" s="1"/>
  <c r="H2" i="122"/>
  <c r="H3" i="122" s="1"/>
  <c r="G2" i="122"/>
  <c r="G3" i="122" s="1"/>
  <c r="F2" i="122"/>
  <c r="F3" i="122" s="1"/>
  <c r="E2" i="122"/>
  <c r="E3" i="122" s="1"/>
  <c r="D2" i="122"/>
  <c r="D3" i="122" s="1"/>
  <c r="C2" i="122"/>
  <c r="C3" i="122" s="1"/>
  <c r="B2" i="122"/>
  <c r="B3" i="122" s="1"/>
  <c r="AA2" i="114"/>
  <c r="AA3" i="114" s="1"/>
  <c r="AB2" i="114"/>
  <c r="AB3" i="114" s="1"/>
  <c r="AC2" i="114"/>
  <c r="AC3" i="114" s="1"/>
  <c r="AD2" i="114"/>
  <c r="AD3" i="114" s="1"/>
  <c r="AE2" i="114"/>
  <c r="AE3" i="114" s="1"/>
  <c r="AF2" i="114"/>
  <c r="AF3" i="114" s="1"/>
  <c r="AF2" i="121"/>
  <c r="AF3" i="121" s="1"/>
  <c r="AE2" i="121"/>
  <c r="AE3" i="121" s="1"/>
  <c r="AD2" i="121"/>
  <c r="AD3" i="121" s="1"/>
  <c r="AC2" i="121"/>
  <c r="AC3" i="121" s="1"/>
  <c r="AB2" i="121"/>
  <c r="AB3" i="121" s="1"/>
  <c r="AA2" i="121"/>
  <c r="AA3" i="121" s="1"/>
  <c r="Z2" i="121"/>
  <c r="Z3" i="121" s="1"/>
  <c r="Y2" i="121"/>
  <c r="Y3" i="121" s="1"/>
  <c r="X2" i="121"/>
  <c r="X3" i="121" s="1"/>
  <c r="W2" i="121"/>
  <c r="W3" i="121" s="1"/>
  <c r="V2" i="121"/>
  <c r="V3" i="121" s="1"/>
  <c r="U2" i="121"/>
  <c r="U3" i="121" s="1"/>
  <c r="T2" i="121"/>
  <c r="T3" i="121" s="1"/>
  <c r="S2" i="121"/>
  <c r="S3" i="121" s="1"/>
  <c r="R2" i="121"/>
  <c r="R3" i="121" s="1"/>
  <c r="Q2" i="121"/>
  <c r="Q3" i="121" s="1"/>
  <c r="P2" i="121"/>
  <c r="P3" i="121" s="1"/>
  <c r="O2" i="121"/>
  <c r="O3" i="121" s="1"/>
  <c r="N2" i="121"/>
  <c r="N3" i="121" s="1"/>
  <c r="M2" i="121"/>
  <c r="M3" i="121" s="1"/>
  <c r="L2" i="121"/>
  <c r="L3" i="121" s="1"/>
  <c r="K2" i="121"/>
  <c r="K3" i="121" s="1"/>
  <c r="J2" i="121"/>
  <c r="J3" i="121" s="1"/>
  <c r="I2" i="121"/>
  <c r="I3" i="121" s="1"/>
  <c r="H2" i="121"/>
  <c r="H3" i="121" s="1"/>
  <c r="G2" i="121"/>
  <c r="G3" i="121" s="1"/>
  <c r="F2" i="121"/>
  <c r="F3" i="121" s="1"/>
  <c r="E2" i="121"/>
  <c r="E3" i="121" s="1"/>
  <c r="D2" i="121"/>
  <c r="D3" i="121" s="1"/>
  <c r="C2" i="121"/>
  <c r="C3" i="121" s="1"/>
  <c r="B2" i="121"/>
  <c r="B3" i="121" s="1"/>
  <c r="AE2" i="119"/>
  <c r="AE3" i="119" s="1"/>
  <c r="AD2" i="119"/>
  <c r="AD3" i="119" s="1"/>
  <c r="AC2" i="119"/>
  <c r="AC3" i="119" s="1"/>
  <c r="AB2" i="119"/>
  <c r="AB3" i="119" s="1"/>
  <c r="AA2" i="119"/>
  <c r="AA3" i="119" s="1"/>
  <c r="Z2" i="119"/>
  <c r="Z3" i="119" s="1"/>
  <c r="Y2" i="119"/>
  <c r="Y3" i="119" s="1"/>
  <c r="X2" i="119"/>
  <c r="X3" i="119" s="1"/>
  <c r="W2" i="119"/>
  <c r="W3" i="119" s="1"/>
  <c r="V2" i="119"/>
  <c r="V3" i="119" s="1"/>
  <c r="U2" i="119"/>
  <c r="U3" i="119" s="1"/>
  <c r="T2" i="119"/>
  <c r="T3" i="119" s="1"/>
  <c r="S2" i="119"/>
  <c r="S3" i="119" s="1"/>
  <c r="R2" i="119"/>
  <c r="R3" i="119" s="1"/>
  <c r="Q2" i="119"/>
  <c r="Q3" i="119" s="1"/>
  <c r="P2" i="119"/>
  <c r="P3" i="119" s="1"/>
  <c r="O2" i="119"/>
  <c r="O3" i="119" s="1"/>
  <c r="N2" i="119"/>
  <c r="N3" i="119" s="1"/>
  <c r="M2" i="119"/>
  <c r="M3" i="119" s="1"/>
  <c r="L2" i="119"/>
  <c r="L3" i="119" s="1"/>
  <c r="K2" i="119"/>
  <c r="K3" i="119" s="1"/>
  <c r="J2" i="119"/>
  <c r="J3" i="119" s="1"/>
  <c r="I2" i="119"/>
  <c r="I3" i="119" s="1"/>
  <c r="H2" i="119"/>
  <c r="H3" i="119" s="1"/>
  <c r="G2" i="119"/>
  <c r="G3" i="119" s="1"/>
  <c r="F2" i="119"/>
  <c r="F3" i="119" s="1"/>
  <c r="E2" i="119"/>
  <c r="E3" i="119" s="1"/>
  <c r="D2" i="119"/>
  <c r="D3" i="119" s="1"/>
  <c r="C2" i="119"/>
  <c r="C3" i="119" s="1"/>
  <c r="B2" i="119"/>
  <c r="B3" i="119" s="1"/>
  <c r="AF2" i="118"/>
  <c r="AF3" i="118" s="1"/>
  <c r="AE2" i="118"/>
  <c r="AE3" i="118" s="1"/>
  <c r="AD2" i="118"/>
  <c r="AD3" i="118" s="1"/>
  <c r="AC2" i="118"/>
  <c r="AC3" i="118" s="1"/>
  <c r="AB2" i="118"/>
  <c r="AB3" i="118" s="1"/>
  <c r="AA2" i="118"/>
  <c r="AA3" i="118" s="1"/>
  <c r="Z2" i="118"/>
  <c r="Z3" i="118" s="1"/>
  <c r="Y2" i="118"/>
  <c r="Y3" i="118" s="1"/>
  <c r="X2" i="118"/>
  <c r="X3" i="118" s="1"/>
  <c r="W2" i="118"/>
  <c r="W3" i="118" s="1"/>
  <c r="V2" i="118"/>
  <c r="V3" i="118" s="1"/>
  <c r="U2" i="118"/>
  <c r="U3" i="118" s="1"/>
  <c r="T2" i="118"/>
  <c r="T3" i="118" s="1"/>
  <c r="S2" i="118"/>
  <c r="S3" i="118" s="1"/>
  <c r="R2" i="118"/>
  <c r="R3" i="118" s="1"/>
  <c r="Q2" i="118"/>
  <c r="Q3" i="118" s="1"/>
  <c r="P2" i="118"/>
  <c r="P3" i="118" s="1"/>
  <c r="O2" i="118"/>
  <c r="O3" i="118" s="1"/>
  <c r="N2" i="118"/>
  <c r="N3" i="118" s="1"/>
  <c r="M2" i="118"/>
  <c r="M3" i="118" s="1"/>
  <c r="L2" i="118"/>
  <c r="L3" i="118" s="1"/>
  <c r="K2" i="118"/>
  <c r="K3" i="118" s="1"/>
  <c r="J2" i="118"/>
  <c r="J3" i="118" s="1"/>
  <c r="I2" i="118"/>
  <c r="I3" i="118" s="1"/>
  <c r="H2" i="118"/>
  <c r="H3" i="118" s="1"/>
  <c r="G2" i="118"/>
  <c r="G3" i="118" s="1"/>
  <c r="F2" i="118"/>
  <c r="F3" i="118" s="1"/>
  <c r="E2" i="118"/>
  <c r="E3" i="118" s="1"/>
  <c r="D2" i="118"/>
  <c r="D3" i="118" s="1"/>
  <c r="C2" i="118"/>
  <c r="C3" i="118" s="1"/>
  <c r="B2" i="118"/>
  <c r="B3" i="118" s="1"/>
  <c r="AF2" i="116"/>
  <c r="AF3" i="116" s="1"/>
  <c r="AE2" i="116"/>
  <c r="AE3" i="116" s="1"/>
  <c r="AD2" i="116"/>
  <c r="AD3" i="116" s="1"/>
  <c r="AC2" i="116"/>
  <c r="AC3" i="116" s="1"/>
  <c r="AB2" i="116"/>
  <c r="AB3" i="116" s="1"/>
  <c r="AA2" i="116"/>
  <c r="AA3" i="116" s="1"/>
  <c r="Z2" i="116"/>
  <c r="Z3" i="116" s="1"/>
  <c r="Y2" i="116"/>
  <c r="Y3" i="116" s="1"/>
  <c r="X2" i="116"/>
  <c r="X3" i="116" s="1"/>
  <c r="W2" i="116"/>
  <c r="W3" i="116" s="1"/>
  <c r="V2" i="116"/>
  <c r="V3" i="116" s="1"/>
  <c r="U2" i="116"/>
  <c r="U3" i="116" s="1"/>
  <c r="T2" i="116"/>
  <c r="T3" i="116" s="1"/>
  <c r="S2" i="116"/>
  <c r="S3" i="116" s="1"/>
  <c r="R2" i="116"/>
  <c r="R3" i="116" s="1"/>
  <c r="Q2" i="116"/>
  <c r="Q3" i="116" s="1"/>
  <c r="P2" i="116"/>
  <c r="P3" i="116" s="1"/>
  <c r="O2" i="116"/>
  <c r="O3" i="116" s="1"/>
  <c r="N2" i="116"/>
  <c r="N3" i="116" s="1"/>
  <c r="M2" i="116"/>
  <c r="M3" i="116" s="1"/>
  <c r="L2" i="116"/>
  <c r="L3" i="116" s="1"/>
  <c r="K2" i="116"/>
  <c r="K3" i="116" s="1"/>
  <c r="J2" i="116"/>
  <c r="J3" i="116" s="1"/>
  <c r="I2" i="116"/>
  <c r="I3" i="116" s="1"/>
  <c r="H2" i="116"/>
  <c r="H3" i="116" s="1"/>
  <c r="G2" i="116"/>
  <c r="G3" i="116" s="1"/>
  <c r="F2" i="116"/>
  <c r="F3" i="116" s="1"/>
  <c r="E2" i="116"/>
  <c r="E3" i="116" s="1"/>
  <c r="D2" i="116"/>
  <c r="D3" i="116" s="1"/>
  <c r="C2" i="116"/>
  <c r="C3" i="116" s="1"/>
  <c r="B2" i="116"/>
  <c r="B3" i="116" s="1"/>
  <c r="AE2" i="115"/>
  <c r="AE3" i="115" s="1"/>
  <c r="AD2" i="115"/>
  <c r="AD3" i="115" s="1"/>
  <c r="AC2" i="115"/>
  <c r="AC3" i="115" s="1"/>
  <c r="AB2" i="115"/>
  <c r="AB3" i="115" s="1"/>
  <c r="AA2" i="115"/>
  <c r="AA3" i="115" s="1"/>
  <c r="Z2" i="115"/>
  <c r="Z3" i="115" s="1"/>
  <c r="Y2" i="115"/>
  <c r="Y3" i="115" s="1"/>
  <c r="X2" i="115"/>
  <c r="X3" i="115" s="1"/>
  <c r="W2" i="115"/>
  <c r="W3" i="115" s="1"/>
  <c r="V2" i="115"/>
  <c r="V3" i="115" s="1"/>
  <c r="U2" i="115"/>
  <c r="U3" i="115" s="1"/>
  <c r="T2" i="115"/>
  <c r="T3" i="115" s="1"/>
  <c r="S2" i="115"/>
  <c r="S3" i="115" s="1"/>
  <c r="R2" i="115"/>
  <c r="R3" i="115" s="1"/>
  <c r="Q2" i="115"/>
  <c r="Q3" i="115" s="1"/>
  <c r="P2" i="115"/>
  <c r="P3" i="115" s="1"/>
  <c r="O2" i="115"/>
  <c r="O3" i="115" s="1"/>
  <c r="N2" i="115"/>
  <c r="N3" i="115" s="1"/>
  <c r="M2" i="115"/>
  <c r="M3" i="115" s="1"/>
  <c r="L2" i="115"/>
  <c r="L3" i="115" s="1"/>
  <c r="K2" i="115"/>
  <c r="K3" i="115" s="1"/>
  <c r="J2" i="115"/>
  <c r="J3" i="115" s="1"/>
  <c r="I2" i="115"/>
  <c r="I3" i="115" s="1"/>
  <c r="H2" i="115"/>
  <c r="H3" i="115" s="1"/>
  <c r="G2" i="115"/>
  <c r="G3" i="115" s="1"/>
  <c r="F2" i="115"/>
  <c r="F3" i="115" s="1"/>
  <c r="E2" i="115"/>
  <c r="E3" i="115" s="1"/>
  <c r="D2" i="115"/>
  <c r="D3" i="115" s="1"/>
  <c r="C2" i="115"/>
  <c r="C3" i="115" s="1"/>
  <c r="B2" i="115"/>
  <c r="B3" i="115" s="1"/>
  <c r="Z2" i="114"/>
  <c r="Z3" i="114" s="1"/>
  <c r="Y2" i="114"/>
  <c r="Y3" i="114" s="1"/>
  <c r="X2" i="114"/>
  <c r="X3" i="114" s="1"/>
  <c r="W2" i="114"/>
  <c r="W3" i="114" s="1"/>
  <c r="V2" i="114"/>
  <c r="V3" i="114" s="1"/>
  <c r="U2" i="114"/>
  <c r="U3" i="114" s="1"/>
  <c r="T2" i="114"/>
  <c r="T3" i="114" s="1"/>
  <c r="S2" i="114"/>
  <c r="S3" i="114" s="1"/>
  <c r="R2" i="114"/>
  <c r="R3" i="114" s="1"/>
  <c r="Q2" i="114"/>
  <c r="Q3" i="114" s="1"/>
  <c r="P2" i="114"/>
  <c r="P3" i="114" s="1"/>
  <c r="O2" i="114"/>
  <c r="O3" i="114" s="1"/>
  <c r="N2" i="114"/>
  <c r="N3" i="114" s="1"/>
  <c r="M2" i="114"/>
  <c r="M3" i="114" s="1"/>
  <c r="L2" i="114"/>
  <c r="L3" i="114" s="1"/>
  <c r="K2" i="114"/>
  <c r="K3" i="114" s="1"/>
  <c r="J2" i="114"/>
  <c r="J3" i="114" s="1"/>
  <c r="I2" i="114"/>
  <c r="I3" i="114" s="1"/>
  <c r="H2" i="114"/>
  <c r="H3" i="114" s="1"/>
  <c r="G2" i="114"/>
  <c r="G3" i="114" s="1"/>
  <c r="F2" i="114"/>
  <c r="F3" i="114" s="1"/>
  <c r="E2" i="114"/>
  <c r="E3" i="114" s="1"/>
  <c r="D2" i="114"/>
  <c r="D3" i="114" s="1"/>
  <c r="C2" i="114"/>
  <c r="C3" i="114" s="1"/>
  <c r="B2" i="114"/>
  <c r="B3" i="114" s="1"/>
  <c r="AE2" i="113"/>
  <c r="AE3" i="113" s="1"/>
  <c r="AD2" i="113"/>
  <c r="AD3" i="113" s="1"/>
  <c r="AC2" i="113"/>
  <c r="AC3" i="113" s="1"/>
  <c r="AB2" i="113"/>
  <c r="AB3" i="113" s="1"/>
  <c r="AA2" i="113"/>
  <c r="AA3" i="113" s="1"/>
  <c r="Z2" i="113"/>
  <c r="Z3" i="113" s="1"/>
  <c r="Y2" i="113"/>
  <c r="Y3" i="113" s="1"/>
  <c r="X2" i="113"/>
  <c r="X3" i="113" s="1"/>
  <c r="W2" i="113"/>
  <c r="W3" i="113" s="1"/>
  <c r="V2" i="113"/>
  <c r="V3" i="113" s="1"/>
  <c r="U2" i="113"/>
  <c r="U3" i="113" s="1"/>
  <c r="T2" i="113"/>
  <c r="T3" i="113" s="1"/>
  <c r="S2" i="113"/>
  <c r="S3" i="113" s="1"/>
  <c r="R2" i="113"/>
  <c r="R3" i="113" s="1"/>
  <c r="Q2" i="113"/>
  <c r="Q3" i="113" s="1"/>
  <c r="P2" i="113"/>
  <c r="P3" i="113" s="1"/>
  <c r="O2" i="113"/>
  <c r="O3" i="113" s="1"/>
  <c r="N2" i="113"/>
  <c r="N3" i="113" s="1"/>
  <c r="M2" i="113"/>
  <c r="M3" i="113" s="1"/>
  <c r="L2" i="113"/>
  <c r="L3" i="113" s="1"/>
  <c r="K2" i="113"/>
  <c r="K3" i="113" s="1"/>
  <c r="J2" i="113"/>
  <c r="J3" i="113" s="1"/>
  <c r="I2" i="113"/>
  <c r="I3" i="113" s="1"/>
  <c r="H2" i="113"/>
  <c r="H3" i="113" s="1"/>
  <c r="G2" i="113"/>
  <c r="G3" i="113" s="1"/>
  <c r="F2" i="113"/>
  <c r="F3" i="113" s="1"/>
  <c r="E2" i="113"/>
  <c r="E3" i="113" s="1"/>
  <c r="D2" i="113"/>
  <c r="D3" i="113" s="1"/>
  <c r="C2" i="113"/>
  <c r="C3" i="113" s="1"/>
  <c r="B2" i="113"/>
  <c r="B3" i="113" s="1"/>
  <c r="AF2" i="103"/>
  <c r="AF3" i="103" s="1"/>
  <c r="AE2" i="103"/>
  <c r="AE3" i="103" s="1"/>
  <c r="AD2" i="103"/>
  <c r="AD3" i="103" s="1"/>
  <c r="AC2" i="103"/>
  <c r="AC3" i="103" s="1"/>
  <c r="AB2" i="103"/>
  <c r="AB3" i="103" s="1"/>
  <c r="AA2" i="103"/>
  <c r="AA3" i="103" s="1"/>
  <c r="Z2" i="103"/>
  <c r="Z3" i="103" s="1"/>
  <c r="Y2" i="103"/>
  <c r="Y3" i="103" s="1"/>
  <c r="X2" i="103"/>
  <c r="X3" i="103" s="1"/>
  <c r="W2" i="103"/>
  <c r="W3" i="103" s="1"/>
  <c r="V2" i="103"/>
  <c r="V3" i="103" s="1"/>
  <c r="U2" i="103"/>
  <c r="U3" i="103" s="1"/>
  <c r="T2" i="103"/>
  <c r="T3" i="103" s="1"/>
  <c r="S2" i="103"/>
  <c r="S3" i="103" s="1"/>
  <c r="R2" i="103"/>
  <c r="R3" i="103" s="1"/>
  <c r="Q2" i="103"/>
  <c r="Q3" i="103" s="1"/>
  <c r="P2" i="103"/>
  <c r="P3" i="103" s="1"/>
  <c r="O2" i="103"/>
  <c r="O3" i="103" s="1"/>
  <c r="N2" i="103"/>
  <c r="N3" i="103" s="1"/>
  <c r="M2" i="103"/>
  <c r="M3" i="103" s="1"/>
  <c r="L2" i="103"/>
  <c r="L3" i="103" s="1"/>
  <c r="K2" i="103"/>
  <c r="K3" i="103" s="1"/>
  <c r="J2" i="103"/>
  <c r="J3" i="103" s="1"/>
  <c r="I2" i="103"/>
  <c r="I3" i="103" s="1"/>
  <c r="H2" i="103"/>
  <c r="H3" i="103" s="1"/>
  <c r="G2" i="103"/>
  <c r="G3" i="103" s="1"/>
  <c r="F2" i="103"/>
  <c r="F3" i="103" s="1"/>
  <c r="E2" i="103"/>
  <c r="E3" i="103" s="1"/>
  <c r="D2" i="103"/>
  <c r="D3" i="103" s="1"/>
  <c r="C2" i="103"/>
  <c r="C3" i="103" s="1"/>
  <c r="B2" i="103"/>
  <c r="B3" i="103" s="1"/>
  <c r="AJ10" i="102"/>
  <c r="AF10" i="102"/>
  <c r="AJ9" i="102"/>
  <c r="AF9" i="102"/>
  <c r="AJ8" i="102"/>
  <c r="AF8" i="102"/>
  <c r="AJ7" i="102"/>
  <c r="AF7" i="102"/>
  <c r="AJ6" i="102"/>
  <c r="AF6" i="102"/>
  <c r="AJ5" i="102"/>
  <c r="AF5" i="102"/>
  <c r="AC2" i="102"/>
  <c r="AC3" i="102" s="1"/>
  <c r="AB2" i="102"/>
  <c r="AB3" i="102" s="1"/>
  <c r="AA2" i="102"/>
  <c r="AA3" i="102" s="1"/>
  <c r="Z2" i="102"/>
  <c r="Z3" i="102" s="1"/>
  <c r="Y2" i="102"/>
  <c r="Y3" i="102" s="1"/>
  <c r="X2" i="102"/>
  <c r="X3" i="102" s="1"/>
  <c r="W2" i="102"/>
  <c r="W3" i="102" s="1"/>
  <c r="V2" i="102"/>
  <c r="V3" i="102" s="1"/>
  <c r="U2" i="102"/>
  <c r="U3" i="102" s="1"/>
  <c r="T2" i="102"/>
  <c r="T3" i="102" s="1"/>
  <c r="S2" i="102"/>
  <c r="S3" i="102" s="1"/>
  <c r="R2" i="102"/>
  <c r="R3" i="102" s="1"/>
  <c r="Q2" i="102"/>
  <c r="Q3" i="102" s="1"/>
  <c r="P2" i="102"/>
  <c r="P3" i="102" s="1"/>
  <c r="O2" i="102"/>
  <c r="O3" i="102" s="1"/>
  <c r="N2" i="102"/>
  <c r="N3" i="102" s="1"/>
  <c r="M2" i="102"/>
  <c r="M3" i="102" s="1"/>
  <c r="L2" i="102"/>
  <c r="L3" i="102" s="1"/>
  <c r="K2" i="102"/>
  <c r="K3" i="102" s="1"/>
  <c r="J2" i="102"/>
  <c r="J3" i="102" s="1"/>
  <c r="I2" i="102"/>
  <c r="I3" i="102" s="1"/>
  <c r="H2" i="102"/>
  <c r="H3" i="102" s="1"/>
  <c r="G2" i="102"/>
  <c r="G3" i="102" s="1"/>
  <c r="F2" i="102"/>
  <c r="F3" i="102" s="1"/>
  <c r="E2" i="102"/>
  <c r="E3" i="102" s="1"/>
  <c r="D2" i="102"/>
  <c r="D3" i="102" s="1"/>
  <c r="C2" i="102"/>
  <c r="C3" i="102" s="1"/>
  <c r="B2" i="102"/>
  <c r="B3" i="102" s="1"/>
  <c r="C2" i="86"/>
  <c r="C3" i="86" s="1"/>
  <c r="D2" i="86"/>
  <c r="D3" i="86" s="1"/>
  <c r="E2" i="86"/>
  <c r="E3" i="86" s="1"/>
  <c r="F2" i="86"/>
  <c r="F3" i="86" s="1"/>
  <c r="G2" i="86"/>
  <c r="G3" i="86" s="1"/>
  <c r="H2" i="86"/>
  <c r="H3" i="86" s="1"/>
  <c r="I2" i="86"/>
  <c r="I3" i="86" s="1"/>
  <c r="J2" i="86"/>
  <c r="J3" i="86" s="1"/>
  <c r="K2" i="86"/>
  <c r="K3" i="86" s="1"/>
  <c r="L2" i="86"/>
  <c r="L3" i="86" s="1"/>
  <c r="M2" i="86"/>
  <c r="M3" i="86" s="1"/>
  <c r="N2" i="86"/>
  <c r="N3" i="86" s="1"/>
  <c r="O2" i="86"/>
  <c r="O3" i="86" s="1"/>
  <c r="P2" i="86"/>
  <c r="P3" i="86" s="1"/>
  <c r="Q2" i="86"/>
  <c r="Q3" i="86" s="1"/>
  <c r="R2" i="86"/>
  <c r="R3" i="86" s="1"/>
  <c r="S2" i="86"/>
  <c r="S3" i="86" s="1"/>
  <c r="T2" i="86"/>
  <c r="T3" i="86" s="1"/>
  <c r="U2" i="86"/>
  <c r="U3" i="86" s="1"/>
  <c r="V2" i="86"/>
  <c r="V3" i="86" s="1"/>
  <c r="W2" i="86"/>
  <c r="W3" i="86" s="1"/>
  <c r="X2" i="86"/>
  <c r="X3" i="86" s="1"/>
  <c r="Y2" i="86"/>
  <c r="Y3" i="86" s="1"/>
  <c r="Z2" i="86"/>
  <c r="Z3" i="86" s="1"/>
  <c r="AA2" i="86"/>
  <c r="AA3" i="86" s="1"/>
  <c r="AB2" i="86"/>
  <c r="AB3" i="86" s="1"/>
  <c r="AC2" i="86"/>
  <c r="AC3" i="86" s="1"/>
  <c r="AD2" i="86"/>
  <c r="AD3" i="86" s="1"/>
  <c r="AE2" i="86"/>
  <c r="AE3" i="86" s="1"/>
  <c r="AF2" i="86"/>
  <c r="AF3" i="86" s="1"/>
  <c r="B2" i="86"/>
  <c r="B3" i="86" s="1"/>
  <c r="AI5" i="86"/>
  <c r="AJ5" i="86" s="1"/>
  <c r="AE5" i="102" s="1"/>
  <c r="AI6" i="86"/>
  <c r="AJ6" i="86" s="1"/>
  <c r="AE6" i="102" s="1"/>
  <c r="AI7" i="86"/>
  <c r="AJ7" i="86" s="1"/>
  <c r="AE7" i="102" s="1"/>
  <c r="AI8" i="86"/>
  <c r="AJ8" i="86" s="1"/>
  <c r="AE8" i="102" s="1"/>
  <c r="AI9" i="86"/>
  <c r="AJ9" i="86" s="1"/>
  <c r="AE9" i="102" s="1"/>
  <c r="AI11" i="86"/>
  <c r="AJ11" i="86" s="1"/>
  <c r="AE11" i="102" s="1"/>
  <c r="AM5" i="86"/>
  <c r="AN5" i="86" s="1"/>
  <c r="AI5" i="102" s="1"/>
  <c r="AM6" i="86"/>
  <c r="AN6" i="86" s="1"/>
  <c r="AI6" i="102" s="1"/>
  <c r="AM7" i="86"/>
  <c r="AN7" i="86" s="1"/>
  <c r="AI7" i="102" s="1"/>
  <c r="AM8" i="86"/>
  <c r="AN8" i="86" s="1"/>
  <c r="AI8" i="102" s="1"/>
  <c r="AM9" i="86"/>
  <c r="AN9" i="86" s="1"/>
  <c r="AI9" i="102" s="1"/>
  <c r="AM11" i="86"/>
  <c r="AG6" i="102" l="1"/>
  <c r="AH6" i="103" s="1"/>
  <c r="AJ6" i="103" s="1"/>
  <c r="AG6" i="113" s="1"/>
  <c r="AI6" i="113" s="1"/>
  <c r="AK6" i="102"/>
  <c r="AL6" i="103" s="1"/>
  <c r="AN6" i="103" s="1"/>
  <c r="AK6" i="113" s="1"/>
  <c r="AM6" i="113" s="1"/>
  <c r="AH6" i="114" s="1"/>
  <c r="AJ6" i="114" s="1"/>
  <c r="AG6" i="115" s="1"/>
  <c r="AI6" i="115" s="1"/>
  <c r="AH6" i="116" s="1"/>
  <c r="AJ6" i="116" s="1"/>
  <c r="AH6" i="118" s="1"/>
  <c r="AJ6" i="118" s="1"/>
  <c r="AG6" i="119" s="1"/>
  <c r="AI6" i="119" s="1"/>
  <c r="AH6" i="121" s="1"/>
  <c r="AJ6" i="121" s="1"/>
  <c r="AG6" i="122" s="1"/>
  <c r="AI6" i="122" s="1"/>
  <c r="AH6" i="123" s="1"/>
  <c r="AJ6" i="123" s="1"/>
  <c r="AK9" i="102"/>
  <c r="AL9" i="103" s="1"/>
  <c r="AN9" i="103" s="1"/>
  <c r="AK9" i="113" s="1"/>
  <c r="AM9" i="113" s="1"/>
  <c r="AH9" i="114" s="1"/>
  <c r="AJ9" i="114" s="1"/>
  <c r="AG9" i="115" s="1"/>
  <c r="AI9" i="115" s="1"/>
  <c r="AH9" i="116" s="1"/>
  <c r="AJ9" i="116" s="1"/>
  <c r="AH9" i="118" s="1"/>
  <c r="AJ9" i="118" s="1"/>
  <c r="AG9" i="119" s="1"/>
  <c r="AI9" i="119" s="1"/>
  <c r="AH9" i="121" s="1"/>
  <c r="AJ9" i="121" s="1"/>
  <c r="AG9" i="122" s="1"/>
  <c r="AI9" i="122" s="1"/>
  <c r="AH9" i="123" s="1"/>
  <c r="AJ9" i="123" s="1"/>
  <c r="AG11" i="102"/>
  <c r="AH11" i="103" s="1"/>
  <c r="AJ11" i="103" s="1"/>
  <c r="AG11" i="113" s="1"/>
  <c r="AI11" i="113" s="1"/>
  <c r="AG8" i="102"/>
  <c r="AH8" i="103" s="1"/>
  <c r="AJ8" i="103" s="1"/>
  <c r="AG8" i="113" s="1"/>
  <c r="AI8" i="113" s="1"/>
  <c r="AK8" i="102"/>
  <c r="AL8" i="103" s="1"/>
  <c r="AN8" i="103" s="1"/>
  <c r="AK8" i="113" s="1"/>
  <c r="AM8" i="113" s="1"/>
  <c r="AH8" i="114" s="1"/>
  <c r="AJ8" i="114" s="1"/>
  <c r="AG8" i="115" s="1"/>
  <c r="AI8" i="115" s="1"/>
  <c r="AH8" i="116" s="1"/>
  <c r="AJ8" i="116" s="1"/>
  <c r="AH8" i="118" s="1"/>
  <c r="AJ8" i="118" s="1"/>
  <c r="AG8" i="119" s="1"/>
  <c r="AI8" i="119" s="1"/>
  <c r="AH8" i="121" s="1"/>
  <c r="AJ8" i="121" s="1"/>
  <c r="AG8" i="122" s="1"/>
  <c r="AI8" i="122" s="1"/>
  <c r="AH8" i="123" s="1"/>
  <c r="AJ8" i="123" s="1"/>
  <c r="AK5" i="102"/>
  <c r="AL5" i="103" s="1"/>
  <c r="AN5" i="103" s="1"/>
  <c r="AK5" i="113" s="1"/>
  <c r="AM5" i="113" s="1"/>
  <c r="AH5" i="114" s="1"/>
  <c r="AJ5" i="114" s="1"/>
  <c r="AG5" i="115" s="1"/>
  <c r="AI5" i="115" s="1"/>
  <c r="AH5" i="116" s="1"/>
  <c r="AJ5" i="116" s="1"/>
  <c r="AH5" i="118" s="1"/>
  <c r="AJ5" i="118" s="1"/>
  <c r="AG5" i="119" s="1"/>
  <c r="AI5" i="119" s="1"/>
  <c r="AH5" i="121" s="1"/>
  <c r="AJ5" i="121" s="1"/>
  <c r="AG5" i="122" s="1"/>
  <c r="AI5" i="122" s="1"/>
  <c r="AH5" i="123" s="1"/>
  <c r="AJ5" i="123" s="1"/>
  <c r="AG5" i="102"/>
  <c r="AH5" i="103" s="1"/>
  <c r="AJ5" i="103" s="1"/>
  <c r="AG5" i="113" s="1"/>
  <c r="AI5" i="113" s="1"/>
  <c r="AG9" i="102"/>
  <c r="AH9" i="103" s="1"/>
  <c r="AJ9" i="103" s="1"/>
  <c r="AG9" i="113" s="1"/>
  <c r="AI9" i="113" s="1"/>
  <c r="AG7" i="102"/>
  <c r="AH7" i="103" s="1"/>
  <c r="AJ7" i="103" s="1"/>
  <c r="AG7" i="113" s="1"/>
  <c r="AI7" i="113" s="1"/>
  <c r="AK7" i="102"/>
  <c r="AL7" i="103" s="1"/>
  <c r="AN7" i="103" s="1"/>
  <c r="AK7" i="113" s="1"/>
  <c r="AM7" i="113" s="1"/>
  <c r="AH7" i="114" s="1"/>
  <c r="AJ7" i="114" s="1"/>
  <c r="AG7" i="115" s="1"/>
  <c r="AI7" i="115" s="1"/>
  <c r="AH7" i="116" s="1"/>
  <c r="AJ7" i="116" s="1"/>
  <c r="AH7" i="118" s="1"/>
  <c r="AJ7" i="118" s="1"/>
  <c r="AG7" i="119" s="1"/>
  <c r="AI7" i="119" s="1"/>
  <c r="AH7" i="121" s="1"/>
  <c r="AJ7" i="121" s="1"/>
  <c r="AG7" i="122" s="1"/>
  <c r="AI7" i="122" s="1"/>
  <c r="AH7" i="123" s="1"/>
  <c r="AJ7" i="123" s="1"/>
  <c r="AJ4" i="86"/>
  <c r="AE4" i="102" s="1"/>
  <c r="AG4" i="102" s="1"/>
  <c r="AH4" i="103" s="1"/>
  <c r="AJ4" i="103" s="1"/>
  <c r="AG4" i="113" s="1"/>
  <c r="AI4" i="113" s="1"/>
  <c r="AI10" i="86"/>
  <c r="AJ10" i="86" s="1"/>
  <c r="AE10" i="102" s="1"/>
  <c r="AG10" i="102" s="1"/>
  <c r="AH10" i="103" s="1"/>
  <c r="AJ10" i="103" s="1"/>
  <c r="AG10" i="113" s="1"/>
  <c r="AI10" i="113" s="1"/>
  <c r="AN11" i="86"/>
  <c r="AI11" i="102" s="1"/>
  <c r="AK11" i="102" s="1"/>
  <c r="AL11" i="103" s="1"/>
  <c r="AN11" i="103" s="1"/>
  <c r="AK11" i="113" s="1"/>
  <c r="AM11" i="113" s="1"/>
  <c r="AH11" i="114" s="1"/>
  <c r="AJ11" i="114" s="1"/>
  <c r="AG11" i="115" s="1"/>
  <c r="AI11" i="115" s="1"/>
  <c r="AH11" i="116" s="1"/>
  <c r="AJ11" i="116" s="1"/>
  <c r="AH11" i="118" s="1"/>
  <c r="AJ11" i="118" s="1"/>
  <c r="AG11" i="119" s="1"/>
  <c r="AI11" i="119" s="1"/>
  <c r="AH11" i="121" s="1"/>
  <c r="AJ11" i="121" s="1"/>
  <c r="AG11" i="122" s="1"/>
  <c r="AI11" i="122" s="1"/>
  <c r="AH11" i="123" s="1"/>
  <c r="AJ11" i="123" s="1"/>
  <c r="AN10" i="86"/>
  <c r="AI10" i="102" s="1"/>
  <c r="AK10" i="102" s="1"/>
  <c r="AL10" i="103" s="1"/>
  <c r="AN10" i="103" s="1"/>
  <c r="AK10" i="113" s="1"/>
  <c r="AM10" i="113" s="1"/>
  <c r="AH10" i="114" s="1"/>
  <c r="AJ10" i="114" s="1"/>
  <c r="AG10" i="115" s="1"/>
  <c r="AI10" i="115" s="1"/>
  <c r="AH10" i="116" s="1"/>
  <c r="AJ10" i="116" s="1"/>
  <c r="AH10" i="118" s="1"/>
  <c r="AJ10" i="118" s="1"/>
  <c r="AG10" i="119" s="1"/>
  <c r="AI10" i="119" s="1"/>
  <c r="AH10" i="121" s="1"/>
  <c r="AJ10" i="121" s="1"/>
  <c r="AG10" i="122" s="1"/>
  <c r="AI10" i="122" s="1"/>
  <c r="AH10" i="123" s="1"/>
  <c r="AJ10" i="123" s="1"/>
  <c r="AN4" i="86"/>
  <c r="AI4" i="102" s="1"/>
  <c r="AK4" i="102" s="1"/>
  <c r="AL4" i="103" s="1"/>
  <c r="AN4" i="103" s="1"/>
  <c r="AK4" i="113" s="1"/>
  <c r="AM4" i="113" s="1"/>
  <c r="AH4" i="114" s="1"/>
  <c r="AJ4" i="114" s="1"/>
  <c r="AG4" i="115" s="1"/>
  <c r="AI4" i="115" s="1"/>
  <c r="AH4" i="116" s="1"/>
  <c r="AJ4" i="116" s="1"/>
  <c r="AH4" i="118" s="1"/>
  <c r="AJ4" i="118" s="1"/>
  <c r="AG4" i="119" s="1"/>
  <c r="AI4" i="119" s="1"/>
  <c r="AH4" i="121" s="1"/>
  <c r="AJ4" i="121" s="1"/>
  <c r="AG4" i="122" s="1"/>
  <c r="AI4" i="122" s="1"/>
  <c r="AH4" i="123" s="1"/>
  <c r="AJ4" i="123" s="1"/>
</calcChain>
</file>

<file path=xl/sharedStrings.xml><?xml version="1.0" encoding="utf-8"?>
<sst xmlns="http://schemas.openxmlformats.org/spreadsheetml/2006/main" count="4036" uniqueCount="81">
  <si>
    <t>LGSP - Lufthansa Ground Services Portugal              NIF : 509 842 593          Atividade: CAE 52230.R3           Sede e local de trabalho: Avenida da Boavista ED.Burgo, 1837 sala 13.4/  Horario de Funcionamento: 24/7   IRT : Nao Aplicavel</t>
  </si>
  <si>
    <t>Ferias 2025</t>
  </si>
  <si>
    <t>Ferias 2026</t>
  </si>
  <si>
    <t>Used</t>
  </si>
  <si>
    <t>Left</t>
  </si>
  <si>
    <t>LUISA TAVARES</t>
  </si>
  <si>
    <t>H</t>
  </si>
  <si>
    <t>UA</t>
  </si>
  <si>
    <t>F</t>
  </si>
  <si>
    <t>P09</t>
  </si>
  <si>
    <t>P08</t>
  </si>
  <si>
    <t>P06</t>
  </si>
  <si>
    <t>FABIO FILIPE PEREIRA</t>
  </si>
  <si>
    <t>ARNOLD LUANZAMBI</t>
  </si>
  <si>
    <t>BEATRIZ SEIXAS</t>
  </si>
  <si>
    <t>P14</t>
  </si>
  <si>
    <t>U</t>
  </si>
  <si>
    <t>PAULO COSTA</t>
  </si>
  <si>
    <t>B</t>
  </si>
  <si>
    <t>PEDRO SOARES</t>
  </si>
  <si>
    <t>JOSE ALEXANDRE FERREIRA</t>
  </si>
  <si>
    <t>RICHARD JESUS</t>
  </si>
  <si>
    <t>Total P06</t>
  </si>
  <si>
    <t>Total P14</t>
  </si>
  <si>
    <t>Horario</t>
  </si>
  <si>
    <t>Pausa</t>
  </si>
  <si>
    <t>Folga</t>
  </si>
  <si>
    <t>FJ</t>
  </si>
  <si>
    <t>Falta Justificada</t>
  </si>
  <si>
    <t>Provisório</t>
  </si>
  <si>
    <t>06:00-14:00</t>
  </si>
  <si>
    <t>10:00-10:30</t>
  </si>
  <si>
    <t>A</t>
  </si>
  <si>
    <t>Folga de compensacao</t>
  </si>
  <si>
    <t>FINJ</t>
  </si>
  <si>
    <t>Falta Injustificada</t>
  </si>
  <si>
    <t>08:00-16:00</t>
  </si>
  <si>
    <t>12:00-12:30</t>
  </si>
  <si>
    <t>Feriado</t>
  </si>
  <si>
    <t>M</t>
  </si>
  <si>
    <t>Licenca</t>
  </si>
  <si>
    <t>09:00-17:00</t>
  </si>
  <si>
    <t>13:00-13:30</t>
  </si>
  <si>
    <t>Ferias</t>
  </si>
  <si>
    <t>P</t>
  </si>
  <si>
    <t>14:00-22:00</t>
  </si>
  <si>
    <t>18:00-18:30</t>
  </si>
  <si>
    <t>Ferias do ano anterior</t>
  </si>
  <si>
    <t>S1</t>
  </si>
  <si>
    <t>P22</t>
  </si>
  <si>
    <t>22:00-06:00</t>
  </si>
  <si>
    <t>02:00-02:30</t>
  </si>
  <si>
    <t>Feriado nao aprovado</t>
  </si>
  <si>
    <t>K</t>
  </si>
  <si>
    <t>Ausente</t>
  </si>
  <si>
    <t>Dia de ferias nao aprovado</t>
  </si>
  <si>
    <t>K1</t>
  </si>
  <si>
    <t>Birthday</t>
  </si>
  <si>
    <t>K2</t>
  </si>
  <si>
    <t>B*</t>
  </si>
  <si>
    <t>Birthday - dia alternativo</t>
  </si>
  <si>
    <t>K6</t>
  </si>
  <si>
    <t>TR</t>
  </si>
  <si>
    <t>Training</t>
  </si>
  <si>
    <t>E</t>
  </si>
  <si>
    <t>S3</t>
  </si>
  <si>
    <t>Ausencia Especial</t>
  </si>
  <si>
    <t>EM</t>
  </si>
  <si>
    <t>TB</t>
  </si>
  <si>
    <t>Team Building</t>
  </si>
  <si>
    <t>J</t>
  </si>
  <si>
    <t>R</t>
  </si>
  <si>
    <t>Viagem em Servico</t>
  </si>
  <si>
    <t>NO</t>
  </si>
  <si>
    <t>D</t>
  </si>
  <si>
    <t>Viagem em Servico Alemanha</t>
  </si>
  <si>
    <t>CM1</t>
  </si>
  <si>
    <t xml:space="preserve">SE </t>
  </si>
  <si>
    <t>Servico Especial</t>
  </si>
  <si>
    <t>V</t>
  </si>
  <si>
    <t>Solidariedade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</si>
</sst>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name val="Lufthansa Office Text"/>
      <family val="2"/>
    </font>
    <font>
      <b/>
      <sz val="10"/>
      <color theme="0"/>
      <name val="Lufthansa Office Text"/>
      <family val="2"/>
    </font>
    <font>
      <b/>
      <sz val="10"/>
      <color rgb="FFFFFFFF"/>
      <name val="Lufthansa Office Text"/>
      <family val="2"/>
    </font>
    <font>
      <sz val="10"/>
      <color rgb="FF000000"/>
      <name val="Lufthansa Office Text"/>
      <family val="2"/>
    </font>
    <font>
      <sz val="10"/>
      <name val="Lufthansa Office Text"/>
      <family val="2"/>
    </font>
    <font>
      <b/>
      <sz val="10"/>
      <color rgb="FF000000"/>
      <name val="Lufthansa Office Text"/>
      <family val="2"/>
    </font>
    <font>
      <sz val="10"/>
      <color rgb="FFFF0000"/>
      <name val="Lufthansa Office Text"/>
      <family val="2"/>
    </font>
    <font>
      <sz val="10"/>
      <color theme="1"/>
      <name val="Lufthansa Office Text"/>
      <family val="2"/>
    </font>
    <font>
      <sz val="22"/>
      <color rgb="FF000000"/>
      <name val="Lufthansa Office Text"/>
      <family val="2"/>
    </font>
  </fonts>
  <fills count="22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D46DB"/>
        <bgColor rgb="FF000000"/>
      </patternFill>
    </fill>
    <fill>
      <patternFill patternType="solid">
        <fgColor rgb="FFFF6699"/>
        <bgColor rgb="FF000000"/>
      </patternFill>
    </fill>
    <fill>
      <patternFill patternType="solid">
        <fgColor rgb="FF806000"/>
        <bgColor indexed="64"/>
      </patternFill>
    </fill>
    <fill>
      <patternFill patternType="solid">
        <fgColor rgb="FF05164D"/>
        <bgColor indexed="64"/>
      </patternFill>
    </fill>
    <fill>
      <patternFill patternType="solid">
        <fgColor rgb="FF878787"/>
        <bgColor rgb="FF000000"/>
      </patternFill>
    </fill>
    <fill>
      <patternFill patternType="solid">
        <fgColor rgb="FFDCDCDC"/>
        <bgColor rgb="FF000000"/>
      </patternFill>
    </fill>
    <fill>
      <patternFill patternType="solid">
        <fgColor rgb="FF878787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05164D"/>
        <bgColor rgb="FF000000"/>
      </patternFill>
    </fill>
    <fill>
      <patternFill patternType="solid">
        <fgColor rgb="FFFFAD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5" fillId="0" borderId="0" xfId="0" applyFont="1"/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3" fillId="13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0" fontId="4" fillId="21" borderId="1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17" fontId="2" fillId="9" borderId="1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20" borderId="14" xfId="0" applyFont="1" applyFill="1" applyBorder="1" applyAlignment="1">
      <alignment horizontal="center" vertical="center"/>
    </xf>
    <xf numFmtId="0" fontId="9" fillId="20" borderId="15" xfId="0" applyFont="1" applyFill="1" applyBorder="1" applyAlignment="1">
      <alignment horizontal="center" vertical="center"/>
    </xf>
    <xf numFmtId="0" fontId="9" fillId="20" borderId="16" xfId="0" applyFont="1" applyFill="1" applyBorder="1" applyAlignment="1">
      <alignment horizontal="center" vertical="center"/>
    </xf>
    <xf numFmtId="0" fontId="9" fillId="20" borderId="0" xfId="0" applyFont="1" applyFill="1" applyAlignment="1">
      <alignment horizontal="center" vertical="center"/>
    </xf>
  </cellXfs>
  <cellStyles count="1">
    <cellStyle name="Normal" xfId="0" builtinId="0"/>
  </cellStyles>
  <dxfs count="36">
    <dxf>
      <font>
        <b/>
        <i val="0"/>
        <strike val="0"/>
        <u val="none"/>
        <color theme="0"/>
      </font>
      <fill>
        <patternFill>
          <bgColor rgb="FF0516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u val="none"/>
        <color theme="0"/>
      </font>
      <fill>
        <patternFill>
          <bgColor theme="3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u val="none"/>
        <color theme="0"/>
      </font>
      <fill>
        <patternFill>
          <bgColor theme="3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u val="none"/>
        <color theme="0"/>
      </font>
      <fill>
        <patternFill>
          <bgColor rgb="FF0516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u val="none"/>
        <color theme="0"/>
      </font>
      <fill>
        <patternFill>
          <bgColor theme="3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u val="none"/>
        <color theme="0"/>
      </font>
      <fill>
        <patternFill>
          <bgColor rgb="FF0516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u val="none"/>
        <color theme="0"/>
      </font>
      <fill>
        <patternFill>
          <bgColor theme="3" tint="-0.499984740745262"/>
        </patternFill>
      </fill>
    </dxf>
    <dxf>
      <font>
        <b/>
        <i val="0"/>
        <strike val="0"/>
        <u val="none"/>
        <color theme="0"/>
      </font>
      <fill>
        <patternFill>
          <bgColor theme="3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u val="none"/>
        <color theme="0"/>
      </font>
      <fill>
        <patternFill>
          <bgColor rgb="FF0516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u val="none"/>
        <color theme="0"/>
      </font>
      <fill>
        <patternFill>
          <bgColor theme="3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u val="none"/>
        <color theme="0"/>
      </font>
      <fill>
        <patternFill>
          <bgColor theme="3" tint="-0.499984740745262"/>
        </patternFill>
      </fill>
    </dxf>
    <dxf>
      <font>
        <b/>
        <i val="0"/>
        <strike val="0"/>
        <u val="none"/>
        <color theme="0"/>
      </font>
      <fill>
        <patternFill>
          <bgColor rgb="FF0516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5164D"/>
      <color rgb="FFFFAD00"/>
      <color rgb="FF806000"/>
      <color rgb="FFFF6699"/>
      <color rgb="FF878787"/>
      <color rgb="FFDCDCDC"/>
      <color rgb="FFA6F507"/>
      <color rgb="FF66FFFF"/>
      <color rgb="FF9D46DB"/>
      <color rgb="FF849A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92CF-5D0B-44CE-82DE-EA9D032000A0}">
  <dimension ref="A1:AN30"/>
  <sheetViews>
    <sheetView zoomScale="85" zoomScaleNormal="85" workbookViewId="0">
      <pane xSplit="1" ySplit="3" topLeftCell="D4" activePane="bottomRight" state="frozen"/>
      <selection pane="bottomRight" activeCell="K11" sqref="K11"/>
      <selection pane="bottomLeft"/>
      <selection pane="topRight"/>
    </sheetView>
  </sheetViews>
  <sheetFormatPr defaultColWidth="9.140625" defaultRowHeight="12.95"/>
  <cols>
    <col min="1" max="1" width="30.7109375" style="13" customWidth="1"/>
    <col min="2" max="40" width="6.7109375" style="13" customWidth="1"/>
    <col min="41" max="16384" width="9.140625" style="13"/>
  </cols>
  <sheetData>
    <row r="1" spans="1:40" ht="1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12"/>
      <c r="AH1" s="12"/>
      <c r="AI1" s="12"/>
      <c r="AJ1" s="12"/>
      <c r="AK1" s="12"/>
      <c r="AL1" s="12"/>
      <c r="AM1" s="12"/>
      <c r="AN1" s="12"/>
    </row>
    <row r="2" spans="1:40" ht="15" customHeight="1">
      <c r="A2" s="57">
        <v>46023</v>
      </c>
      <c r="B2" s="23">
        <f t="shared" ref="B2:AF2" si="0">IF(COLUMN(A1)&lt;=DAY(EOMONTH($A$2,0)),COLUMN(A1),"")</f>
        <v>1</v>
      </c>
      <c r="C2" s="21">
        <f t="shared" si="0"/>
        <v>2</v>
      </c>
      <c r="D2" s="21">
        <f t="shared" si="0"/>
        <v>3</v>
      </c>
      <c r="E2" s="21">
        <f t="shared" si="0"/>
        <v>4</v>
      </c>
      <c r="F2" s="21">
        <f t="shared" si="0"/>
        <v>5</v>
      </c>
      <c r="G2" s="21">
        <f t="shared" si="0"/>
        <v>6</v>
      </c>
      <c r="H2" s="21">
        <f t="shared" si="0"/>
        <v>7</v>
      </c>
      <c r="I2" s="21">
        <f t="shared" si="0"/>
        <v>8</v>
      </c>
      <c r="J2" s="21">
        <f t="shared" si="0"/>
        <v>9</v>
      </c>
      <c r="K2" s="21">
        <f t="shared" si="0"/>
        <v>10</v>
      </c>
      <c r="L2" s="21">
        <f t="shared" si="0"/>
        <v>11</v>
      </c>
      <c r="M2" s="21">
        <f t="shared" si="0"/>
        <v>12</v>
      </c>
      <c r="N2" s="21">
        <f t="shared" si="0"/>
        <v>13</v>
      </c>
      <c r="O2" s="21">
        <f t="shared" si="0"/>
        <v>14</v>
      </c>
      <c r="P2" s="21">
        <f t="shared" si="0"/>
        <v>15</v>
      </c>
      <c r="Q2" s="21">
        <f t="shared" si="0"/>
        <v>16</v>
      </c>
      <c r="R2" s="21">
        <f t="shared" si="0"/>
        <v>17</v>
      </c>
      <c r="S2" s="21">
        <f t="shared" si="0"/>
        <v>18</v>
      </c>
      <c r="T2" s="21">
        <f t="shared" si="0"/>
        <v>19</v>
      </c>
      <c r="U2" s="21">
        <f t="shared" si="0"/>
        <v>20</v>
      </c>
      <c r="V2" s="21">
        <f t="shared" si="0"/>
        <v>21</v>
      </c>
      <c r="W2" s="21">
        <f t="shared" si="0"/>
        <v>22</v>
      </c>
      <c r="X2" s="21">
        <f t="shared" si="0"/>
        <v>23</v>
      </c>
      <c r="Y2" s="21">
        <f t="shared" si="0"/>
        <v>24</v>
      </c>
      <c r="Z2" s="21">
        <f t="shared" si="0"/>
        <v>25</v>
      </c>
      <c r="AA2" s="21">
        <f t="shared" si="0"/>
        <v>26</v>
      </c>
      <c r="AB2" s="21">
        <f t="shared" si="0"/>
        <v>27</v>
      </c>
      <c r="AC2" s="21">
        <f t="shared" si="0"/>
        <v>28</v>
      </c>
      <c r="AD2" s="21">
        <f t="shared" si="0"/>
        <v>29</v>
      </c>
      <c r="AE2" s="21">
        <f t="shared" si="0"/>
        <v>30</v>
      </c>
      <c r="AF2" s="21">
        <f t="shared" si="0"/>
        <v>31</v>
      </c>
      <c r="AH2" s="44" t="s">
        <v>1</v>
      </c>
      <c r="AI2" s="45"/>
      <c r="AJ2" s="45"/>
      <c r="AL2" s="44" t="s">
        <v>2</v>
      </c>
      <c r="AM2" s="45"/>
      <c r="AN2" s="45"/>
    </row>
    <row r="3" spans="1:40" ht="15" customHeight="1">
      <c r="A3" s="57"/>
      <c r="B3" s="23" t="str">
        <f t="shared" ref="B3:AF3" si="1">UPPER(LEFT(TEXT(DATE(YEAR($A$2),MONTH($A$2),B2),"DDD"),2))</f>
        <v>TH</v>
      </c>
      <c r="C3" s="21" t="str">
        <f t="shared" si="1"/>
        <v>FR</v>
      </c>
      <c r="D3" s="21" t="str">
        <f t="shared" si="1"/>
        <v>SA</v>
      </c>
      <c r="E3" s="21" t="str">
        <f t="shared" si="1"/>
        <v>SU</v>
      </c>
      <c r="F3" s="21" t="str">
        <f t="shared" si="1"/>
        <v>MO</v>
      </c>
      <c r="G3" s="21" t="str">
        <f t="shared" si="1"/>
        <v>TU</v>
      </c>
      <c r="H3" s="21" t="str">
        <f t="shared" si="1"/>
        <v>WE</v>
      </c>
      <c r="I3" s="21" t="str">
        <f t="shared" si="1"/>
        <v>TH</v>
      </c>
      <c r="J3" s="21" t="str">
        <f t="shared" si="1"/>
        <v>FR</v>
      </c>
      <c r="K3" s="21" t="str">
        <f t="shared" si="1"/>
        <v>SA</v>
      </c>
      <c r="L3" s="21" t="str">
        <f t="shared" si="1"/>
        <v>SU</v>
      </c>
      <c r="M3" s="21" t="str">
        <f t="shared" si="1"/>
        <v>MO</v>
      </c>
      <c r="N3" s="21" t="str">
        <f t="shared" si="1"/>
        <v>TU</v>
      </c>
      <c r="O3" s="21" t="str">
        <f t="shared" si="1"/>
        <v>WE</v>
      </c>
      <c r="P3" s="21" t="str">
        <f t="shared" si="1"/>
        <v>TH</v>
      </c>
      <c r="Q3" s="21" t="str">
        <f t="shared" si="1"/>
        <v>FR</v>
      </c>
      <c r="R3" s="21" t="str">
        <f t="shared" si="1"/>
        <v>SA</v>
      </c>
      <c r="S3" s="21" t="str">
        <f t="shared" si="1"/>
        <v>SU</v>
      </c>
      <c r="T3" s="21" t="str">
        <f t="shared" si="1"/>
        <v>MO</v>
      </c>
      <c r="U3" s="21" t="str">
        <f t="shared" si="1"/>
        <v>TU</v>
      </c>
      <c r="V3" s="21" t="str">
        <f t="shared" si="1"/>
        <v>WE</v>
      </c>
      <c r="W3" s="21" t="str">
        <f t="shared" si="1"/>
        <v>TH</v>
      </c>
      <c r="X3" s="21" t="str">
        <f t="shared" si="1"/>
        <v>FR</v>
      </c>
      <c r="Y3" s="21" t="str">
        <f t="shared" si="1"/>
        <v>SA</v>
      </c>
      <c r="Z3" s="21" t="str">
        <f t="shared" si="1"/>
        <v>SU</v>
      </c>
      <c r="AA3" s="21" t="str">
        <f t="shared" si="1"/>
        <v>MO</v>
      </c>
      <c r="AB3" s="21" t="str">
        <f t="shared" si="1"/>
        <v>TU</v>
      </c>
      <c r="AC3" s="21" t="str">
        <f t="shared" si="1"/>
        <v>WE</v>
      </c>
      <c r="AD3" s="21" t="str">
        <f t="shared" si="1"/>
        <v>TH</v>
      </c>
      <c r="AE3" s="21" t="str">
        <f t="shared" si="1"/>
        <v>FR</v>
      </c>
      <c r="AF3" s="21" t="str">
        <f t="shared" si="1"/>
        <v>SA</v>
      </c>
      <c r="AH3" s="1">
        <v>2025</v>
      </c>
      <c r="AI3" s="2" t="s">
        <v>3</v>
      </c>
      <c r="AJ3" s="2" t="s">
        <v>4</v>
      </c>
      <c r="AL3" s="1">
        <v>2026</v>
      </c>
      <c r="AM3" s="2" t="s">
        <v>3</v>
      </c>
      <c r="AN3" s="2" t="s">
        <v>4</v>
      </c>
    </row>
    <row r="4" spans="1:40" ht="15" customHeight="1">
      <c r="A4" s="22" t="s">
        <v>5</v>
      </c>
      <c r="B4" s="23" t="s">
        <v>6</v>
      </c>
      <c r="C4" s="31" t="s">
        <v>7</v>
      </c>
      <c r="D4" s="14" t="s">
        <v>8</v>
      </c>
      <c r="E4" s="14" t="s">
        <v>8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14" t="s">
        <v>8</v>
      </c>
      <c r="L4" s="14" t="s">
        <v>8</v>
      </c>
      <c r="M4" s="5" t="s">
        <v>10</v>
      </c>
      <c r="N4" s="5" t="s">
        <v>9</v>
      </c>
      <c r="O4" s="3" t="s">
        <v>11</v>
      </c>
      <c r="P4" s="5" t="s">
        <v>9</v>
      </c>
      <c r="Q4" s="5" t="s">
        <v>9</v>
      </c>
      <c r="R4" s="14" t="s">
        <v>8</v>
      </c>
      <c r="S4" s="14" t="s">
        <v>8</v>
      </c>
      <c r="T4" s="5" t="s">
        <v>9</v>
      </c>
      <c r="U4" s="5" t="s">
        <v>9</v>
      </c>
      <c r="V4" s="5" t="s">
        <v>9</v>
      </c>
      <c r="W4" s="5" t="s">
        <v>9</v>
      </c>
      <c r="X4" s="5" t="s">
        <v>9</v>
      </c>
      <c r="Y4" s="14" t="s">
        <v>8</v>
      </c>
      <c r="Z4" s="14" t="s">
        <v>8</v>
      </c>
      <c r="AA4" s="5" t="s">
        <v>9</v>
      </c>
      <c r="AB4" s="5" t="s">
        <v>9</v>
      </c>
      <c r="AC4" s="5" t="s">
        <v>9</v>
      </c>
      <c r="AD4" s="5" t="s">
        <v>9</v>
      </c>
      <c r="AE4" s="5" t="s">
        <v>9</v>
      </c>
      <c r="AF4" s="14" t="s">
        <v>8</v>
      </c>
      <c r="AH4" s="43">
        <v>4</v>
      </c>
      <c r="AI4" s="15">
        <f>COUNTIF(B4:AF4,"UA")</f>
        <v>1</v>
      </c>
      <c r="AJ4" s="15">
        <f t="shared" ref="AJ4:AJ11" si="2">AH4-AI4</f>
        <v>3</v>
      </c>
      <c r="AL4" s="6">
        <v>22</v>
      </c>
      <c r="AM4" s="15">
        <f>COUNTIF(B4:AF4,"U")</f>
        <v>0</v>
      </c>
      <c r="AN4" s="15">
        <f t="shared" ref="AN4:AN11" si="3">AL4-AM4</f>
        <v>22</v>
      </c>
    </row>
    <row r="5" spans="1:40" ht="15" customHeight="1">
      <c r="A5" s="22" t="s">
        <v>12</v>
      </c>
      <c r="B5" s="23" t="s">
        <v>6</v>
      </c>
      <c r="C5" s="5" t="s">
        <v>9</v>
      </c>
      <c r="D5" s="14" t="s">
        <v>8</v>
      </c>
      <c r="E5" s="14" t="s">
        <v>8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9</v>
      </c>
      <c r="K5" s="14" t="s">
        <v>8</v>
      </c>
      <c r="L5" s="14" t="s">
        <v>8</v>
      </c>
      <c r="M5" s="5" t="s">
        <v>9</v>
      </c>
      <c r="N5" s="5" t="s">
        <v>9</v>
      </c>
      <c r="O5" s="5" t="s">
        <v>9</v>
      </c>
      <c r="P5" s="5" t="s">
        <v>9</v>
      </c>
      <c r="Q5" s="5" t="s">
        <v>9</v>
      </c>
      <c r="R5" s="14" t="s">
        <v>8</v>
      </c>
      <c r="S5" s="14" t="s">
        <v>8</v>
      </c>
      <c r="T5" s="5" t="s">
        <v>9</v>
      </c>
      <c r="U5" s="5" t="s">
        <v>9</v>
      </c>
      <c r="V5" s="5" t="s">
        <v>9</v>
      </c>
      <c r="W5" s="5" t="s">
        <v>9</v>
      </c>
      <c r="X5" s="5" t="s">
        <v>9</v>
      </c>
      <c r="Y5" s="14" t="s">
        <v>8</v>
      </c>
      <c r="Z5" s="14" t="s">
        <v>8</v>
      </c>
      <c r="AA5" s="5" t="s">
        <v>9</v>
      </c>
      <c r="AB5" s="5" t="s">
        <v>9</v>
      </c>
      <c r="AC5" s="5" t="s">
        <v>9</v>
      </c>
      <c r="AD5" s="5" t="s">
        <v>9</v>
      </c>
      <c r="AE5" s="3" t="s">
        <v>11</v>
      </c>
      <c r="AF5" s="14" t="s">
        <v>8</v>
      </c>
      <c r="AH5" s="43">
        <v>0</v>
      </c>
      <c r="AI5" s="15">
        <f t="shared" ref="AI4:AI11" si="4">COUNTIF(B5:AF5,"UA")</f>
        <v>0</v>
      </c>
      <c r="AJ5" s="15">
        <f t="shared" si="2"/>
        <v>0</v>
      </c>
      <c r="AL5" s="6">
        <v>22</v>
      </c>
      <c r="AM5" s="15">
        <f t="shared" ref="AM5:AM11" si="5">COUNTIF(B5:AF5,"U")</f>
        <v>0</v>
      </c>
      <c r="AN5" s="15">
        <f t="shared" si="3"/>
        <v>22</v>
      </c>
    </row>
    <row r="6" spans="1:40" ht="15" customHeight="1">
      <c r="A6" s="22" t="s">
        <v>13</v>
      </c>
      <c r="B6" s="23" t="s">
        <v>6</v>
      </c>
      <c r="C6" s="5" t="s">
        <v>9</v>
      </c>
      <c r="D6" s="14" t="s">
        <v>8</v>
      </c>
      <c r="E6" s="14" t="s">
        <v>8</v>
      </c>
      <c r="F6" s="5" t="s">
        <v>9</v>
      </c>
      <c r="G6" s="5" t="s">
        <v>9</v>
      </c>
      <c r="H6" s="5" t="s">
        <v>9</v>
      </c>
      <c r="I6" s="5" t="s">
        <v>9</v>
      </c>
      <c r="J6" s="5" t="s">
        <v>9</v>
      </c>
      <c r="K6" s="14" t="s">
        <v>8</v>
      </c>
      <c r="L6" s="14" t="s">
        <v>8</v>
      </c>
      <c r="M6" s="5" t="s">
        <v>9</v>
      </c>
      <c r="N6" s="5" t="s">
        <v>9</v>
      </c>
      <c r="O6" s="5" t="s">
        <v>9</v>
      </c>
      <c r="P6" s="5" t="s">
        <v>9</v>
      </c>
      <c r="Q6" s="5" t="s">
        <v>9</v>
      </c>
      <c r="R6" s="14" t="s">
        <v>8</v>
      </c>
      <c r="S6" s="14" t="s">
        <v>8</v>
      </c>
      <c r="T6" s="5" t="s">
        <v>9</v>
      </c>
      <c r="U6" s="5" t="s">
        <v>9</v>
      </c>
      <c r="V6" s="5" t="s">
        <v>9</v>
      </c>
      <c r="W6" s="5" t="s">
        <v>9</v>
      </c>
      <c r="X6" s="5" t="s">
        <v>9</v>
      </c>
      <c r="Y6" s="14" t="s">
        <v>8</v>
      </c>
      <c r="Z6" s="14" t="s">
        <v>8</v>
      </c>
      <c r="AA6" s="5" t="s">
        <v>9</v>
      </c>
      <c r="AB6" s="5" t="s">
        <v>9</v>
      </c>
      <c r="AC6" s="5" t="s">
        <v>9</v>
      </c>
      <c r="AD6" s="5" t="s">
        <v>9</v>
      </c>
      <c r="AE6" s="5" t="s">
        <v>9</v>
      </c>
      <c r="AF6" s="14" t="s">
        <v>8</v>
      </c>
      <c r="AH6" s="43">
        <v>8</v>
      </c>
      <c r="AI6" s="15">
        <f t="shared" si="4"/>
        <v>0</v>
      </c>
      <c r="AJ6" s="15">
        <f t="shared" si="2"/>
        <v>8</v>
      </c>
      <c r="AL6" s="6">
        <v>22</v>
      </c>
      <c r="AM6" s="15">
        <f t="shared" si="5"/>
        <v>0</v>
      </c>
      <c r="AN6" s="15">
        <f t="shared" si="3"/>
        <v>22</v>
      </c>
    </row>
    <row r="7" spans="1:40" ht="15" customHeight="1">
      <c r="A7" s="22" t="s">
        <v>14</v>
      </c>
      <c r="B7" s="14" t="s">
        <v>8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14" t="s">
        <v>8</v>
      </c>
      <c r="I7" s="14" t="s">
        <v>8</v>
      </c>
      <c r="J7" s="7" t="s">
        <v>15</v>
      </c>
      <c r="K7" s="7" t="s">
        <v>15</v>
      </c>
      <c r="L7" s="7" t="s">
        <v>15</v>
      </c>
      <c r="M7" s="7" t="s">
        <v>15</v>
      </c>
      <c r="N7" s="14" t="s">
        <v>8</v>
      </c>
      <c r="O7" s="3" t="s">
        <v>11</v>
      </c>
      <c r="P7" s="3" t="s">
        <v>11</v>
      </c>
      <c r="Q7" s="3" t="s">
        <v>11</v>
      </c>
      <c r="R7" s="14" t="s">
        <v>8</v>
      </c>
      <c r="S7" s="14" t="s">
        <v>8</v>
      </c>
      <c r="T7" s="14" t="s">
        <v>8</v>
      </c>
      <c r="U7" s="7" t="s">
        <v>15</v>
      </c>
      <c r="V7" s="7" t="s">
        <v>15</v>
      </c>
      <c r="W7" s="7" t="s">
        <v>15</v>
      </c>
      <c r="X7" s="7" t="s">
        <v>15</v>
      </c>
      <c r="Y7" s="7" t="s">
        <v>15</v>
      </c>
      <c r="Z7" s="7" t="s">
        <v>15</v>
      </c>
      <c r="AA7" s="14" t="s">
        <v>8</v>
      </c>
      <c r="AB7" s="14" t="s">
        <v>8</v>
      </c>
      <c r="AC7" s="31" t="s">
        <v>16</v>
      </c>
      <c r="AD7" s="31" t="s">
        <v>16</v>
      </c>
      <c r="AE7" s="31" t="s">
        <v>16</v>
      </c>
      <c r="AF7" s="31" t="s">
        <v>16</v>
      </c>
      <c r="AH7" s="43">
        <v>0</v>
      </c>
      <c r="AI7" s="15">
        <f t="shared" si="4"/>
        <v>0</v>
      </c>
      <c r="AJ7" s="15">
        <f t="shared" si="2"/>
        <v>0</v>
      </c>
      <c r="AL7" s="6">
        <v>22</v>
      </c>
      <c r="AM7" s="15">
        <f t="shared" si="5"/>
        <v>4</v>
      </c>
      <c r="AN7" s="15">
        <f t="shared" si="3"/>
        <v>18</v>
      </c>
    </row>
    <row r="8" spans="1:40" ht="15" customHeight="1">
      <c r="A8" s="22" t="s">
        <v>17</v>
      </c>
      <c r="B8" s="14" t="s">
        <v>8</v>
      </c>
      <c r="C8" s="14" t="s">
        <v>8</v>
      </c>
      <c r="D8" s="7" t="s">
        <v>15</v>
      </c>
      <c r="E8" s="7" t="s">
        <v>15</v>
      </c>
      <c r="F8" s="7" t="s">
        <v>15</v>
      </c>
      <c r="G8" s="7" t="s">
        <v>15</v>
      </c>
      <c r="H8" s="7" t="s">
        <v>15</v>
      </c>
      <c r="I8" s="14" t="s">
        <v>8</v>
      </c>
      <c r="J8" s="14" t="s">
        <v>8</v>
      </c>
      <c r="K8" s="3" t="s">
        <v>11</v>
      </c>
      <c r="L8" s="3" t="s">
        <v>11</v>
      </c>
      <c r="M8" s="3" t="s">
        <v>11</v>
      </c>
      <c r="N8" s="3" t="s">
        <v>11</v>
      </c>
      <c r="O8" s="14" t="s">
        <v>8</v>
      </c>
      <c r="P8" s="14" t="s">
        <v>8</v>
      </c>
      <c r="Q8" s="7" t="s">
        <v>15</v>
      </c>
      <c r="R8" s="7" t="s">
        <v>15</v>
      </c>
      <c r="S8" s="7" t="s">
        <v>15</v>
      </c>
      <c r="T8" s="7" t="s">
        <v>15</v>
      </c>
      <c r="U8" s="14" t="s">
        <v>8</v>
      </c>
      <c r="V8" s="14" t="s">
        <v>8</v>
      </c>
      <c r="W8" s="3" t="s">
        <v>11</v>
      </c>
      <c r="X8" s="3" t="s">
        <v>11</v>
      </c>
      <c r="Y8" s="3" t="s">
        <v>11</v>
      </c>
      <c r="Z8" s="3" t="s">
        <v>11</v>
      </c>
      <c r="AA8" s="3" t="s">
        <v>11</v>
      </c>
      <c r="AB8" s="14" t="s">
        <v>8</v>
      </c>
      <c r="AC8" s="14" t="s">
        <v>8</v>
      </c>
      <c r="AD8" s="31" t="s">
        <v>7</v>
      </c>
      <c r="AE8" s="33" t="s">
        <v>18</v>
      </c>
      <c r="AF8" s="31" t="s">
        <v>7</v>
      </c>
      <c r="AH8" s="43">
        <v>18</v>
      </c>
      <c r="AI8" s="15">
        <f t="shared" si="4"/>
        <v>2</v>
      </c>
      <c r="AJ8" s="15">
        <f t="shared" si="2"/>
        <v>16</v>
      </c>
      <c r="AL8" s="6">
        <v>22</v>
      </c>
      <c r="AM8" s="15">
        <f t="shared" si="5"/>
        <v>0</v>
      </c>
      <c r="AN8" s="15">
        <f t="shared" si="3"/>
        <v>22</v>
      </c>
    </row>
    <row r="9" spans="1:40" ht="15" customHeight="1">
      <c r="A9" s="22" t="s">
        <v>19</v>
      </c>
      <c r="B9" s="23" t="s">
        <v>6</v>
      </c>
      <c r="C9" s="14" t="s">
        <v>8</v>
      </c>
      <c r="D9" s="14" t="s">
        <v>8</v>
      </c>
      <c r="E9" s="31" t="s">
        <v>7</v>
      </c>
      <c r="F9" s="31" t="s">
        <v>7</v>
      </c>
      <c r="G9" s="31" t="s">
        <v>7</v>
      </c>
      <c r="H9" s="31" t="s">
        <v>7</v>
      </c>
      <c r="I9" s="31" t="s">
        <v>7</v>
      </c>
      <c r="J9" s="14" t="s">
        <v>8</v>
      </c>
      <c r="K9" s="14" t="s">
        <v>8</v>
      </c>
      <c r="L9" s="7" t="s">
        <v>15</v>
      </c>
      <c r="M9" s="7" t="s">
        <v>15</v>
      </c>
      <c r="N9" s="7" t="s">
        <v>15</v>
      </c>
      <c r="O9" s="7" t="s">
        <v>15</v>
      </c>
      <c r="P9" s="14" t="s">
        <v>8</v>
      </c>
      <c r="Q9" s="14" t="s">
        <v>8</v>
      </c>
      <c r="R9" s="3" t="s">
        <v>11</v>
      </c>
      <c r="S9" s="3" t="s">
        <v>11</v>
      </c>
      <c r="T9" s="3" t="s">
        <v>11</v>
      </c>
      <c r="U9" s="3" t="s">
        <v>11</v>
      </c>
      <c r="V9" s="14" t="s">
        <v>8</v>
      </c>
      <c r="W9" s="14" t="s">
        <v>8</v>
      </c>
      <c r="X9" s="7" t="s">
        <v>15</v>
      </c>
      <c r="Y9" s="7" t="s">
        <v>15</v>
      </c>
      <c r="Z9" s="7" t="s">
        <v>15</v>
      </c>
      <c r="AA9" s="7" t="s">
        <v>15</v>
      </c>
      <c r="AB9" s="7" t="s">
        <v>15</v>
      </c>
      <c r="AC9" s="14" t="s">
        <v>8</v>
      </c>
      <c r="AD9" s="14" t="s">
        <v>8</v>
      </c>
      <c r="AE9" s="7" t="s">
        <v>15</v>
      </c>
      <c r="AF9" s="7" t="s">
        <v>15</v>
      </c>
      <c r="AH9" s="43">
        <v>5</v>
      </c>
      <c r="AI9" s="15">
        <f t="shared" si="4"/>
        <v>5</v>
      </c>
      <c r="AJ9" s="15">
        <f t="shared" si="2"/>
        <v>0</v>
      </c>
      <c r="AL9" s="6">
        <v>22</v>
      </c>
      <c r="AM9" s="15">
        <f t="shared" si="5"/>
        <v>0</v>
      </c>
      <c r="AN9" s="15">
        <f t="shared" si="3"/>
        <v>22</v>
      </c>
    </row>
    <row r="10" spans="1:40" s="16" customFormat="1" ht="15" customHeight="1">
      <c r="A10" s="22" t="s">
        <v>20</v>
      </c>
      <c r="B10" s="7" t="s">
        <v>15</v>
      </c>
      <c r="C10" s="7" t="s">
        <v>15</v>
      </c>
      <c r="D10" s="7" t="s">
        <v>15</v>
      </c>
      <c r="E10" s="14" t="s">
        <v>8</v>
      </c>
      <c r="F10" s="14" t="s">
        <v>8</v>
      </c>
      <c r="G10" s="3" t="s">
        <v>11</v>
      </c>
      <c r="H10" s="3" t="s">
        <v>11</v>
      </c>
      <c r="I10" s="3" t="s">
        <v>11</v>
      </c>
      <c r="J10" s="3" t="s">
        <v>11</v>
      </c>
      <c r="K10" s="3" t="s">
        <v>11</v>
      </c>
      <c r="L10" s="14" t="s">
        <v>8</v>
      </c>
      <c r="M10" s="14" t="s">
        <v>8</v>
      </c>
      <c r="N10" s="7" t="s">
        <v>15</v>
      </c>
      <c r="O10" s="7" t="s">
        <v>15</v>
      </c>
      <c r="P10" s="7" t="s">
        <v>15</v>
      </c>
      <c r="Q10" s="7" t="s">
        <v>15</v>
      </c>
      <c r="R10" s="14" t="s">
        <v>8</v>
      </c>
      <c r="S10" s="14" t="s">
        <v>8</v>
      </c>
      <c r="T10" s="3" t="s">
        <v>11</v>
      </c>
      <c r="U10" s="3" t="s">
        <v>11</v>
      </c>
      <c r="V10" s="3" t="s">
        <v>11</v>
      </c>
      <c r="W10" s="3" t="s">
        <v>11</v>
      </c>
      <c r="X10" s="3" t="s">
        <v>11</v>
      </c>
      <c r="Y10" s="14" t="s">
        <v>8</v>
      </c>
      <c r="Z10" s="14" t="s">
        <v>8</v>
      </c>
      <c r="AA10" s="14" t="s">
        <v>8</v>
      </c>
      <c r="AB10" s="7" t="s">
        <v>15</v>
      </c>
      <c r="AC10" s="7" t="s">
        <v>15</v>
      </c>
      <c r="AD10" s="7" t="s">
        <v>15</v>
      </c>
      <c r="AE10" s="14" t="s">
        <v>8</v>
      </c>
      <c r="AF10" s="3" t="s">
        <v>11</v>
      </c>
      <c r="AG10" s="13"/>
      <c r="AH10" s="43">
        <v>0</v>
      </c>
      <c r="AI10" s="15">
        <f t="shared" si="4"/>
        <v>0</v>
      </c>
      <c r="AJ10" s="15">
        <f t="shared" si="2"/>
        <v>0</v>
      </c>
      <c r="AK10" s="13"/>
      <c r="AL10" s="6">
        <v>22</v>
      </c>
      <c r="AM10" s="15">
        <f>COUNTIF(B10:AF10,"U")</f>
        <v>0</v>
      </c>
      <c r="AN10" s="15">
        <f t="shared" si="3"/>
        <v>22</v>
      </c>
    </row>
    <row r="11" spans="1:40" ht="15" customHeight="1">
      <c r="A11" s="22" t="s">
        <v>21</v>
      </c>
      <c r="B11" s="3" t="s">
        <v>11</v>
      </c>
      <c r="C11" s="3" t="s">
        <v>11</v>
      </c>
      <c r="D11" s="3" t="s">
        <v>11</v>
      </c>
      <c r="E11" s="14" t="s">
        <v>8</v>
      </c>
      <c r="F11" s="14" t="s">
        <v>8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14" t="s">
        <v>8</v>
      </c>
      <c r="M11" s="14" t="s">
        <v>8</v>
      </c>
      <c r="N11" s="3" t="s">
        <v>11</v>
      </c>
      <c r="O11" s="3" t="s">
        <v>11</v>
      </c>
      <c r="P11" s="3" t="s">
        <v>11</v>
      </c>
      <c r="Q11" s="3" t="s">
        <v>11</v>
      </c>
      <c r="R11" s="14" t="s">
        <v>8</v>
      </c>
      <c r="S11" s="14" t="s">
        <v>8</v>
      </c>
      <c r="T11" s="7" t="s">
        <v>15</v>
      </c>
      <c r="U11" s="7" t="s">
        <v>15</v>
      </c>
      <c r="V11" s="7" t="s">
        <v>15</v>
      </c>
      <c r="W11" s="7" t="s">
        <v>15</v>
      </c>
      <c r="X11" s="7" t="s">
        <v>15</v>
      </c>
      <c r="Y11" s="14" t="s">
        <v>8</v>
      </c>
      <c r="Z11" s="14" t="s">
        <v>8</v>
      </c>
      <c r="AA11" s="3" t="s">
        <v>11</v>
      </c>
      <c r="AB11" s="3" t="s">
        <v>11</v>
      </c>
      <c r="AC11" s="3" t="s">
        <v>11</v>
      </c>
      <c r="AD11" s="3" t="s">
        <v>11</v>
      </c>
      <c r="AE11" s="14" t="s">
        <v>8</v>
      </c>
      <c r="AF11" s="14" t="s">
        <v>8</v>
      </c>
      <c r="AH11" s="43">
        <v>7</v>
      </c>
      <c r="AI11" s="15">
        <f t="shared" si="4"/>
        <v>0</v>
      </c>
      <c r="AJ11" s="15">
        <f t="shared" si="2"/>
        <v>7</v>
      </c>
      <c r="AL11" s="6">
        <v>22</v>
      </c>
      <c r="AM11" s="15">
        <f t="shared" si="5"/>
        <v>0</v>
      </c>
      <c r="AN11" s="15">
        <f t="shared" si="3"/>
        <v>22</v>
      </c>
    </row>
    <row r="13" spans="1:40">
      <c r="A13" s="3" t="s">
        <v>22</v>
      </c>
      <c r="B13" s="14">
        <f>COUNTIF(B4:B11,"P06")</f>
        <v>1</v>
      </c>
      <c r="C13" s="14">
        <f t="shared" ref="C13:AF13" si="6">COUNTIF(C4:C11,"P06")</f>
        <v>2</v>
      </c>
      <c r="D13" s="14">
        <f t="shared" si="6"/>
        <v>2</v>
      </c>
      <c r="E13" s="14">
        <f t="shared" si="6"/>
        <v>1</v>
      </c>
      <c r="F13" s="14">
        <f t="shared" si="6"/>
        <v>1</v>
      </c>
      <c r="G13" s="14">
        <f t="shared" si="6"/>
        <v>2</v>
      </c>
      <c r="H13" s="14">
        <f t="shared" si="6"/>
        <v>1</v>
      </c>
      <c r="I13" s="14">
        <f t="shared" si="6"/>
        <v>1</v>
      </c>
      <c r="J13" s="14">
        <f t="shared" si="6"/>
        <v>1</v>
      </c>
      <c r="K13" s="14">
        <f t="shared" si="6"/>
        <v>2</v>
      </c>
      <c r="L13" s="14">
        <f t="shared" si="6"/>
        <v>1</v>
      </c>
      <c r="M13" s="14">
        <f t="shared" si="6"/>
        <v>1</v>
      </c>
      <c r="N13" s="14">
        <f t="shared" si="6"/>
        <v>2</v>
      </c>
      <c r="O13" s="14">
        <f t="shared" si="6"/>
        <v>3</v>
      </c>
      <c r="P13" s="14">
        <f t="shared" si="6"/>
        <v>2</v>
      </c>
      <c r="Q13" s="14">
        <f t="shared" si="6"/>
        <v>2</v>
      </c>
      <c r="R13" s="14">
        <f t="shared" si="6"/>
        <v>1</v>
      </c>
      <c r="S13" s="14">
        <f t="shared" si="6"/>
        <v>1</v>
      </c>
      <c r="T13" s="14">
        <f t="shared" si="6"/>
        <v>2</v>
      </c>
      <c r="U13" s="14">
        <f t="shared" si="6"/>
        <v>2</v>
      </c>
      <c r="V13" s="14">
        <f t="shared" si="6"/>
        <v>1</v>
      </c>
      <c r="W13" s="14">
        <f t="shared" si="6"/>
        <v>2</v>
      </c>
      <c r="X13" s="14">
        <f t="shared" si="6"/>
        <v>2</v>
      </c>
      <c r="Y13" s="14">
        <f t="shared" si="6"/>
        <v>1</v>
      </c>
      <c r="Z13" s="14">
        <f t="shared" si="6"/>
        <v>1</v>
      </c>
      <c r="AA13" s="14">
        <f t="shared" si="6"/>
        <v>2</v>
      </c>
      <c r="AB13" s="14">
        <f t="shared" si="6"/>
        <v>1</v>
      </c>
      <c r="AC13" s="14">
        <f t="shared" si="6"/>
        <v>1</v>
      </c>
      <c r="AD13" s="14">
        <f t="shared" si="6"/>
        <v>1</v>
      </c>
      <c r="AE13" s="14">
        <f t="shared" si="6"/>
        <v>1</v>
      </c>
      <c r="AF13" s="14">
        <f t="shared" si="6"/>
        <v>1</v>
      </c>
    </row>
    <row r="14" spans="1:40">
      <c r="A14" s="7" t="s">
        <v>23</v>
      </c>
      <c r="B14" s="14">
        <f>COUNTIF(B4:B11,"P14")</f>
        <v>1</v>
      </c>
      <c r="C14" s="14">
        <f t="shared" ref="C14:AF14" si="7">COUNTIF(C4:C11,"P14")</f>
        <v>1</v>
      </c>
      <c r="D14" s="14">
        <f t="shared" si="7"/>
        <v>2</v>
      </c>
      <c r="E14" s="14">
        <f t="shared" si="7"/>
        <v>1</v>
      </c>
      <c r="F14" s="14">
        <f t="shared" si="7"/>
        <v>1</v>
      </c>
      <c r="G14" s="14">
        <f t="shared" si="7"/>
        <v>2</v>
      </c>
      <c r="H14" s="14">
        <f t="shared" si="7"/>
        <v>2</v>
      </c>
      <c r="I14" s="14">
        <f t="shared" si="7"/>
        <v>1</v>
      </c>
      <c r="J14" s="14">
        <f t="shared" si="7"/>
        <v>2</v>
      </c>
      <c r="K14" s="14">
        <f t="shared" si="7"/>
        <v>2</v>
      </c>
      <c r="L14" s="14">
        <f t="shared" si="7"/>
        <v>2</v>
      </c>
      <c r="M14" s="14">
        <f t="shared" si="7"/>
        <v>2</v>
      </c>
      <c r="N14" s="14">
        <f t="shared" si="7"/>
        <v>2</v>
      </c>
      <c r="O14" s="14">
        <f t="shared" si="7"/>
        <v>2</v>
      </c>
      <c r="P14" s="14">
        <f t="shared" si="7"/>
        <v>1</v>
      </c>
      <c r="Q14" s="14">
        <f t="shared" si="7"/>
        <v>2</v>
      </c>
      <c r="R14" s="14">
        <f t="shared" si="7"/>
        <v>1</v>
      </c>
      <c r="S14" s="14">
        <f t="shared" si="7"/>
        <v>1</v>
      </c>
      <c r="T14" s="14">
        <f t="shared" si="7"/>
        <v>2</v>
      </c>
      <c r="U14" s="14">
        <f t="shared" si="7"/>
        <v>2</v>
      </c>
      <c r="V14" s="14">
        <f t="shared" si="7"/>
        <v>2</v>
      </c>
      <c r="W14" s="14">
        <f t="shared" si="7"/>
        <v>2</v>
      </c>
      <c r="X14" s="14">
        <f t="shared" si="7"/>
        <v>3</v>
      </c>
      <c r="Y14" s="14">
        <f t="shared" si="7"/>
        <v>2</v>
      </c>
      <c r="Z14" s="14">
        <f t="shared" si="7"/>
        <v>2</v>
      </c>
      <c r="AA14" s="14">
        <f t="shared" si="7"/>
        <v>1</v>
      </c>
      <c r="AB14" s="14">
        <f t="shared" si="7"/>
        <v>2</v>
      </c>
      <c r="AC14" s="14">
        <f t="shared" si="7"/>
        <v>1</v>
      </c>
      <c r="AD14" s="14">
        <f t="shared" si="7"/>
        <v>1</v>
      </c>
      <c r="AE14" s="14">
        <f t="shared" si="7"/>
        <v>1</v>
      </c>
      <c r="AF14" s="14">
        <f t="shared" si="7"/>
        <v>1</v>
      </c>
    </row>
    <row r="15" spans="1:40" ht="13.5" thickBot="1"/>
    <row r="16" spans="1:40">
      <c r="E16" s="42"/>
      <c r="F16" s="46" t="s">
        <v>24</v>
      </c>
      <c r="G16" s="59"/>
      <c r="H16" s="46" t="s">
        <v>25</v>
      </c>
      <c r="I16" s="47"/>
      <c r="M16" s="6" t="s">
        <v>8</v>
      </c>
      <c r="N16" s="24" t="s">
        <v>26</v>
      </c>
      <c r="O16" s="25"/>
      <c r="P16" s="25"/>
      <c r="Q16" s="25"/>
      <c r="R16" s="25"/>
      <c r="S16" s="4" t="s">
        <v>27</v>
      </c>
      <c r="T16" s="26" t="s">
        <v>28</v>
      </c>
      <c r="U16" s="27"/>
      <c r="V16" s="27"/>
      <c r="W16" s="27"/>
      <c r="X16" s="28"/>
      <c r="Z16" s="60" t="s">
        <v>29</v>
      </c>
      <c r="AA16" s="61"/>
      <c r="AB16" s="61"/>
      <c r="AC16" s="61"/>
      <c r="AD16" s="61"/>
      <c r="AE16" s="61"/>
      <c r="AF16" s="61"/>
    </row>
    <row r="17" spans="5:32">
      <c r="E17" s="3" t="s">
        <v>11</v>
      </c>
      <c r="F17" s="48" t="s">
        <v>30</v>
      </c>
      <c r="G17" s="58"/>
      <c r="H17" s="48" t="s">
        <v>31</v>
      </c>
      <c r="I17" s="49"/>
      <c r="M17" s="11" t="s">
        <v>32</v>
      </c>
      <c r="N17" s="17" t="s">
        <v>33</v>
      </c>
      <c r="O17" s="29"/>
      <c r="P17" s="29"/>
      <c r="Q17" s="29"/>
      <c r="R17" s="29"/>
      <c r="S17" s="4" t="s">
        <v>34</v>
      </c>
      <c r="T17" s="17" t="s">
        <v>35</v>
      </c>
      <c r="U17" s="29"/>
      <c r="V17" s="29"/>
      <c r="W17" s="29"/>
      <c r="X17" s="19"/>
      <c r="Z17" s="62"/>
      <c r="AA17" s="63"/>
      <c r="AB17" s="63"/>
      <c r="AC17" s="63"/>
      <c r="AD17" s="63"/>
      <c r="AE17" s="63"/>
      <c r="AF17" s="63"/>
    </row>
    <row r="18" spans="5:32">
      <c r="E18" s="5" t="s">
        <v>10</v>
      </c>
      <c r="F18" s="50" t="s">
        <v>36</v>
      </c>
      <c r="G18" s="52"/>
      <c r="H18" s="50" t="s">
        <v>37</v>
      </c>
      <c r="I18" s="51"/>
      <c r="M18" s="23" t="s">
        <v>6</v>
      </c>
      <c r="N18" s="18" t="s">
        <v>38</v>
      </c>
      <c r="O18" s="30"/>
      <c r="P18" s="30"/>
      <c r="Q18" s="30"/>
      <c r="R18" s="30"/>
      <c r="S18" s="6" t="s">
        <v>39</v>
      </c>
      <c r="T18" s="17" t="s">
        <v>40</v>
      </c>
      <c r="U18" s="29"/>
      <c r="V18" s="29"/>
      <c r="W18" s="29"/>
      <c r="X18" s="19"/>
      <c r="Z18" s="62"/>
      <c r="AA18" s="63"/>
      <c r="AB18" s="63"/>
      <c r="AC18" s="63"/>
      <c r="AD18" s="63"/>
      <c r="AE18" s="63"/>
      <c r="AF18" s="63"/>
    </row>
    <row r="19" spans="5:32">
      <c r="E19" s="5" t="s">
        <v>9</v>
      </c>
      <c r="F19" s="50" t="s">
        <v>41</v>
      </c>
      <c r="G19" s="52"/>
      <c r="H19" s="50" t="s">
        <v>42</v>
      </c>
      <c r="I19" s="51"/>
      <c r="M19" s="31" t="s">
        <v>16</v>
      </c>
      <c r="N19" s="17" t="s">
        <v>43</v>
      </c>
      <c r="O19" s="29"/>
      <c r="P19" s="29"/>
      <c r="Q19" s="29"/>
      <c r="R19" s="29"/>
      <c r="S19" s="6" t="s">
        <v>44</v>
      </c>
      <c r="T19" s="17" t="s">
        <v>40</v>
      </c>
      <c r="U19" s="29"/>
      <c r="V19" s="29"/>
      <c r="W19" s="29"/>
      <c r="X19" s="19"/>
    </row>
    <row r="20" spans="5:32">
      <c r="E20" s="7" t="s">
        <v>15</v>
      </c>
      <c r="F20" s="50" t="s">
        <v>45</v>
      </c>
      <c r="G20" s="52"/>
      <c r="H20" s="50" t="s">
        <v>46</v>
      </c>
      <c r="I20" s="51"/>
      <c r="M20" s="31" t="s">
        <v>7</v>
      </c>
      <c r="N20" s="17" t="s">
        <v>47</v>
      </c>
      <c r="O20" s="29"/>
      <c r="P20" s="29"/>
      <c r="Q20" s="29"/>
      <c r="R20" s="19"/>
      <c r="S20" s="6" t="s">
        <v>48</v>
      </c>
      <c r="T20" s="17" t="s">
        <v>40</v>
      </c>
      <c r="U20" s="29"/>
      <c r="V20" s="29"/>
      <c r="W20" s="29"/>
      <c r="X20" s="19"/>
    </row>
    <row r="21" spans="5:32">
      <c r="E21" s="8" t="s">
        <v>49</v>
      </c>
      <c r="F21" s="53" t="s">
        <v>50</v>
      </c>
      <c r="G21" s="54"/>
      <c r="H21" s="53" t="s">
        <v>51</v>
      </c>
      <c r="I21" s="55"/>
      <c r="M21" s="32" t="s">
        <v>6</v>
      </c>
      <c r="N21" s="17" t="s">
        <v>52</v>
      </c>
      <c r="O21" s="29"/>
      <c r="P21" s="29"/>
      <c r="Q21" s="29"/>
      <c r="R21" s="29"/>
      <c r="S21" s="20" t="s">
        <v>53</v>
      </c>
      <c r="T21" s="17" t="s">
        <v>54</v>
      </c>
      <c r="U21" s="29"/>
      <c r="V21" s="29"/>
      <c r="W21" s="29"/>
      <c r="X21" s="19"/>
    </row>
    <row r="22" spans="5:32">
      <c r="M22" s="32" t="s">
        <v>16</v>
      </c>
      <c r="N22" s="17" t="s">
        <v>55</v>
      </c>
      <c r="O22" s="29"/>
      <c r="P22" s="29"/>
      <c r="Q22" s="29"/>
      <c r="R22" s="29"/>
      <c r="S22" s="9" t="s">
        <v>56</v>
      </c>
      <c r="T22" s="17" t="s">
        <v>54</v>
      </c>
      <c r="U22" s="29"/>
      <c r="V22" s="29"/>
      <c r="W22" s="29"/>
      <c r="X22" s="19"/>
    </row>
    <row r="23" spans="5:32">
      <c r="M23" s="33" t="s">
        <v>18</v>
      </c>
      <c r="N23" s="17" t="s">
        <v>57</v>
      </c>
      <c r="O23" s="29"/>
      <c r="P23" s="29"/>
      <c r="Q23" s="29"/>
      <c r="R23" s="29"/>
      <c r="S23" s="9" t="s">
        <v>58</v>
      </c>
      <c r="T23" s="17" t="s">
        <v>54</v>
      </c>
      <c r="U23" s="29"/>
      <c r="V23" s="29"/>
      <c r="W23" s="29"/>
      <c r="X23" s="19"/>
    </row>
    <row r="24" spans="5:32">
      <c r="M24" s="33" t="s">
        <v>59</v>
      </c>
      <c r="N24" s="17" t="s">
        <v>60</v>
      </c>
      <c r="O24" s="29"/>
      <c r="P24" s="29"/>
      <c r="Q24" s="29"/>
      <c r="R24" s="29"/>
      <c r="S24" s="9" t="s">
        <v>61</v>
      </c>
      <c r="T24" s="17" t="s">
        <v>54</v>
      </c>
      <c r="U24" s="29"/>
      <c r="V24" s="29"/>
      <c r="W24" s="29"/>
      <c r="X24" s="19"/>
    </row>
    <row r="25" spans="5:32">
      <c r="M25" s="34" t="s">
        <v>62</v>
      </c>
      <c r="N25" s="17" t="s">
        <v>63</v>
      </c>
      <c r="O25" s="29"/>
      <c r="P25" s="29"/>
      <c r="Q25" s="29"/>
      <c r="R25" s="29"/>
      <c r="S25" s="10" t="s">
        <v>64</v>
      </c>
      <c r="T25" s="17" t="s">
        <v>54</v>
      </c>
      <c r="U25" s="29"/>
      <c r="V25" s="29"/>
      <c r="W25" s="29"/>
      <c r="X25" s="19"/>
    </row>
    <row r="26" spans="5:32">
      <c r="M26" s="35" t="s">
        <v>65</v>
      </c>
      <c r="N26" s="17" t="s">
        <v>66</v>
      </c>
      <c r="O26" s="29"/>
      <c r="P26" s="29"/>
      <c r="Q26" s="29"/>
      <c r="R26" s="29"/>
      <c r="S26" s="6" t="s">
        <v>67</v>
      </c>
      <c r="T26" s="17" t="s">
        <v>54</v>
      </c>
      <c r="U26" s="29"/>
      <c r="V26" s="29"/>
      <c r="W26" s="29"/>
      <c r="X26" s="19"/>
    </row>
    <row r="27" spans="5:32">
      <c r="M27" s="36" t="s">
        <v>68</v>
      </c>
      <c r="N27" s="17" t="s">
        <v>69</v>
      </c>
      <c r="O27" s="29"/>
      <c r="P27" s="29"/>
      <c r="Q27" s="29"/>
      <c r="R27" s="29"/>
      <c r="S27" s="6" t="s">
        <v>70</v>
      </c>
      <c r="T27" s="17" t="s">
        <v>54</v>
      </c>
      <c r="U27" s="29"/>
      <c r="V27" s="29"/>
      <c r="W27" s="29"/>
      <c r="X27" s="19"/>
    </row>
    <row r="28" spans="5:32">
      <c r="M28" s="37" t="s">
        <v>71</v>
      </c>
      <c r="N28" s="18" t="s">
        <v>72</v>
      </c>
      <c r="O28" s="30"/>
      <c r="P28" s="30"/>
      <c r="Q28" s="30"/>
      <c r="R28" s="30"/>
      <c r="S28" s="11" t="s">
        <v>73</v>
      </c>
      <c r="T28" s="17" t="s">
        <v>54</v>
      </c>
      <c r="U28" s="29"/>
      <c r="V28" s="29"/>
      <c r="W28" s="29"/>
      <c r="X28" s="19"/>
    </row>
    <row r="29" spans="5:32">
      <c r="M29" s="10" t="s">
        <v>74</v>
      </c>
      <c r="N29" s="17" t="s">
        <v>75</v>
      </c>
      <c r="O29" s="29"/>
      <c r="P29" s="29"/>
      <c r="Q29" s="29"/>
      <c r="R29" s="29"/>
      <c r="S29" s="6" t="s">
        <v>76</v>
      </c>
      <c r="T29" s="17" t="s">
        <v>54</v>
      </c>
      <c r="U29" s="29"/>
      <c r="V29" s="29"/>
      <c r="W29" s="29"/>
      <c r="X29" s="19"/>
    </row>
    <row r="30" spans="5:32">
      <c r="M30" s="37" t="s">
        <v>77</v>
      </c>
      <c r="N30" s="38" t="s">
        <v>78</v>
      </c>
      <c r="O30" s="39"/>
      <c r="P30" s="39"/>
      <c r="Q30" s="39"/>
      <c r="R30" s="39"/>
      <c r="S30" s="40" t="s">
        <v>79</v>
      </c>
      <c r="T30" s="38" t="s">
        <v>80</v>
      </c>
      <c r="U30" s="39"/>
      <c r="V30" s="39"/>
      <c r="W30" s="39"/>
      <c r="X30" s="41"/>
    </row>
  </sheetData>
  <mergeCells count="17">
    <mergeCell ref="F21:G21"/>
    <mergeCell ref="H21:I21"/>
    <mergeCell ref="A1:AF1"/>
    <mergeCell ref="A2:A3"/>
    <mergeCell ref="AH2:AJ2"/>
    <mergeCell ref="F17:G17"/>
    <mergeCell ref="F18:G18"/>
    <mergeCell ref="F19:G19"/>
    <mergeCell ref="F16:G16"/>
    <mergeCell ref="H19:I19"/>
    <mergeCell ref="Z16:AF18"/>
    <mergeCell ref="AL2:AN2"/>
    <mergeCell ref="H16:I16"/>
    <mergeCell ref="H17:I17"/>
    <mergeCell ref="H18:I18"/>
    <mergeCell ref="F20:G20"/>
    <mergeCell ref="H20:I20"/>
  </mergeCells>
  <conditionalFormatting sqref="B13:AF14">
    <cfRule type="cellIs" dxfId="35" priority="1" operator="equal">
      <formula>0</formula>
    </cfRule>
    <cfRule type="cellIs" dxfId="34" priority="2" operator="greaterThan">
      <formula>0</formula>
    </cfRule>
  </conditionalFormatting>
  <conditionalFormatting sqref="C2:AF3">
    <cfRule type="expression" dxfId="33" priority="5">
      <formula>WEEKDAY(DATE(YEAR($A$2),MONTH($A$2),C$2),2)&gt;5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1B9E-1F8C-4966-83E5-6829517B3DD1}">
  <dimension ref="A1:AK30"/>
  <sheetViews>
    <sheetView zoomScale="85" zoomScaleNormal="85" workbookViewId="0">
      <pane xSplit="1" ySplit="3" topLeftCell="O4" activePane="bottomRight" state="frozen"/>
      <selection pane="bottomRight" activeCell="B10" sqref="B10"/>
      <selection pane="bottomLeft"/>
      <selection pane="topRight"/>
    </sheetView>
  </sheetViews>
  <sheetFormatPr defaultColWidth="9.140625" defaultRowHeight="12.95"/>
  <cols>
    <col min="1" max="1" width="30.7109375" style="13" customWidth="1"/>
    <col min="2" max="37" width="6.7109375" style="13" customWidth="1"/>
    <col min="38" max="16384" width="9.140625" style="13"/>
  </cols>
  <sheetData>
    <row r="1" spans="1:37" ht="1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12"/>
      <c r="AE1" s="12"/>
      <c r="AF1" s="12"/>
      <c r="AG1" s="12"/>
      <c r="AH1" s="12"/>
      <c r="AI1" s="12"/>
      <c r="AJ1" s="12"/>
      <c r="AK1" s="12"/>
    </row>
    <row r="2" spans="1:37" ht="15" customHeight="1">
      <c r="A2" s="57">
        <v>46054</v>
      </c>
      <c r="B2" s="21">
        <f>IF(COLUMN(A1)&lt;=DAY(EOMONTH($A$2,0)),COLUMN(A1),"")</f>
        <v>1</v>
      </c>
      <c r="C2" s="21">
        <f t="shared" ref="C2:AC2" si="0">IF(COLUMN(B1)&lt;=DAY(EOMONTH($A$2,0)),COLUMN(B1),"")</f>
        <v>2</v>
      </c>
      <c r="D2" s="21">
        <f t="shared" si="0"/>
        <v>3</v>
      </c>
      <c r="E2" s="21">
        <f t="shared" si="0"/>
        <v>4</v>
      </c>
      <c r="F2" s="21">
        <f t="shared" si="0"/>
        <v>5</v>
      </c>
      <c r="G2" s="21">
        <f t="shared" si="0"/>
        <v>6</v>
      </c>
      <c r="H2" s="21">
        <f t="shared" si="0"/>
        <v>7</v>
      </c>
      <c r="I2" s="21">
        <f t="shared" si="0"/>
        <v>8</v>
      </c>
      <c r="J2" s="21">
        <f t="shared" si="0"/>
        <v>9</v>
      </c>
      <c r="K2" s="21">
        <f t="shared" si="0"/>
        <v>10</v>
      </c>
      <c r="L2" s="21">
        <f t="shared" si="0"/>
        <v>11</v>
      </c>
      <c r="M2" s="21">
        <f t="shared" si="0"/>
        <v>12</v>
      </c>
      <c r="N2" s="21">
        <f t="shared" si="0"/>
        <v>13</v>
      </c>
      <c r="O2" s="21">
        <f t="shared" si="0"/>
        <v>14</v>
      </c>
      <c r="P2" s="21">
        <f t="shared" si="0"/>
        <v>15</v>
      </c>
      <c r="Q2" s="21">
        <f t="shared" si="0"/>
        <v>16</v>
      </c>
      <c r="R2" s="23">
        <f t="shared" si="0"/>
        <v>17</v>
      </c>
      <c r="S2" s="21">
        <f t="shared" si="0"/>
        <v>18</v>
      </c>
      <c r="T2" s="21">
        <f t="shared" si="0"/>
        <v>19</v>
      </c>
      <c r="U2" s="21">
        <f t="shared" si="0"/>
        <v>20</v>
      </c>
      <c r="V2" s="21">
        <f t="shared" si="0"/>
        <v>21</v>
      </c>
      <c r="W2" s="21">
        <f t="shared" si="0"/>
        <v>22</v>
      </c>
      <c r="X2" s="21">
        <f t="shared" si="0"/>
        <v>23</v>
      </c>
      <c r="Y2" s="21">
        <f t="shared" si="0"/>
        <v>24</v>
      </c>
      <c r="Z2" s="21">
        <f t="shared" si="0"/>
        <v>25</v>
      </c>
      <c r="AA2" s="21">
        <f t="shared" si="0"/>
        <v>26</v>
      </c>
      <c r="AB2" s="21">
        <f t="shared" si="0"/>
        <v>27</v>
      </c>
      <c r="AC2" s="21">
        <f t="shared" si="0"/>
        <v>28</v>
      </c>
      <c r="AE2" s="44" t="s">
        <v>1</v>
      </c>
      <c r="AF2" s="45"/>
      <c r="AG2" s="45"/>
      <c r="AI2" s="44" t="s">
        <v>2</v>
      </c>
      <c r="AJ2" s="45"/>
      <c r="AK2" s="45"/>
    </row>
    <row r="3" spans="1:37" ht="15" customHeight="1">
      <c r="A3" s="57"/>
      <c r="B3" s="21" t="str">
        <f>UPPER(LEFT(TEXT(DATE(YEAR($A$2),MONTH($A$2),B2),"DDD"),2))</f>
        <v>SU</v>
      </c>
      <c r="C3" s="21" t="str">
        <f t="shared" ref="C3:AC3" si="1">UPPER(LEFT(TEXT(DATE(YEAR($A$2),MONTH($A$2),C2),"DDD"),2))</f>
        <v>MO</v>
      </c>
      <c r="D3" s="21" t="str">
        <f t="shared" si="1"/>
        <v>TU</v>
      </c>
      <c r="E3" s="21" t="str">
        <f t="shared" si="1"/>
        <v>WE</v>
      </c>
      <c r="F3" s="21" t="str">
        <f t="shared" si="1"/>
        <v>TH</v>
      </c>
      <c r="G3" s="21" t="str">
        <f t="shared" si="1"/>
        <v>FR</v>
      </c>
      <c r="H3" s="21" t="str">
        <f t="shared" si="1"/>
        <v>SA</v>
      </c>
      <c r="I3" s="21" t="str">
        <f t="shared" si="1"/>
        <v>SU</v>
      </c>
      <c r="J3" s="21" t="str">
        <f t="shared" si="1"/>
        <v>MO</v>
      </c>
      <c r="K3" s="21" t="str">
        <f t="shared" si="1"/>
        <v>TU</v>
      </c>
      <c r="L3" s="21" t="str">
        <f t="shared" si="1"/>
        <v>WE</v>
      </c>
      <c r="M3" s="21" t="str">
        <f t="shared" si="1"/>
        <v>TH</v>
      </c>
      <c r="N3" s="21" t="str">
        <f t="shared" si="1"/>
        <v>FR</v>
      </c>
      <c r="O3" s="21" t="str">
        <f t="shared" si="1"/>
        <v>SA</v>
      </c>
      <c r="P3" s="21" t="str">
        <f t="shared" si="1"/>
        <v>SU</v>
      </c>
      <c r="Q3" s="21" t="str">
        <f t="shared" si="1"/>
        <v>MO</v>
      </c>
      <c r="R3" s="23" t="str">
        <f t="shared" si="1"/>
        <v>TU</v>
      </c>
      <c r="S3" s="21" t="str">
        <f t="shared" si="1"/>
        <v>WE</v>
      </c>
      <c r="T3" s="21" t="str">
        <f t="shared" si="1"/>
        <v>TH</v>
      </c>
      <c r="U3" s="21" t="str">
        <f t="shared" si="1"/>
        <v>FR</v>
      </c>
      <c r="V3" s="21" t="str">
        <f t="shared" si="1"/>
        <v>SA</v>
      </c>
      <c r="W3" s="21" t="str">
        <f t="shared" si="1"/>
        <v>SU</v>
      </c>
      <c r="X3" s="21" t="str">
        <f t="shared" si="1"/>
        <v>MO</v>
      </c>
      <c r="Y3" s="21" t="str">
        <f t="shared" si="1"/>
        <v>TU</v>
      </c>
      <c r="Z3" s="21" t="str">
        <f t="shared" si="1"/>
        <v>WE</v>
      </c>
      <c r="AA3" s="21" t="str">
        <f t="shared" si="1"/>
        <v>TH</v>
      </c>
      <c r="AB3" s="21" t="str">
        <f t="shared" si="1"/>
        <v>FR</v>
      </c>
      <c r="AC3" s="21" t="str">
        <f t="shared" si="1"/>
        <v>SA</v>
      </c>
      <c r="AE3" s="1">
        <v>2025</v>
      </c>
      <c r="AF3" s="2" t="s">
        <v>3</v>
      </c>
      <c r="AG3" s="2" t="s">
        <v>4</v>
      </c>
      <c r="AI3" s="1">
        <v>2026</v>
      </c>
      <c r="AJ3" s="2" t="s">
        <v>3</v>
      </c>
      <c r="AK3" s="2" t="s">
        <v>4</v>
      </c>
    </row>
    <row r="4" spans="1:37" ht="15" customHeight="1">
      <c r="A4" s="22" t="s">
        <v>5</v>
      </c>
      <c r="B4" s="6" t="s">
        <v>8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9</v>
      </c>
      <c r="H4" s="6" t="s">
        <v>8</v>
      </c>
      <c r="I4" s="6" t="s">
        <v>8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  <c r="O4" s="6" t="s">
        <v>8</v>
      </c>
      <c r="P4" s="6" t="s">
        <v>8</v>
      </c>
      <c r="Q4" s="5" t="s">
        <v>9</v>
      </c>
      <c r="R4" s="23" t="s">
        <v>6</v>
      </c>
      <c r="S4" s="5" t="s">
        <v>9</v>
      </c>
      <c r="T4" s="5" t="s">
        <v>9</v>
      </c>
      <c r="U4" s="5" t="s">
        <v>9</v>
      </c>
      <c r="V4" s="6" t="s">
        <v>8</v>
      </c>
      <c r="W4" s="6" t="s">
        <v>8</v>
      </c>
      <c r="X4" s="5" t="s">
        <v>9</v>
      </c>
      <c r="Y4" s="5" t="s">
        <v>9</v>
      </c>
      <c r="Z4" s="5" t="s">
        <v>9</v>
      </c>
      <c r="AA4" s="5" t="s">
        <v>9</v>
      </c>
      <c r="AB4" s="5" t="s">
        <v>9</v>
      </c>
      <c r="AC4" s="6" t="s">
        <v>8</v>
      </c>
      <c r="AE4" s="6">
        <f>JAN!AJ4</f>
        <v>3</v>
      </c>
      <c r="AF4" s="15">
        <f>COUNTIF(B4:AC4,"UA")</f>
        <v>0</v>
      </c>
      <c r="AG4" s="15">
        <f t="shared" ref="AG4:AG11" si="2">AE4-AF4</f>
        <v>3</v>
      </c>
      <c r="AI4" s="6">
        <f>JAN!AN4</f>
        <v>22</v>
      </c>
      <c r="AJ4" s="15">
        <f>COUNTIF(B4:AC4,"U")</f>
        <v>0</v>
      </c>
      <c r="AK4" s="15">
        <f t="shared" ref="AK4:AK11" si="3">AI4-AJ4</f>
        <v>22</v>
      </c>
    </row>
    <row r="5" spans="1:37" ht="15" customHeight="1">
      <c r="A5" s="22" t="s">
        <v>12</v>
      </c>
      <c r="B5" s="6" t="s">
        <v>8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6" t="s">
        <v>8</v>
      </c>
      <c r="I5" s="6" t="s">
        <v>8</v>
      </c>
      <c r="J5" s="5" t="s">
        <v>9</v>
      </c>
      <c r="K5" s="5" t="s">
        <v>9</v>
      </c>
      <c r="L5" s="5" t="s">
        <v>9</v>
      </c>
      <c r="M5" s="5" t="s">
        <v>9</v>
      </c>
      <c r="N5" s="5" t="s">
        <v>9</v>
      </c>
      <c r="O5" s="6" t="s">
        <v>8</v>
      </c>
      <c r="P5" s="6" t="s">
        <v>8</v>
      </c>
      <c r="Q5" s="5" t="s">
        <v>9</v>
      </c>
      <c r="R5" s="23" t="s">
        <v>6</v>
      </c>
      <c r="S5" s="5" t="s">
        <v>9</v>
      </c>
      <c r="T5" s="5" t="s">
        <v>9</v>
      </c>
      <c r="U5" s="5" t="s">
        <v>9</v>
      </c>
      <c r="V5" s="6" t="s">
        <v>8</v>
      </c>
      <c r="W5" s="6" t="s">
        <v>8</v>
      </c>
      <c r="X5" s="5" t="s">
        <v>9</v>
      </c>
      <c r="Y5" s="5" t="s">
        <v>9</v>
      </c>
      <c r="Z5" s="5" t="s">
        <v>9</v>
      </c>
      <c r="AA5" s="5" t="s">
        <v>9</v>
      </c>
      <c r="AB5" s="5" t="s">
        <v>9</v>
      </c>
      <c r="AC5" s="6" t="s">
        <v>8</v>
      </c>
      <c r="AE5" s="6">
        <f>JAN!AJ5</f>
        <v>0</v>
      </c>
      <c r="AF5" s="15">
        <f t="shared" ref="AF4:AF11" si="4">COUNTIF(B5:AC5,"UA")</f>
        <v>0</v>
      </c>
      <c r="AG5" s="15">
        <f t="shared" si="2"/>
        <v>0</v>
      </c>
      <c r="AI5" s="6">
        <f>JAN!AN5</f>
        <v>22</v>
      </c>
      <c r="AJ5" s="15">
        <f t="shared" ref="AJ4:AJ11" si="5">COUNTIF(B5:AC5,"U")</f>
        <v>0</v>
      </c>
      <c r="AK5" s="15">
        <f t="shared" si="3"/>
        <v>22</v>
      </c>
    </row>
    <row r="6" spans="1:37" ht="15" customHeight="1">
      <c r="A6" s="22" t="s">
        <v>13</v>
      </c>
      <c r="B6" s="6" t="s">
        <v>8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6" t="s">
        <v>8</v>
      </c>
      <c r="I6" s="6" t="s">
        <v>8</v>
      </c>
      <c r="J6" s="5" t="s">
        <v>9</v>
      </c>
      <c r="K6" s="5" t="s">
        <v>9</v>
      </c>
      <c r="L6" s="5" t="s">
        <v>9</v>
      </c>
      <c r="M6" s="5" t="s">
        <v>9</v>
      </c>
      <c r="N6" s="5" t="s">
        <v>9</v>
      </c>
      <c r="O6" s="6" t="s">
        <v>8</v>
      </c>
      <c r="P6" s="6" t="s">
        <v>8</v>
      </c>
      <c r="Q6" s="5" t="s">
        <v>9</v>
      </c>
      <c r="R6" s="23" t="s">
        <v>6</v>
      </c>
      <c r="S6" s="5" t="s">
        <v>9</v>
      </c>
      <c r="T6" s="5" t="s">
        <v>9</v>
      </c>
      <c r="U6" s="5" t="s">
        <v>9</v>
      </c>
      <c r="V6" s="6" t="s">
        <v>8</v>
      </c>
      <c r="W6" s="6" t="s">
        <v>8</v>
      </c>
      <c r="X6" s="5" t="s">
        <v>9</v>
      </c>
      <c r="Y6" s="5" t="s">
        <v>9</v>
      </c>
      <c r="Z6" s="5" t="s">
        <v>9</v>
      </c>
      <c r="AA6" s="5" t="s">
        <v>9</v>
      </c>
      <c r="AB6" s="5" t="s">
        <v>9</v>
      </c>
      <c r="AC6" s="6" t="s">
        <v>8</v>
      </c>
      <c r="AE6" s="6">
        <f>JAN!AJ6</f>
        <v>8</v>
      </c>
      <c r="AF6" s="15">
        <f t="shared" si="4"/>
        <v>0</v>
      </c>
      <c r="AG6" s="15">
        <f t="shared" si="2"/>
        <v>8</v>
      </c>
      <c r="AI6" s="6">
        <f>JAN!AN6</f>
        <v>22</v>
      </c>
      <c r="AJ6" s="15">
        <f t="shared" si="5"/>
        <v>0</v>
      </c>
      <c r="AK6" s="15">
        <f t="shared" si="3"/>
        <v>22</v>
      </c>
    </row>
    <row r="7" spans="1:37" ht="15" customHeight="1">
      <c r="A7" s="22" t="s">
        <v>14</v>
      </c>
      <c r="B7" s="6" t="s">
        <v>8</v>
      </c>
      <c r="C7" s="6" t="s">
        <v>8</v>
      </c>
      <c r="D7" s="7" t="s">
        <v>15</v>
      </c>
      <c r="E7" s="7" t="s">
        <v>15</v>
      </c>
      <c r="F7" s="7" t="s">
        <v>15</v>
      </c>
      <c r="G7" s="7" t="s">
        <v>15</v>
      </c>
      <c r="H7" s="6" t="s">
        <v>8</v>
      </c>
      <c r="I7" s="6" t="s">
        <v>8</v>
      </c>
      <c r="J7" s="3" t="s">
        <v>11</v>
      </c>
      <c r="K7" s="3" t="s">
        <v>11</v>
      </c>
      <c r="L7" s="3" t="s">
        <v>11</v>
      </c>
      <c r="M7" s="3" t="s">
        <v>11</v>
      </c>
      <c r="N7" s="6" t="s">
        <v>8</v>
      </c>
      <c r="O7" s="6" t="s">
        <v>8</v>
      </c>
      <c r="P7" s="7" t="s">
        <v>15</v>
      </c>
      <c r="Q7" s="7" t="s">
        <v>15</v>
      </c>
      <c r="R7" s="7" t="s">
        <v>15</v>
      </c>
      <c r="S7" s="7" t="s">
        <v>15</v>
      </c>
      <c r="T7" s="7" t="s">
        <v>15</v>
      </c>
      <c r="U7" s="6" t="s">
        <v>8</v>
      </c>
      <c r="V7" s="6" t="s">
        <v>8</v>
      </c>
      <c r="W7" s="3" t="s">
        <v>11</v>
      </c>
      <c r="X7" s="3" t="s">
        <v>11</v>
      </c>
      <c r="Y7" s="3" t="s">
        <v>11</v>
      </c>
      <c r="Z7" s="3" t="s">
        <v>11</v>
      </c>
      <c r="AA7" s="6" t="s">
        <v>8</v>
      </c>
      <c r="AB7" s="6" t="s">
        <v>8</v>
      </c>
      <c r="AC7" s="7" t="s">
        <v>15</v>
      </c>
      <c r="AE7" s="6">
        <f>JAN!AJ7</f>
        <v>0</v>
      </c>
      <c r="AF7" s="15">
        <f t="shared" si="4"/>
        <v>0</v>
      </c>
      <c r="AG7" s="15">
        <f t="shared" si="2"/>
        <v>0</v>
      </c>
      <c r="AI7" s="6">
        <f>JAN!AN7</f>
        <v>18</v>
      </c>
      <c r="AJ7" s="15">
        <f t="shared" si="5"/>
        <v>0</v>
      </c>
      <c r="AK7" s="15">
        <f t="shared" si="3"/>
        <v>18</v>
      </c>
    </row>
    <row r="8" spans="1:37" ht="15" customHeight="1">
      <c r="A8" s="22" t="s">
        <v>17</v>
      </c>
      <c r="B8" s="31" t="s">
        <v>7</v>
      </c>
      <c r="C8" s="6" t="s">
        <v>8</v>
      </c>
      <c r="D8" s="6" t="s">
        <v>8</v>
      </c>
      <c r="E8" s="31" t="s">
        <v>7</v>
      </c>
      <c r="F8" s="31" t="s">
        <v>7</v>
      </c>
      <c r="G8" s="31" t="s">
        <v>7</v>
      </c>
      <c r="H8" s="31" t="s">
        <v>7</v>
      </c>
      <c r="I8" s="6" t="s">
        <v>8</v>
      </c>
      <c r="J8" s="6" t="s">
        <v>8</v>
      </c>
      <c r="K8" s="31" t="s">
        <v>7</v>
      </c>
      <c r="L8" s="31" t="s">
        <v>7</v>
      </c>
      <c r="M8" s="31" t="s">
        <v>7</v>
      </c>
      <c r="N8" s="3" t="s">
        <v>11</v>
      </c>
      <c r="O8" s="3" t="s">
        <v>11</v>
      </c>
      <c r="P8" s="6" t="s">
        <v>8</v>
      </c>
      <c r="Q8" s="6" t="s">
        <v>8</v>
      </c>
      <c r="R8" s="23" t="s">
        <v>6</v>
      </c>
      <c r="S8" s="7" t="s">
        <v>15</v>
      </c>
      <c r="T8" s="7" t="s">
        <v>15</v>
      </c>
      <c r="U8" s="7" t="s">
        <v>15</v>
      </c>
      <c r="V8" s="6" t="s">
        <v>8</v>
      </c>
      <c r="W8" s="6" t="s">
        <v>8</v>
      </c>
      <c r="X8" s="3" t="s">
        <v>11</v>
      </c>
      <c r="Y8" s="3" t="s">
        <v>11</v>
      </c>
      <c r="Z8" s="3" t="s">
        <v>11</v>
      </c>
      <c r="AA8" s="3" t="s">
        <v>11</v>
      </c>
      <c r="AB8" s="3" t="s">
        <v>11</v>
      </c>
      <c r="AC8" s="6" t="s">
        <v>8</v>
      </c>
      <c r="AE8" s="6">
        <f>JAN!AJ8</f>
        <v>16</v>
      </c>
      <c r="AF8" s="15">
        <f t="shared" si="4"/>
        <v>8</v>
      </c>
      <c r="AG8" s="15">
        <f t="shared" si="2"/>
        <v>8</v>
      </c>
      <c r="AI8" s="6">
        <f>JAN!AN8</f>
        <v>22</v>
      </c>
      <c r="AJ8" s="15">
        <f t="shared" si="5"/>
        <v>0</v>
      </c>
      <c r="AK8" s="15">
        <f t="shared" si="3"/>
        <v>22</v>
      </c>
    </row>
    <row r="9" spans="1:37" ht="15" customHeight="1">
      <c r="A9" s="22" t="s">
        <v>19</v>
      </c>
      <c r="B9" s="7" t="s">
        <v>15</v>
      </c>
      <c r="C9" s="7" t="s">
        <v>15</v>
      </c>
      <c r="D9" s="6" t="s">
        <v>8</v>
      </c>
      <c r="E9" s="6" t="s">
        <v>8</v>
      </c>
      <c r="F9" s="3" t="s">
        <v>11</v>
      </c>
      <c r="G9" s="3" t="s">
        <v>11</v>
      </c>
      <c r="H9" s="3" t="s">
        <v>11</v>
      </c>
      <c r="I9" s="3" t="s">
        <v>11</v>
      </c>
      <c r="J9" s="6" t="s">
        <v>8</v>
      </c>
      <c r="K9" s="6" t="s">
        <v>8</v>
      </c>
      <c r="L9" s="7" t="s">
        <v>15</v>
      </c>
      <c r="M9" s="7" t="s">
        <v>15</v>
      </c>
      <c r="N9" s="7" t="s">
        <v>15</v>
      </c>
      <c r="O9" s="7" t="s">
        <v>15</v>
      </c>
      <c r="P9" s="6" t="s">
        <v>8</v>
      </c>
      <c r="Q9" s="6" t="s">
        <v>8</v>
      </c>
      <c r="R9" s="3" t="s">
        <v>11</v>
      </c>
      <c r="S9" s="3" t="s">
        <v>11</v>
      </c>
      <c r="T9" s="3" t="s">
        <v>11</v>
      </c>
      <c r="U9" s="3" t="s">
        <v>11</v>
      </c>
      <c r="V9" s="3" t="s">
        <v>11</v>
      </c>
      <c r="W9" s="6" t="s">
        <v>8</v>
      </c>
      <c r="X9" s="6" t="s">
        <v>8</v>
      </c>
      <c r="Y9" s="7" t="s">
        <v>15</v>
      </c>
      <c r="Z9" s="7" t="s">
        <v>15</v>
      </c>
      <c r="AA9" s="7" t="s">
        <v>15</v>
      </c>
      <c r="AB9" s="7" t="s">
        <v>15</v>
      </c>
      <c r="AC9" s="6" t="s">
        <v>8</v>
      </c>
      <c r="AE9" s="6">
        <f>JAN!AJ9</f>
        <v>0</v>
      </c>
      <c r="AF9" s="15">
        <f t="shared" si="4"/>
        <v>0</v>
      </c>
      <c r="AG9" s="15">
        <f t="shared" si="2"/>
        <v>0</v>
      </c>
      <c r="AI9" s="6">
        <f>JAN!AN9</f>
        <v>22</v>
      </c>
      <c r="AJ9" s="15">
        <f t="shared" si="5"/>
        <v>0</v>
      </c>
      <c r="AK9" s="15">
        <f t="shared" si="3"/>
        <v>22</v>
      </c>
    </row>
    <row r="10" spans="1:37" s="16" customFormat="1" ht="15" customHeight="1">
      <c r="A10" s="22" t="s">
        <v>20</v>
      </c>
      <c r="B10" s="3" t="s">
        <v>11</v>
      </c>
      <c r="C10" s="3" t="s">
        <v>11</v>
      </c>
      <c r="D10" s="3" t="s">
        <v>11</v>
      </c>
      <c r="E10" s="3" t="s">
        <v>11</v>
      </c>
      <c r="F10" s="6" t="s">
        <v>8</v>
      </c>
      <c r="G10" s="6" t="s">
        <v>8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6" t="s">
        <v>8</v>
      </c>
      <c r="N10" s="6" t="s">
        <v>8</v>
      </c>
      <c r="O10" s="3" t="s">
        <v>11</v>
      </c>
      <c r="P10" s="3" t="s">
        <v>11</v>
      </c>
      <c r="Q10" s="3" t="s">
        <v>11</v>
      </c>
      <c r="R10" s="23" t="s">
        <v>6</v>
      </c>
      <c r="S10" s="6" t="s">
        <v>8</v>
      </c>
      <c r="T10" s="6" t="s">
        <v>8</v>
      </c>
      <c r="U10" s="7" t="s">
        <v>15</v>
      </c>
      <c r="V10" s="7" t="s">
        <v>15</v>
      </c>
      <c r="W10" s="7" t="s">
        <v>15</v>
      </c>
      <c r="X10" s="7" t="s">
        <v>15</v>
      </c>
      <c r="Y10" s="6" t="s">
        <v>8</v>
      </c>
      <c r="Z10" s="6" t="s">
        <v>8</v>
      </c>
      <c r="AA10" s="3" t="s">
        <v>11</v>
      </c>
      <c r="AB10" s="3" t="s">
        <v>11</v>
      </c>
      <c r="AC10" s="3" t="s">
        <v>11</v>
      </c>
      <c r="AD10" s="13"/>
      <c r="AE10" s="6">
        <f>JAN!AJ10</f>
        <v>0</v>
      </c>
      <c r="AF10" s="15">
        <f t="shared" si="4"/>
        <v>0</v>
      </c>
      <c r="AG10" s="15">
        <f t="shared" si="2"/>
        <v>0</v>
      </c>
      <c r="AH10" s="13"/>
      <c r="AI10" s="6">
        <f>JAN!AN10</f>
        <v>22</v>
      </c>
      <c r="AJ10" s="15">
        <f t="shared" si="5"/>
        <v>0</v>
      </c>
      <c r="AK10" s="15">
        <f t="shared" si="3"/>
        <v>22</v>
      </c>
    </row>
    <row r="11" spans="1:37" ht="15" customHeight="1">
      <c r="A11" s="22" t="s">
        <v>21</v>
      </c>
      <c r="B11" s="7" t="s">
        <v>15</v>
      </c>
      <c r="C11" s="7" t="s">
        <v>15</v>
      </c>
      <c r="D11" s="7" t="s">
        <v>15</v>
      </c>
      <c r="E11" s="7" t="s">
        <v>15</v>
      </c>
      <c r="F11" s="6" t="s">
        <v>8</v>
      </c>
      <c r="G11" s="6" t="s">
        <v>8</v>
      </c>
      <c r="H11" s="3" t="s">
        <v>11</v>
      </c>
      <c r="I11" s="3" t="s">
        <v>11</v>
      </c>
      <c r="J11" s="3" t="s">
        <v>11</v>
      </c>
      <c r="K11" s="3" t="s">
        <v>11</v>
      </c>
      <c r="L11" s="6" t="s">
        <v>8</v>
      </c>
      <c r="M11" s="6" t="s">
        <v>8</v>
      </c>
      <c r="N11" s="31" t="s">
        <v>7</v>
      </c>
      <c r="O11" s="31" t="s">
        <v>7</v>
      </c>
      <c r="P11" s="31" t="s">
        <v>7</v>
      </c>
      <c r="Q11" s="31" t="s">
        <v>7</v>
      </c>
      <c r="R11" s="6" t="s">
        <v>8</v>
      </c>
      <c r="S11" s="6" t="s">
        <v>8</v>
      </c>
      <c r="T11" s="31" t="s">
        <v>7</v>
      </c>
      <c r="U11" s="31" t="s">
        <v>7</v>
      </c>
      <c r="V11" s="31" t="s">
        <v>7</v>
      </c>
      <c r="W11" s="3" t="s">
        <v>11</v>
      </c>
      <c r="X11" s="6" t="s">
        <v>8</v>
      </c>
      <c r="Y11" s="6" t="s">
        <v>8</v>
      </c>
      <c r="Z11" s="7" t="s">
        <v>15</v>
      </c>
      <c r="AA11" s="7" t="s">
        <v>15</v>
      </c>
      <c r="AB11" s="7" t="s">
        <v>15</v>
      </c>
      <c r="AC11" s="7" t="s">
        <v>15</v>
      </c>
      <c r="AE11" s="6">
        <f>JAN!AJ11</f>
        <v>7</v>
      </c>
      <c r="AF11" s="15">
        <f>COUNTIF(B11:AC11,"UA")</f>
        <v>7</v>
      </c>
      <c r="AG11" s="15">
        <f t="shared" si="2"/>
        <v>0</v>
      </c>
      <c r="AI11" s="6">
        <f>JAN!AN11</f>
        <v>22</v>
      </c>
      <c r="AJ11" s="15">
        <f>COUNTIF(B11:AC11,"U")</f>
        <v>0</v>
      </c>
      <c r="AK11" s="15">
        <f t="shared" si="3"/>
        <v>22</v>
      </c>
    </row>
    <row r="13" spans="1:37">
      <c r="A13" s="3" t="s">
        <v>22</v>
      </c>
      <c r="B13" s="14">
        <f>COUNTIF(B4:B11,"P06")</f>
        <v>1</v>
      </c>
      <c r="C13" s="14">
        <f t="shared" ref="C13:AC13" si="6">COUNTIF(C4:C11,"P06")</f>
        <v>1</v>
      </c>
      <c r="D13" s="14">
        <f t="shared" si="6"/>
        <v>1</v>
      </c>
      <c r="E13" s="14">
        <f t="shared" si="6"/>
        <v>1</v>
      </c>
      <c r="F13" s="14">
        <f t="shared" si="6"/>
        <v>1</v>
      </c>
      <c r="G13" s="14">
        <f t="shared" si="6"/>
        <v>1</v>
      </c>
      <c r="H13" s="14">
        <f t="shared" si="6"/>
        <v>2</v>
      </c>
      <c r="I13" s="14">
        <f t="shared" si="6"/>
        <v>2</v>
      </c>
      <c r="J13" s="14">
        <f t="shared" si="6"/>
        <v>2</v>
      </c>
      <c r="K13" s="14">
        <f t="shared" si="6"/>
        <v>2</v>
      </c>
      <c r="L13" s="14">
        <f t="shared" si="6"/>
        <v>1</v>
      </c>
      <c r="M13" s="14">
        <f t="shared" si="6"/>
        <v>1</v>
      </c>
      <c r="N13" s="14">
        <f t="shared" si="6"/>
        <v>1</v>
      </c>
      <c r="O13" s="14">
        <f t="shared" si="6"/>
        <v>2</v>
      </c>
      <c r="P13" s="14">
        <f t="shared" si="6"/>
        <v>1</v>
      </c>
      <c r="Q13" s="14">
        <f t="shared" si="6"/>
        <v>1</v>
      </c>
      <c r="R13" s="14">
        <f t="shared" si="6"/>
        <v>1</v>
      </c>
      <c r="S13" s="14">
        <f t="shared" si="6"/>
        <v>1</v>
      </c>
      <c r="T13" s="14">
        <f t="shared" si="6"/>
        <v>1</v>
      </c>
      <c r="U13" s="14">
        <f t="shared" si="6"/>
        <v>1</v>
      </c>
      <c r="V13" s="14">
        <f t="shared" si="6"/>
        <v>1</v>
      </c>
      <c r="W13" s="14">
        <f t="shared" si="6"/>
        <v>2</v>
      </c>
      <c r="X13" s="14">
        <f t="shared" si="6"/>
        <v>2</v>
      </c>
      <c r="Y13" s="14">
        <f t="shared" si="6"/>
        <v>2</v>
      </c>
      <c r="Z13" s="14">
        <f t="shared" si="6"/>
        <v>2</v>
      </c>
      <c r="AA13" s="14">
        <f t="shared" si="6"/>
        <v>2</v>
      </c>
      <c r="AB13" s="14">
        <f t="shared" si="6"/>
        <v>2</v>
      </c>
      <c r="AC13" s="14">
        <f t="shared" si="6"/>
        <v>1</v>
      </c>
    </row>
    <row r="14" spans="1:37">
      <c r="A14" s="7" t="s">
        <v>23</v>
      </c>
      <c r="B14" s="14">
        <f>COUNTIF(B4:B11,"P14")</f>
        <v>2</v>
      </c>
      <c r="C14" s="14">
        <f t="shared" ref="C14:AC14" si="7">COUNTIF(C4:C11,"P14")</f>
        <v>2</v>
      </c>
      <c r="D14" s="14">
        <f t="shared" si="7"/>
        <v>2</v>
      </c>
      <c r="E14" s="14">
        <f t="shared" si="7"/>
        <v>2</v>
      </c>
      <c r="F14" s="14">
        <f t="shared" si="7"/>
        <v>1</v>
      </c>
      <c r="G14" s="14">
        <f t="shared" si="7"/>
        <v>1</v>
      </c>
      <c r="H14" s="14">
        <f t="shared" si="7"/>
        <v>1</v>
      </c>
      <c r="I14" s="14">
        <f t="shared" si="7"/>
        <v>1</v>
      </c>
      <c r="J14" s="14">
        <f t="shared" si="7"/>
        <v>1</v>
      </c>
      <c r="K14" s="14">
        <f t="shared" si="7"/>
        <v>1</v>
      </c>
      <c r="L14" s="14">
        <f t="shared" si="7"/>
        <v>2</v>
      </c>
      <c r="M14" s="14">
        <f t="shared" si="7"/>
        <v>1</v>
      </c>
      <c r="N14" s="14">
        <f t="shared" si="7"/>
        <v>1</v>
      </c>
      <c r="O14" s="14">
        <f t="shared" si="7"/>
        <v>1</v>
      </c>
      <c r="P14" s="14">
        <f t="shared" si="7"/>
        <v>1</v>
      </c>
      <c r="Q14" s="14">
        <f t="shared" si="7"/>
        <v>1</v>
      </c>
      <c r="R14" s="14">
        <f t="shared" si="7"/>
        <v>1</v>
      </c>
      <c r="S14" s="14">
        <f t="shared" si="7"/>
        <v>2</v>
      </c>
      <c r="T14" s="14">
        <f t="shared" si="7"/>
        <v>2</v>
      </c>
      <c r="U14" s="14">
        <f t="shared" si="7"/>
        <v>2</v>
      </c>
      <c r="V14" s="14">
        <f t="shared" si="7"/>
        <v>1</v>
      </c>
      <c r="W14" s="14">
        <f t="shared" si="7"/>
        <v>1</v>
      </c>
      <c r="X14" s="14">
        <f t="shared" si="7"/>
        <v>1</v>
      </c>
      <c r="Y14" s="14">
        <f t="shared" si="7"/>
        <v>1</v>
      </c>
      <c r="Z14" s="14">
        <f t="shared" si="7"/>
        <v>2</v>
      </c>
      <c r="AA14" s="14">
        <f t="shared" si="7"/>
        <v>2</v>
      </c>
      <c r="AB14" s="14">
        <f t="shared" si="7"/>
        <v>2</v>
      </c>
      <c r="AC14" s="14">
        <f t="shared" si="7"/>
        <v>2</v>
      </c>
    </row>
    <row r="15" spans="1:37" ht="13.5" thickBot="1"/>
    <row r="16" spans="1:37">
      <c r="E16" s="42"/>
      <c r="F16" s="46" t="s">
        <v>24</v>
      </c>
      <c r="G16" s="59"/>
      <c r="H16" s="46" t="s">
        <v>25</v>
      </c>
      <c r="I16" s="47"/>
      <c r="M16" s="6" t="s">
        <v>8</v>
      </c>
      <c r="N16" s="24" t="s">
        <v>26</v>
      </c>
      <c r="O16" s="25"/>
      <c r="P16" s="25"/>
      <c r="Q16" s="25"/>
      <c r="R16" s="25"/>
      <c r="S16" s="4" t="s">
        <v>27</v>
      </c>
      <c r="T16" s="26" t="s">
        <v>28</v>
      </c>
      <c r="U16" s="27"/>
      <c r="V16" s="27"/>
      <c r="W16" s="27"/>
      <c r="X16" s="28"/>
      <c r="Z16" s="60" t="s">
        <v>29</v>
      </c>
      <c r="AA16" s="61"/>
      <c r="AB16" s="61"/>
      <c r="AC16" s="61"/>
      <c r="AD16" s="61"/>
      <c r="AE16" s="61"/>
      <c r="AF16" s="61"/>
    </row>
    <row r="17" spans="5:32">
      <c r="E17" s="3" t="s">
        <v>11</v>
      </c>
      <c r="F17" s="48" t="s">
        <v>30</v>
      </c>
      <c r="G17" s="58"/>
      <c r="H17" s="48" t="s">
        <v>31</v>
      </c>
      <c r="I17" s="49"/>
      <c r="M17" s="11" t="s">
        <v>32</v>
      </c>
      <c r="N17" s="17" t="s">
        <v>33</v>
      </c>
      <c r="O17" s="29"/>
      <c r="P17" s="29"/>
      <c r="Q17" s="29"/>
      <c r="R17" s="29"/>
      <c r="S17" s="4" t="s">
        <v>34</v>
      </c>
      <c r="T17" s="17" t="s">
        <v>35</v>
      </c>
      <c r="U17" s="29"/>
      <c r="V17" s="29"/>
      <c r="W17" s="29"/>
      <c r="X17" s="19"/>
      <c r="Z17" s="62"/>
      <c r="AA17" s="63"/>
      <c r="AB17" s="63"/>
      <c r="AC17" s="63"/>
      <c r="AD17" s="63"/>
      <c r="AE17" s="63"/>
      <c r="AF17" s="63"/>
    </row>
    <row r="18" spans="5:32">
      <c r="E18" s="5" t="s">
        <v>10</v>
      </c>
      <c r="F18" s="50" t="s">
        <v>36</v>
      </c>
      <c r="G18" s="52"/>
      <c r="H18" s="50" t="s">
        <v>37</v>
      </c>
      <c r="I18" s="51"/>
      <c r="M18" s="23" t="s">
        <v>6</v>
      </c>
      <c r="N18" s="18" t="s">
        <v>38</v>
      </c>
      <c r="O18" s="30"/>
      <c r="P18" s="30"/>
      <c r="Q18" s="30"/>
      <c r="R18" s="30"/>
      <c r="S18" s="6" t="s">
        <v>39</v>
      </c>
      <c r="T18" s="17" t="s">
        <v>40</v>
      </c>
      <c r="U18" s="29"/>
      <c r="V18" s="29"/>
      <c r="W18" s="29"/>
      <c r="X18" s="19"/>
      <c r="Z18" s="62"/>
      <c r="AA18" s="63"/>
      <c r="AB18" s="63"/>
      <c r="AC18" s="63"/>
      <c r="AD18" s="63"/>
      <c r="AE18" s="63"/>
      <c r="AF18" s="63"/>
    </row>
    <row r="19" spans="5:32">
      <c r="E19" s="5" t="s">
        <v>9</v>
      </c>
      <c r="F19" s="50" t="s">
        <v>41</v>
      </c>
      <c r="G19" s="52"/>
      <c r="H19" s="50" t="s">
        <v>42</v>
      </c>
      <c r="I19" s="51"/>
      <c r="M19" s="31" t="s">
        <v>16</v>
      </c>
      <c r="N19" s="17" t="s">
        <v>43</v>
      </c>
      <c r="O19" s="29"/>
      <c r="P19" s="29"/>
      <c r="Q19" s="29"/>
      <c r="R19" s="29"/>
      <c r="S19" s="6" t="s">
        <v>44</v>
      </c>
      <c r="T19" s="17" t="s">
        <v>40</v>
      </c>
      <c r="U19" s="29"/>
      <c r="V19" s="29"/>
      <c r="W19" s="29"/>
      <c r="X19" s="19"/>
    </row>
    <row r="20" spans="5:32">
      <c r="E20" s="7" t="s">
        <v>15</v>
      </c>
      <c r="F20" s="50" t="s">
        <v>45</v>
      </c>
      <c r="G20" s="52"/>
      <c r="H20" s="50" t="s">
        <v>46</v>
      </c>
      <c r="I20" s="51"/>
      <c r="M20" s="31" t="s">
        <v>7</v>
      </c>
      <c r="N20" s="17" t="s">
        <v>47</v>
      </c>
      <c r="O20" s="29"/>
      <c r="P20" s="29"/>
      <c r="Q20" s="29"/>
      <c r="R20" s="19"/>
      <c r="S20" s="6" t="s">
        <v>48</v>
      </c>
      <c r="T20" s="17" t="s">
        <v>40</v>
      </c>
      <c r="U20" s="29"/>
      <c r="V20" s="29"/>
      <c r="W20" s="29"/>
      <c r="X20" s="19"/>
    </row>
    <row r="21" spans="5:32">
      <c r="E21" s="8" t="s">
        <v>49</v>
      </c>
      <c r="F21" s="53" t="s">
        <v>50</v>
      </c>
      <c r="G21" s="54"/>
      <c r="H21" s="53" t="s">
        <v>51</v>
      </c>
      <c r="I21" s="55"/>
      <c r="M21" s="32" t="s">
        <v>6</v>
      </c>
      <c r="N21" s="17" t="s">
        <v>52</v>
      </c>
      <c r="O21" s="29"/>
      <c r="P21" s="29"/>
      <c r="Q21" s="29"/>
      <c r="R21" s="29"/>
      <c r="S21" s="20" t="s">
        <v>53</v>
      </c>
      <c r="T21" s="17" t="s">
        <v>54</v>
      </c>
      <c r="U21" s="29"/>
      <c r="V21" s="29"/>
      <c r="W21" s="29"/>
      <c r="X21" s="19"/>
    </row>
    <row r="22" spans="5:32">
      <c r="M22" s="32" t="s">
        <v>16</v>
      </c>
      <c r="N22" s="17" t="s">
        <v>55</v>
      </c>
      <c r="O22" s="29"/>
      <c r="P22" s="29"/>
      <c r="Q22" s="29"/>
      <c r="R22" s="29"/>
      <c r="S22" s="9" t="s">
        <v>56</v>
      </c>
      <c r="T22" s="17" t="s">
        <v>54</v>
      </c>
      <c r="U22" s="29"/>
      <c r="V22" s="29"/>
      <c r="W22" s="29"/>
      <c r="X22" s="19"/>
    </row>
    <row r="23" spans="5:32">
      <c r="M23" s="33" t="s">
        <v>18</v>
      </c>
      <c r="N23" s="17" t="s">
        <v>57</v>
      </c>
      <c r="O23" s="29"/>
      <c r="P23" s="29"/>
      <c r="Q23" s="29"/>
      <c r="R23" s="29"/>
      <c r="S23" s="9" t="s">
        <v>58</v>
      </c>
      <c r="T23" s="17" t="s">
        <v>54</v>
      </c>
      <c r="U23" s="29"/>
      <c r="V23" s="29"/>
      <c r="W23" s="29"/>
      <c r="X23" s="19"/>
    </row>
    <row r="24" spans="5:32">
      <c r="M24" s="33" t="s">
        <v>59</v>
      </c>
      <c r="N24" s="17" t="s">
        <v>60</v>
      </c>
      <c r="O24" s="29"/>
      <c r="P24" s="29"/>
      <c r="Q24" s="29"/>
      <c r="R24" s="29"/>
      <c r="S24" s="9" t="s">
        <v>61</v>
      </c>
      <c r="T24" s="17" t="s">
        <v>54</v>
      </c>
      <c r="U24" s="29"/>
      <c r="V24" s="29"/>
      <c r="W24" s="29"/>
      <c r="X24" s="19"/>
    </row>
    <row r="25" spans="5:32">
      <c r="M25" s="34" t="s">
        <v>62</v>
      </c>
      <c r="N25" s="17" t="s">
        <v>63</v>
      </c>
      <c r="O25" s="29"/>
      <c r="P25" s="29"/>
      <c r="Q25" s="29"/>
      <c r="R25" s="29"/>
      <c r="S25" s="10" t="s">
        <v>64</v>
      </c>
      <c r="T25" s="17" t="s">
        <v>54</v>
      </c>
      <c r="U25" s="29"/>
      <c r="V25" s="29"/>
      <c r="W25" s="29"/>
      <c r="X25" s="19"/>
    </row>
    <row r="26" spans="5:32">
      <c r="M26" s="35" t="s">
        <v>65</v>
      </c>
      <c r="N26" s="17" t="s">
        <v>66</v>
      </c>
      <c r="O26" s="29"/>
      <c r="P26" s="29"/>
      <c r="Q26" s="29"/>
      <c r="R26" s="29"/>
      <c r="S26" s="6" t="s">
        <v>67</v>
      </c>
      <c r="T26" s="17" t="s">
        <v>54</v>
      </c>
      <c r="U26" s="29"/>
      <c r="V26" s="29"/>
      <c r="W26" s="29"/>
      <c r="X26" s="19"/>
    </row>
    <row r="27" spans="5:32">
      <c r="M27" s="36" t="s">
        <v>68</v>
      </c>
      <c r="N27" s="17" t="s">
        <v>69</v>
      </c>
      <c r="O27" s="29"/>
      <c r="P27" s="29"/>
      <c r="Q27" s="29"/>
      <c r="R27" s="29"/>
      <c r="S27" s="6" t="s">
        <v>70</v>
      </c>
      <c r="T27" s="17" t="s">
        <v>54</v>
      </c>
      <c r="U27" s="29"/>
      <c r="V27" s="29"/>
      <c r="W27" s="29"/>
      <c r="X27" s="19"/>
    </row>
    <row r="28" spans="5:32">
      <c r="M28" s="37" t="s">
        <v>71</v>
      </c>
      <c r="N28" s="18" t="s">
        <v>72</v>
      </c>
      <c r="O28" s="30"/>
      <c r="P28" s="30"/>
      <c r="Q28" s="30"/>
      <c r="R28" s="30"/>
      <c r="S28" s="11" t="s">
        <v>73</v>
      </c>
      <c r="T28" s="17" t="s">
        <v>54</v>
      </c>
      <c r="U28" s="29"/>
      <c r="V28" s="29"/>
      <c r="W28" s="29"/>
      <c r="X28" s="19"/>
    </row>
    <row r="29" spans="5:32">
      <c r="M29" s="10" t="s">
        <v>74</v>
      </c>
      <c r="N29" s="17" t="s">
        <v>75</v>
      </c>
      <c r="O29" s="29"/>
      <c r="P29" s="29"/>
      <c r="Q29" s="29"/>
      <c r="R29" s="29"/>
      <c r="S29" s="6" t="s">
        <v>76</v>
      </c>
      <c r="T29" s="17" t="s">
        <v>54</v>
      </c>
      <c r="U29" s="29"/>
      <c r="V29" s="29"/>
      <c r="W29" s="29"/>
      <c r="X29" s="19"/>
    </row>
    <row r="30" spans="5:32">
      <c r="M30" s="37" t="s">
        <v>77</v>
      </c>
      <c r="N30" s="38" t="s">
        <v>78</v>
      </c>
      <c r="O30" s="39"/>
      <c r="P30" s="39"/>
      <c r="Q30" s="39"/>
      <c r="R30" s="39"/>
      <c r="S30" s="40" t="s">
        <v>79</v>
      </c>
      <c r="T30" s="38" t="s">
        <v>80</v>
      </c>
      <c r="U30" s="39"/>
      <c r="V30" s="39"/>
      <c r="W30" s="39"/>
      <c r="X30" s="41"/>
    </row>
  </sheetData>
  <mergeCells count="17">
    <mergeCell ref="F20:G20"/>
    <mergeCell ref="H20:I20"/>
    <mergeCell ref="F21:G21"/>
    <mergeCell ref="H21:I21"/>
    <mergeCell ref="F17:G17"/>
    <mergeCell ref="H17:I17"/>
    <mergeCell ref="F18:G18"/>
    <mergeCell ref="H18:I18"/>
    <mergeCell ref="F19:G19"/>
    <mergeCell ref="H19:I19"/>
    <mergeCell ref="A1:AC1"/>
    <mergeCell ref="A2:A3"/>
    <mergeCell ref="AE2:AG2"/>
    <mergeCell ref="AI2:AK2"/>
    <mergeCell ref="F16:G16"/>
    <mergeCell ref="H16:I16"/>
    <mergeCell ref="Z16:AF18"/>
  </mergeCells>
  <conditionalFormatting sqref="B2:Q3 S2:AC3">
    <cfRule type="expression" dxfId="32" priority="5">
      <formula>WEEKDAY(DATE(YEAR($A$2),MONTH($A$2),B$2),2)&gt;5</formula>
    </cfRule>
  </conditionalFormatting>
  <conditionalFormatting sqref="B13:AC14">
    <cfRule type="cellIs" dxfId="31" priority="1" operator="equal">
      <formula>0</formula>
    </cfRule>
    <cfRule type="cellIs" dxfId="3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590B4-86B4-4C4D-B0E7-0C16D8C06CC1}">
  <dimension ref="A1:AN30"/>
  <sheetViews>
    <sheetView zoomScale="85" zoomScaleNormal="85" workbookViewId="0">
      <pane xSplit="1" ySplit="3" topLeftCell="Q4" activePane="bottomRight" state="frozen"/>
      <selection pane="bottomRight" activeCell="AH33" sqref="AH33"/>
      <selection pane="bottomLeft"/>
      <selection pane="topRight"/>
    </sheetView>
  </sheetViews>
  <sheetFormatPr defaultColWidth="9.140625" defaultRowHeight="12.95"/>
  <cols>
    <col min="1" max="1" width="30.7109375" style="13" customWidth="1"/>
    <col min="2" max="40" width="6.7109375" style="13" customWidth="1"/>
    <col min="41" max="16384" width="9.140625" style="13"/>
  </cols>
  <sheetData>
    <row r="1" spans="1:40" ht="1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12"/>
      <c r="AH1" s="12"/>
      <c r="AI1" s="12"/>
      <c r="AJ1" s="12"/>
      <c r="AK1" s="12"/>
      <c r="AL1" s="12"/>
      <c r="AM1" s="12"/>
      <c r="AN1" s="12"/>
    </row>
    <row r="2" spans="1:40" ht="15" customHeight="1">
      <c r="A2" s="57">
        <v>46082</v>
      </c>
      <c r="B2" s="21">
        <f>IF(COLUMN(A1)&lt;=DAY(EOMONTH($A$2,0)),COLUMN(A1),"")</f>
        <v>1</v>
      </c>
      <c r="C2" s="21">
        <f t="shared" ref="C2:AF2" si="0">IF(COLUMN(B1)&lt;=DAY(EOMONTH($A$2,0)),COLUMN(B1),"")</f>
        <v>2</v>
      </c>
      <c r="D2" s="21">
        <f t="shared" si="0"/>
        <v>3</v>
      </c>
      <c r="E2" s="21">
        <f t="shared" si="0"/>
        <v>4</v>
      </c>
      <c r="F2" s="21">
        <f t="shared" si="0"/>
        <v>5</v>
      </c>
      <c r="G2" s="21">
        <f t="shared" si="0"/>
        <v>6</v>
      </c>
      <c r="H2" s="21">
        <f t="shared" si="0"/>
        <v>7</v>
      </c>
      <c r="I2" s="21">
        <f t="shared" si="0"/>
        <v>8</v>
      </c>
      <c r="J2" s="21">
        <f t="shared" si="0"/>
        <v>9</v>
      </c>
      <c r="K2" s="21">
        <f t="shared" si="0"/>
        <v>10</v>
      </c>
      <c r="L2" s="21">
        <f t="shared" si="0"/>
        <v>11</v>
      </c>
      <c r="M2" s="21">
        <f t="shared" si="0"/>
        <v>12</v>
      </c>
      <c r="N2" s="21">
        <f t="shared" si="0"/>
        <v>13</v>
      </c>
      <c r="O2" s="21">
        <f t="shared" si="0"/>
        <v>14</v>
      </c>
      <c r="P2" s="21">
        <f t="shared" si="0"/>
        <v>15</v>
      </c>
      <c r="Q2" s="21">
        <f t="shared" si="0"/>
        <v>16</v>
      </c>
      <c r="R2" s="21">
        <f t="shared" si="0"/>
        <v>17</v>
      </c>
      <c r="S2" s="21">
        <f t="shared" si="0"/>
        <v>18</v>
      </c>
      <c r="T2" s="21">
        <f t="shared" si="0"/>
        <v>19</v>
      </c>
      <c r="U2" s="21">
        <f t="shared" si="0"/>
        <v>20</v>
      </c>
      <c r="V2" s="21">
        <f t="shared" si="0"/>
        <v>21</v>
      </c>
      <c r="W2" s="21">
        <f t="shared" si="0"/>
        <v>22</v>
      </c>
      <c r="X2" s="21">
        <f t="shared" si="0"/>
        <v>23</v>
      </c>
      <c r="Y2" s="21">
        <f t="shared" si="0"/>
        <v>24</v>
      </c>
      <c r="Z2" s="21">
        <f t="shared" si="0"/>
        <v>25</v>
      </c>
      <c r="AA2" s="21">
        <f t="shared" si="0"/>
        <v>26</v>
      </c>
      <c r="AB2" s="21">
        <f t="shared" si="0"/>
        <v>27</v>
      </c>
      <c r="AC2" s="21">
        <f t="shared" si="0"/>
        <v>28</v>
      </c>
      <c r="AD2" s="21">
        <f t="shared" si="0"/>
        <v>29</v>
      </c>
      <c r="AE2" s="21">
        <f t="shared" si="0"/>
        <v>30</v>
      </c>
      <c r="AF2" s="21">
        <f t="shared" si="0"/>
        <v>31</v>
      </c>
      <c r="AH2" s="44" t="s">
        <v>1</v>
      </c>
      <c r="AI2" s="45"/>
      <c r="AJ2" s="45"/>
      <c r="AL2" s="44" t="s">
        <v>2</v>
      </c>
      <c r="AM2" s="45"/>
      <c r="AN2" s="45"/>
    </row>
    <row r="3" spans="1:40" ht="15" customHeight="1">
      <c r="A3" s="57"/>
      <c r="B3" s="21" t="str">
        <f>UPPER(LEFT(TEXT(DATE(YEAR($A$2),MONTH($A$2),B2),"DDD"),2))</f>
        <v>SU</v>
      </c>
      <c r="C3" s="21" t="str">
        <f t="shared" ref="C3:AF3" si="1">UPPER(LEFT(TEXT(DATE(YEAR($A$2),MONTH($A$2),C2),"DDD"),2))</f>
        <v>MO</v>
      </c>
      <c r="D3" s="21" t="str">
        <f t="shared" si="1"/>
        <v>TU</v>
      </c>
      <c r="E3" s="21" t="str">
        <f t="shared" si="1"/>
        <v>WE</v>
      </c>
      <c r="F3" s="21" t="str">
        <f t="shared" si="1"/>
        <v>TH</v>
      </c>
      <c r="G3" s="21" t="str">
        <f t="shared" si="1"/>
        <v>FR</v>
      </c>
      <c r="H3" s="21" t="str">
        <f t="shared" si="1"/>
        <v>SA</v>
      </c>
      <c r="I3" s="21" t="str">
        <f t="shared" si="1"/>
        <v>SU</v>
      </c>
      <c r="J3" s="21" t="str">
        <f t="shared" si="1"/>
        <v>MO</v>
      </c>
      <c r="K3" s="21" t="str">
        <f t="shared" si="1"/>
        <v>TU</v>
      </c>
      <c r="L3" s="21" t="str">
        <f t="shared" si="1"/>
        <v>WE</v>
      </c>
      <c r="M3" s="21" t="str">
        <f t="shared" si="1"/>
        <v>TH</v>
      </c>
      <c r="N3" s="21" t="str">
        <f t="shared" si="1"/>
        <v>FR</v>
      </c>
      <c r="O3" s="21" t="str">
        <f t="shared" si="1"/>
        <v>SA</v>
      </c>
      <c r="P3" s="21" t="str">
        <f t="shared" si="1"/>
        <v>SU</v>
      </c>
      <c r="Q3" s="21" t="str">
        <f t="shared" si="1"/>
        <v>MO</v>
      </c>
      <c r="R3" s="21" t="str">
        <f t="shared" si="1"/>
        <v>TU</v>
      </c>
      <c r="S3" s="21" t="str">
        <f t="shared" si="1"/>
        <v>WE</v>
      </c>
      <c r="T3" s="21" t="str">
        <f t="shared" si="1"/>
        <v>TH</v>
      </c>
      <c r="U3" s="21" t="str">
        <f t="shared" si="1"/>
        <v>FR</v>
      </c>
      <c r="V3" s="21" t="str">
        <f t="shared" si="1"/>
        <v>SA</v>
      </c>
      <c r="W3" s="21" t="str">
        <f t="shared" si="1"/>
        <v>SU</v>
      </c>
      <c r="X3" s="21" t="str">
        <f t="shared" si="1"/>
        <v>MO</v>
      </c>
      <c r="Y3" s="21" t="str">
        <f t="shared" si="1"/>
        <v>TU</v>
      </c>
      <c r="Z3" s="21" t="str">
        <f t="shared" si="1"/>
        <v>WE</v>
      </c>
      <c r="AA3" s="21" t="str">
        <f t="shared" si="1"/>
        <v>TH</v>
      </c>
      <c r="AB3" s="21" t="str">
        <f t="shared" si="1"/>
        <v>FR</v>
      </c>
      <c r="AC3" s="21" t="str">
        <f t="shared" si="1"/>
        <v>SA</v>
      </c>
      <c r="AD3" s="21" t="str">
        <f t="shared" si="1"/>
        <v>SU</v>
      </c>
      <c r="AE3" s="21" t="str">
        <f t="shared" si="1"/>
        <v>MO</v>
      </c>
      <c r="AF3" s="21" t="str">
        <f t="shared" si="1"/>
        <v>TU</v>
      </c>
      <c r="AH3" s="1">
        <v>2025</v>
      </c>
      <c r="AI3" s="2" t="s">
        <v>3</v>
      </c>
      <c r="AJ3" s="2" t="s">
        <v>4</v>
      </c>
      <c r="AL3" s="1">
        <v>2026</v>
      </c>
      <c r="AM3" s="2" t="s">
        <v>3</v>
      </c>
      <c r="AN3" s="2" t="s">
        <v>4</v>
      </c>
    </row>
    <row r="4" spans="1:40" ht="15" customHeight="1">
      <c r="A4" s="22" t="s">
        <v>5</v>
      </c>
      <c r="B4" s="14" t="s">
        <v>8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9</v>
      </c>
      <c r="H4" s="14" t="s">
        <v>8</v>
      </c>
      <c r="I4" s="14" t="s">
        <v>8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  <c r="O4" s="14" t="s">
        <v>8</v>
      </c>
      <c r="P4" s="14" t="s">
        <v>8</v>
      </c>
      <c r="Q4" s="5" t="s">
        <v>9</v>
      </c>
      <c r="R4" s="5" t="s">
        <v>9</v>
      </c>
      <c r="S4" s="5" t="s">
        <v>9</v>
      </c>
      <c r="T4" s="5" t="s">
        <v>9</v>
      </c>
      <c r="U4" s="5" t="s">
        <v>9</v>
      </c>
      <c r="V4" s="14" t="s">
        <v>8</v>
      </c>
      <c r="W4" s="14" t="s">
        <v>8</v>
      </c>
      <c r="X4" s="5" t="s">
        <v>9</v>
      </c>
      <c r="Y4" s="5" t="s">
        <v>9</v>
      </c>
      <c r="Z4" s="5" t="s">
        <v>9</v>
      </c>
      <c r="AA4" s="5" t="s">
        <v>9</v>
      </c>
      <c r="AB4" s="5" t="s">
        <v>9</v>
      </c>
      <c r="AC4" s="14" t="s">
        <v>8</v>
      </c>
      <c r="AD4" s="14" t="s">
        <v>8</v>
      </c>
      <c r="AE4" s="5" t="s">
        <v>9</v>
      </c>
      <c r="AF4" s="5" t="s">
        <v>9</v>
      </c>
      <c r="AH4" s="6">
        <f>FEB!AG4</f>
        <v>3</v>
      </c>
      <c r="AI4" s="15">
        <f>COUNTIF(B4:AF4,"UA")</f>
        <v>0</v>
      </c>
      <c r="AJ4" s="15">
        <f t="shared" ref="AJ4:AJ11" si="2">AH4-AI4</f>
        <v>3</v>
      </c>
      <c r="AL4" s="6">
        <f>FEB!AK4</f>
        <v>22</v>
      </c>
      <c r="AM4" s="15">
        <f>COUNTIF(B4:AF4,"U")</f>
        <v>0</v>
      </c>
      <c r="AN4" s="15">
        <f t="shared" ref="AN4:AN11" si="3">AL4-AM4</f>
        <v>22</v>
      </c>
    </row>
    <row r="5" spans="1:40" ht="15" customHeight="1">
      <c r="A5" s="22" t="s">
        <v>12</v>
      </c>
      <c r="B5" s="14" t="s">
        <v>8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14" t="s">
        <v>8</v>
      </c>
      <c r="I5" s="14" t="s">
        <v>8</v>
      </c>
      <c r="J5" s="5" t="s">
        <v>9</v>
      </c>
      <c r="K5" s="5" t="s">
        <v>9</v>
      </c>
      <c r="L5" s="5" t="s">
        <v>9</v>
      </c>
      <c r="M5" s="5" t="s">
        <v>9</v>
      </c>
      <c r="N5" s="5" t="s">
        <v>9</v>
      </c>
      <c r="O5" s="14" t="s">
        <v>8</v>
      </c>
      <c r="P5" s="14" t="s">
        <v>8</v>
      </c>
      <c r="Q5" s="5" t="s">
        <v>9</v>
      </c>
      <c r="R5" s="5" t="s">
        <v>9</v>
      </c>
      <c r="S5" s="5" t="s">
        <v>9</v>
      </c>
      <c r="T5" s="5" t="s">
        <v>9</v>
      </c>
      <c r="U5" s="5" t="s">
        <v>9</v>
      </c>
      <c r="V5" s="14" t="s">
        <v>8</v>
      </c>
      <c r="W5" s="14" t="s">
        <v>8</v>
      </c>
      <c r="X5" s="5" t="s">
        <v>9</v>
      </c>
      <c r="Y5" s="5" t="s">
        <v>9</v>
      </c>
      <c r="Z5" s="5" t="s">
        <v>9</v>
      </c>
      <c r="AA5" s="5" t="s">
        <v>9</v>
      </c>
      <c r="AB5" s="5" t="s">
        <v>9</v>
      </c>
      <c r="AC5" s="14" t="s">
        <v>8</v>
      </c>
      <c r="AD5" s="14" t="s">
        <v>8</v>
      </c>
      <c r="AE5" s="5" t="s">
        <v>9</v>
      </c>
      <c r="AF5" s="5" t="s">
        <v>9</v>
      </c>
      <c r="AH5" s="6">
        <f>FEB!AG5</f>
        <v>0</v>
      </c>
      <c r="AI5" s="15">
        <f t="shared" ref="AI5:AI11" si="4">COUNTIF(B5:AF5,"UA")</f>
        <v>0</v>
      </c>
      <c r="AJ5" s="15">
        <f t="shared" si="2"/>
        <v>0</v>
      </c>
      <c r="AL5" s="6">
        <f>FEB!AK5</f>
        <v>22</v>
      </c>
      <c r="AM5" s="15">
        <f t="shared" ref="AM5:AM11" si="5">COUNTIF(B5:AF5,"U")</f>
        <v>0</v>
      </c>
      <c r="AN5" s="15">
        <f t="shared" si="3"/>
        <v>22</v>
      </c>
    </row>
    <row r="6" spans="1:40" ht="15" customHeight="1">
      <c r="A6" s="22" t="s">
        <v>13</v>
      </c>
      <c r="B6" s="14" t="s">
        <v>8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14" t="s">
        <v>8</v>
      </c>
      <c r="I6" s="14" t="s">
        <v>8</v>
      </c>
      <c r="J6" s="5" t="s">
        <v>9</v>
      </c>
      <c r="K6" s="5" t="s">
        <v>9</v>
      </c>
      <c r="L6" s="5" t="s">
        <v>9</v>
      </c>
      <c r="M6" s="5" t="s">
        <v>9</v>
      </c>
      <c r="N6" s="5" t="s">
        <v>9</v>
      </c>
      <c r="O6" s="14" t="s">
        <v>8</v>
      </c>
      <c r="P6" s="14" t="s">
        <v>8</v>
      </c>
      <c r="Q6" s="5" t="s">
        <v>9</v>
      </c>
      <c r="R6" s="5" t="s">
        <v>9</v>
      </c>
      <c r="S6" s="5" t="s">
        <v>9</v>
      </c>
      <c r="T6" s="5" t="s">
        <v>9</v>
      </c>
      <c r="U6" s="5" t="s">
        <v>9</v>
      </c>
      <c r="V6" s="14" t="s">
        <v>8</v>
      </c>
      <c r="W6" s="14" t="s">
        <v>8</v>
      </c>
      <c r="X6" s="5" t="s">
        <v>9</v>
      </c>
      <c r="Y6" s="5" t="s">
        <v>9</v>
      </c>
      <c r="Z6" s="5" t="s">
        <v>9</v>
      </c>
      <c r="AA6" s="5" t="s">
        <v>9</v>
      </c>
      <c r="AB6" s="5" t="s">
        <v>9</v>
      </c>
      <c r="AC6" s="14" t="s">
        <v>8</v>
      </c>
      <c r="AD6" s="14" t="s">
        <v>8</v>
      </c>
      <c r="AE6" s="5" t="s">
        <v>9</v>
      </c>
      <c r="AF6" s="5" t="s">
        <v>9</v>
      </c>
      <c r="AH6" s="6">
        <f>FEB!AG6</f>
        <v>8</v>
      </c>
      <c r="AI6" s="15">
        <f t="shared" si="4"/>
        <v>0</v>
      </c>
      <c r="AJ6" s="15">
        <f t="shared" si="2"/>
        <v>8</v>
      </c>
      <c r="AL6" s="6">
        <f>FEB!AK6</f>
        <v>22</v>
      </c>
      <c r="AM6" s="15">
        <f t="shared" si="5"/>
        <v>0</v>
      </c>
      <c r="AN6" s="15">
        <f t="shared" si="3"/>
        <v>22</v>
      </c>
    </row>
    <row r="7" spans="1:40" ht="15" customHeight="1">
      <c r="A7" s="22" t="s">
        <v>14</v>
      </c>
      <c r="B7" s="7" t="s">
        <v>15</v>
      </c>
      <c r="C7" s="7" t="s">
        <v>15</v>
      </c>
      <c r="D7" s="7" t="s">
        <v>15</v>
      </c>
      <c r="E7" s="7" t="s">
        <v>15</v>
      </c>
      <c r="F7" s="14" t="s">
        <v>8</v>
      </c>
      <c r="G7" s="14" t="s">
        <v>8</v>
      </c>
      <c r="H7" s="3" t="s">
        <v>11</v>
      </c>
      <c r="I7" s="3" t="s">
        <v>11</v>
      </c>
      <c r="J7" s="3" t="s">
        <v>11</v>
      </c>
      <c r="K7" s="3" t="s">
        <v>11</v>
      </c>
      <c r="L7" s="14" t="s">
        <v>8</v>
      </c>
      <c r="M7" s="14" t="s">
        <v>8</v>
      </c>
      <c r="N7" s="7" t="s">
        <v>15</v>
      </c>
      <c r="O7" s="7" t="s">
        <v>15</v>
      </c>
      <c r="P7" s="7" t="s">
        <v>15</v>
      </c>
      <c r="Q7" s="7" t="s">
        <v>15</v>
      </c>
      <c r="R7" s="14" t="s">
        <v>8</v>
      </c>
      <c r="S7" s="14" t="s">
        <v>8</v>
      </c>
      <c r="T7" s="3" t="s">
        <v>11</v>
      </c>
      <c r="U7" s="3" t="s">
        <v>11</v>
      </c>
      <c r="V7" s="3" t="s">
        <v>11</v>
      </c>
      <c r="W7" s="3" t="s">
        <v>11</v>
      </c>
      <c r="X7" s="3" t="s">
        <v>11</v>
      </c>
      <c r="Y7" s="14" t="s">
        <v>8</v>
      </c>
      <c r="Z7" s="14" t="s">
        <v>8</v>
      </c>
      <c r="AA7" s="7" t="s">
        <v>15</v>
      </c>
      <c r="AB7" s="7" t="s">
        <v>15</v>
      </c>
      <c r="AC7" s="7" t="s">
        <v>15</v>
      </c>
      <c r="AD7" s="7" t="s">
        <v>15</v>
      </c>
      <c r="AE7" s="14" t="s">
        <v>8</v>
      </c>
      <c r="AF7" s="14" t="s">
        <v>8</v>
      </c>
      <c r="AH7" s="6">
        <f>FEB!AG7</f>
        <v>0</v>
      </c>
      <c r="AI7" s="15">
        <f t="shared" si="4"/>
        <v>0</v>
      </c>
      <c r="AJ7" s="15">
        <f t="shared" si="2"/>
        <v>0</v>
      </c>
      <c r="AL7" s="6">
        <f>FEB!AK7</f>
        <v>18</v>
      </c>
      <c r="AM7" s="15">
        <f t="shared" si="5"/>
        <v>0</v>
      </c>
      <c r="AN7" s="15">
        <f t="shared" si="3"/>
        <v>18</v>
      </c>
    </row>
    <row r="8" spans="1:40" ht="15" customHeight="1">
      <c r="A8" s="22" t="s">
        <v>17</v>
      </c>
      <c r="B8" s="14" t="s">
        <v>8</v>
      </c>
      <c r="C8" s="7" t="s">
        <v>15</v>
      </c>
      <c r="D8" s="7" t="s">
        <v>15</v>
      </c>
      <c r="E8" s="7" t="s">
        <v>15</v>
      </c>
      <c r="F8" s="7" t="s">
        <v>15</v>
      </c>
      <c r="G8" s="14" t="s">
        <v>8</v>
      </c>
      <c r="H8" s="14" t="s">
        <v>8</v>
      </c>
      <c r="I8" s="3" t="s">
        <v>11</v>
      </c>
      <c r="J8" s="3" t="s">
        <v>11</v>
      </c>
      <c r="K8" s="3" t="s">
        <v>11</v>
      </c>
      <c r="L8" s="3" t="s">
        <v>11</v>
      </c>
      <c r="M8" s="14" t="s">
        <v>8</v>
      </c>
      <c r="N8" s="14" t="s">
        <v>8</v>
      </c>
      <c r="O8" s="7" t="s">
        <v>15</v>
      </c>
      <c r="P8" s="7" t="s">
        <v>15</v>
      </c>
      <c r="Q8" s="7" t="s">
        <v>15</v>
      </c>
      <c r="R8" s="7" t="s">
        <v>15</v>
      </c>
      <c r="S8" s="7" t="s">
        <v>15</v>
      </c>
      <c r="T8" s="14" t="s">
        <v>8</v>
      </c>
      <c r="U8" s="14" t="s">
        <v>8</v>
      </c>
      <c r="V8" s="3" t="s">
        <v>11</v>
      </c>
      <c r="W8" s="3" t="s">
        <v>11</v>
      </c>
      <c r="X8" s="3" t="s">
        <v>11</v>
      </c>
      <c r="Y8" s="3" t="s">
        <v>11</v>
      </c>
      <c r="Z8" s="14" t="s">
        <v>8</v>
      </c>
      <c r="AA8" s="14" t="s">
        <v>8</v>
      </c>
      <c r="AB8" s="7" t="s">
        <v>15</v>
      </c>
      <c r="AC8" s="7" t="s">
        <v>15</v>
      </c>
      <c r="AD8" s="7" t="s">
        <v>15</v>
      </c>
      <c r="AE8" s="7" t="s">
        <v>15</v>
      </c>
      <c r="AF8" s="14" t="s">
        <v>8</v>
      </c>
      <c r="AH8" s="6">
        <f>FEB!AG8</f>
        <v>8</v>
      </c>
      <c r="AI8" s="15">
        <f t="shared" si="4"/>
        <v>0</v>
      </c>
      <c r="AJ8" s="15">
        <f t="shared" si="2"/>
        <v>8</v>
      </c>
      <c r="AL8" s="6">
        <f>FEB!AK8</f>
        <v>22</v>
      </c>
      <c r="AM8" s="15">
        <f t="shared" si="5"/>
        <v>0</v>
      </c>
      <c r="AN8" s="15">
        <f t="shared" si="3"/>
        <v>22</v>
      </c>
    </row>
    <row r="9" spans="1:40" ht="15" customHeight="1">
      <c r="A9" s="22" t="s">
        <v>19</v>
      </c>
      <c r="B9" s="14" t="s">
        <v>8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11</v>
      </c>
      <c r="H9" s="14" t="s">
        <v>8</v>
      </c>
      <c r="I9" s="14" t="s">
        <v>8</v>
      </c>
      <c r="J9" s="7" t="s">
        <v>15</v>
      </c>
      <c r="K9" s="7" t="s">
        <v>15</v>
      </c>
      <c r="L9" s="7" t="s">
        <v>15</v>
      </c>
      <c r="M9" s="7" t="s">
        <v>15</v>
      </c>
      <c r="N9" s="14" t="s">
        <v>8</v>
      </c>
      <c r="O9" s="14" t="s">
        <v>8</v>
      </c>
      <c r="P9" s="3" t="s">
        <v>11</v>
      </c>
      <c r="Q9" s="3" t="s">
        <v>11</v>
      </c>
      <c r="R9" s="3" t="s">
        <v>11</v>
      </c>
      <c r="S9" s="3" t="s">
        <v>11</v>
      </c>
      <c r="T9" s="3" t="s">
        <v>11</v>
      </c>
      <c r="U9" s="14" t="s">
        <v>8</v>
      </c>
      <c r="V9" s="14" t="s">
        <v>8</v>
      </c>
      <c r="W9" s="7" t="s">
        <v>15</v>
      </c>
      <c r="X9" s="7" t="s">
        <v>15</v>
      </c>
      <c r="Y9" s="7" t="s">
        <v>15</v>
      </c>
      <c r="Z9" s="7" t="s">
        <v>15</v>
      </c>
      <c r="AA9" s="14" t="s">
        <v>8</v>
      </c>
      <c r="AB9" s="14" t="s">
        <v>8</v>
      </c>
      <c r="AC9" s="3" t="s">
        <v>11</v>
      </c>
      <c r="AD9" s="3" t="s">
        <v>11</v>
      </c>
      <c r="AE9" s="3" t="s">
        <v>11</v>
      </c>
      <c r="AF9" s="3" t="s">
        <v>11</v>
      </c>
      <c r="AH9" s="6">
        <f>FEB!AG9</f>
        <v>0</v>
      </c>
      <c r="AI9" s="15">
        <f t="shared" si="4"/>
        <v>0</v>
      </c>
      <c r="AJ9" s="15">
        <f t="shared" si="2"/>
        <v>0</v>
      </c>
      <c r="AL9" s="6">
        <f>FEB!AK9</f>
        <v>22</v>
      </c>
      <c r="AM9" s="15">
        <f t="shared" si="5"/>
        <v>0</v>
      </c>
      <c r="AN9" s="15">
        <f t="shared" si="3"/>
        <v>22</v>
      </c>
    </row>
    <row r="10" spans="1:40" s="16" customFormat="1" ht="15" customHeight="1">
      <c r="A10" s="22" t="s">
        <v>20</v>
      </c>
      <c r="B10" s="3" t="s">
        <v>11</v>
      </c>
      <c r="C10" s="3" t="s">
        <v>11</v>
      </c>
      <c r="D10" s="14" t="s">
        <v>8</v>
      </c>
      <c r="E10" s="14" t="s">
        <v>8</v>
      </c>
      <c r="F10" s="7" t="s">
        <v>15</v>
      </c>
      <c r="G10" s="7" t="s">
        <v>15</v>
      </c>
      <c r="H10" s="7" t="s">
        <v>15</v>
      </c>
      <c r="I10" s="7" t="s">
        <v>15</v>
      </c>
      <c r="J10" s="14" t="s">
        <v>8</v>
      </c>
      <c r="K10" s="14" t="s">
        <v>8</v>
      </c>
      <c r="L10" s="3" t="s">
        <v>11</v>
      </c>
      <c r="M10" s="3" t="s">
        <v>11</v>
      </c>
      <c r="N10" s="3" t="s">
        <v>11</v>
      </c>
      <c r="O10" s="3" t="s">
        <v>11</v>
      </c>
      <c r="P10" s="14" t="s">
        <v>8</v>
      </c>
      <c r="Q10" s="14" t="s">
        <v>8</v>
      </c>
      <c r="R10" s="7" t="s">
        <v>15</v>
      </c>
      <c r="S10" s="7" t="s">
        <v>15</v>
      </c>
      <c r="T10" s="7" t="s">
        <v>15</v>
      </c>
      <c r="U10" s="7" t="s">
        <v>15</v>
      </c>
      <c r="V10" s="7" t="s">
        <v>15</v>
      </c>
      <c r="W10" s="14" t="s">
        <v>8</v>
      </c>
      <c r="X10" s="14" t="s">
        <v>8</v>
      </c>
      <c r="Y10" s="3" t="s">
        <v>11</v>
      </c>
      <c r="Z10" s="3" t="s">
        <v>11</v>
      </c>
      <c r="AA10" s="3" t="s">
        <v>11</v>
      </c>
      <c r="AB10" s="3" t="s">
        <v>11</v>
      </c>
      <c r="AC10" s="14" t="s">
        <v>8</v>
      </c>
      <c r="AD10" s="14" t="s">
        <v>8</v>
      </c>
      <c r="AE10" s="7" t="s">
        <v>15</v>
      </c>
      <c r="AF10" s="7" t="s">
        <v>15</v>
      </c>
      <c r="AG10" s="13"/>
      <c r="AH10" s="6">
        <f>FEB!AG10</f>
        <v>0</v>
      </c>
      <c r="AI10" s="15">
        <f t="shared" si="4"/>
        <v>0</v>
      </c>
      <c r="AJ10" s="15">
        <f t="shared" si="2"/>
        <v>0</v>
      </c>
      <c r="AK10" s="13"/>
      <c r="AL10" s="6">
        <f>FEB!AK10</f>
        <v>22</v>
      </c>
      <c r="AM10" s="15">
        <f t="shared" si="5"/>
        <v>0</v>
      </c>
      <c r="AN10" s="15">
        <f t="shared" si="3"/>
        <v>22</v>
      </c>
    </row>
    <row r="11" spans="1:40" ht="15" customHeight="1">
      <c r="A11" s="22" t="s">
        <v>21</v>
      </c>
      <c r="B11" s="7" t="s">
        <v>15</v>
      </c>
      <c r="C11" s="14" t="s">
        <v>8</v>
      </c>
      <c r="D11" s="14" t="s">
        <v>8</v>
      </c>
      <c r="E11" s="3" t="s">
        <v>11</v>
      </c>
      <c r="F11" s="3" t="s">
        <v>11</v>
      </c>
      <c r="G11" s="3" t="s">
        <v>11</v>
      </c>
      <c r="H11" s="3" t="s">
        <v>11</v>
      </c>
      <c r="I11" s="14" t="s">
        <v>8</v>
      </c>
      <c r="J11" s="14" t="s">
        <v>8</v>
      </c>
      <c r="K11" s="7" t="s">
        <v>15</v>
      </c>
      <c r="L11" s="7" t="s">
        <v>15</v>
      </c>
      <c r="M11" s="7" t="s">
        <v>15</v>
      </c>
      <c r="N11" s="7" t="s">
        <v>15</v>
      </c>
      <c r="O11" s="14" t="s">
        <v>8</v>
      </c>
      <c r="P11" s="14" t="s">
        <v>8</v>
      </c>
      <c r="Q11" s="3" t="s">
        <v>11</v>
      </c>
      <c r="R11" s="3" t="s">
        <v>11</v>
      </c>
      <c r="S11" s="3" t="s">
        <v>11</v>
      </c>
      <c r="T11" s="3" t="s">
        <v>11</v>
      </c>
      <c r="U11" s="3" t="s">
        <v>11</v>
      </c>
      <c r="V11" s="14" t="s">
        <v>8</v>
      </c>
      <c r="W11" s="14" t="s">
        <v>8</v>
      </c>
      <c r="X11" s="7" t="s">
        <v>15</v>
      </c>
      <c r="Y11" s="7" t="s">
        <v>15</v>
      </c>
      <c r="Z11" s="7" t="s">
        <v>15</v>
      </c>
      <c r="AA11" s="7" t="s">
        <v>15</v>
      </c>
      <c r="AB11" s="14" t="s">
        <v>8</v>
      </c>
      <c r="AC11" s="14" t="s">
        <v>8</v>
      </c>
      <c r="AD11" s="3" t="s">
        <v>11</v>
      </c>
      <c r="AE11" s="3" t="s">
        <v>11</v>
      </c>
      <c r="AF11" s="3" t="s">
        <v>11</v>
      </c>
      <c r="AH11" s="6">
        <f>FEB!AG11</f>
        <v>0</v>
      </c>
      <c r="AI11" s="15">
        <f t="shared" si="4"/>
        <v>0</v>
      </c>
      <c r="AJ11" s="15">
        <f t="shared" si="2"/>
        <v>0</v>
      </c>
      <c r="AL11" s="6">
        <f>FEB!AK11</f>
        <v>22</v>
      </c>
      <c r="AM11" s="15">
        <f>COUNTIF(B11:AF11,"U")</f>
        <v>0</v>
      </c>
      <c r="AN11" s="15">
        <f t="shared" si="3"/>
        <v>22</v>
      </c>
    </row>
    <row r="13" spans="1:40">
      <c r="A13" s="3" t="s">
        <v>22</v>
      </c>
      <c r="B13" s="14">
        <f>COUNTIF(B4:B11,"P06")</f>
        <v>1</v>
      </c>
      <c r="C13" s="14">
        <f t="shared" ref="C13:AF13" si="6">COUNTIF(C4:C11,"P06")</f>
        <v>2</v>
      </c>
      <c r="D13" s="14">
        <f t="shared" si="6"/>
        <v>1</v>
      </c>
      <c r="E13" s="14">
        <f t="shared" si="6"/>
        <v>2</v>
      </c>
      <c r="F13" s="14">
        <f t="shared" si="6"/>
        <v>2</v>
      </c>
      <c r="G13" s="14">
        <f t="shared" si="6"/>
        <v>2</v>
      </c>
      <c r="H13" s="14">
        <f t="shared" si="6"/>
        <v>2</v>
      </c>
      <c r="I13" s="14">
        <f t="shared" si="6"/>
        <v>2</v>
      </c>
      <c r="J13" s="14">
        <f t="shared" si="6"/>
        <v>2</v>
      </c>
      <c r="K13" s="14">
        <f t="shared" si="6"/>
        <v>2</v>
      </c>
      <c r="L13" s="14">
        <f t="shared" si="6"/>
        <v>2</v>
      </c>
      <c r="M13" s="14">
        <f t="shared" si="6"/>
        <v>1</v>
      </c>
      <c r="N13" s="14">
        <f t="shared" si="6"/>
        <v>1</v>
      </c>
      <c r="O13" s="14">
        <f t="shared" si="6"/>
        <v>1</v>
      </c>
      <c r="P13" s="14">
        <f t="shared" si="6"/>
        <v>1</v>
      </c>
      <c r="Q13" s="14">
        <f t="shared" si="6"/>
        <v>2</v>
      </c>
      <c r="R13" s="14">
        <f t="shared" si="6"/>
        <v>2</v>
      </c>
      <c r="S13" s="14">
        <f t="shared" si="6"/>
        <v>2</v>
      </c>
      <c r="T13" s="14">
        <f t="shared" si="6"/>
        <v>3</v>
      </c>
      <c r="U13" s="14">
        <f t="shared" si="6"/>
        <v>2</v>
      </c>
      <c r="V13" s="14">
        <f t="shared" si="6"/>
        <v>2</v>
      </c>
      <c r="W13" s="14">
        <f t="shared" si="6"/>
        <v>2</v>
      </c>
      <c r="X13" s="14">
        <f t="shared" si="6"/>
        <v>2</v>
      </c>
      <c r="Y13" s="14">
        <f t="shared" si="6"/>
        <v>2</v>
      </c>
      <c r="Z13" s="14">
        <f t="shared" si="6"/>
        <v>1</v>
      </c>
      <c r="AA13" s="14">
        <f t="shared" si="6"/>
        <v>1</v>
      </c>
      <c r="AB13" s="14">
        <f t="shared" si="6"/>
        <v>1</v>
      </c>
      <c r="AC13" s="14">
        <f t="shared" si="6"/>
        <v>1</v>
      </c>
      <c r="AD13" s="14">
        <f t="shared" si="6"/>
        <v>2</v>
      </c>
      <c r="AE13" s="14">
        <f t="shared" si="6"/>
        <v>2</v>
      </c>
      <c r="AF13" s="14">
        <f t="shared" si="6"/>
        <v>2</v>
      </c>
    </row>
    <row r="14" spans="1:40">
      <c r="A14" s="7" t="s">
        <v>23</v>
      </c>
      <c r="B14" s="14">
        <f>COUNTIF(B4:B11,"P14")</f>
        <v>2</v>
      </c>
      <c r="C14" s="14">
        <f t="shared" ref="C14:AF14" si="7">COUNTIF(C4:C11,"P14")</f>
        <v>2</v>
      </c>
      <c r="D14" s="14">
        <f t="shared" si="7"/>
        <v>2</v>
      </c>
      <c r="E14" s="14">
        <f t="shared" si="7"/>
        <v>2</v>
      </c>
      <c r="F14" s="14">
        <f t="shared" si="7"/>
        <v>2</v>
      </c>
      <c r="G14" s="14">
        <f t="shared" si="7"/>
        <v>1</v>
      </c>
      <c r="H14" s="14">
        <f t="shared" si="7"/>
        <v>1</v>
      </c>
      <c r="I14" s="14">
        <f t="shared" si="7"/>
        <v>1</v>
      </c>
      <c r="J14" s="14">
        <f t="shared" si="7"/>
        <v>1</v>
      </c>
      <c r="K14" s="14">
        <f t="shared" si="7"/>
        <v>2</v>
      </c>
      <c r="L14" s="14">
        <f t="shared" si="7"/>
        <v>2</v>
      </c>
      <c r="M14" s="14">
        <f t="shared" si="7"/>
        <v>2</v>
      </c>
      <c r="N14" s="14">
        <f t="shared" si="7"/>
        <v>2</v>
      </c>
      <c r="O14" s="14">
        <f t="shared" si="7"/>
        <v>2</v>
      </c>
      <c r="P14" s="14">
        <f t="shared" si="7"/>
        <v>2</v>
      </c>
      <c r="Q14" s="14">
        <f t="shared" si="7"/>
        <v>2</v>
      </c>
      <c r="R14" s="14">
        <f t="shared" si="7"/>
        <v>2</v>
      </c>
      <c r="S14" s="14">
        <f t="shared" si="7"/>
        <v>2</v>
      </c>
      <c r="T14" s="14">
        <f t="shared" si="7"/>
        <v>1</v>
      </c>
      <c r="U14" s="14">
        <f t="shared" si="7"/>
        <v>1</v>
      </c>
      <c r="V14" s="14">
        <f t="shared" si="7"/>
        <v>1</v>
      </c>
      <c r="W14" s="14">
        <f t="shared" si="7"/>
        <v>1</v>
      </c>
      <c r="X14" s="14">
        <f t="shared" si="7"/>
        <v>2</v>
      </c>
      <c r="Y14" s="14">
        <f t="shared" si="7"/>
        <v>2</v>
      </c>
      <c r="Z14" s="14">
        <f t="shared" si="7"/>
        <v>2</v>
      </c>
      <c r="AA14" s="14">
        <f t="shared" si="7"/>
        <v>2</v>
      </c>
      <c r="AB14" s="14">
        <f t="shared" si="7"/>
        <v>2</v>
      </c>
      <c r="AC14" s="14">
        <f t="shared" si="7"/>
        <v>2</v>
      </c>
      <c r="AD14" s="14">
        <f t="shared" si="7"/>
        <v>2</v>
      </c>
      <c r="AE14" s="14">
        <f t="shared" si="7"/>
        <v>2</v>
      </c>
      <c r="AF14" s="14">
        <f t="shared" si="7"/>
        <v>1</v>
      </c>
    </row>
    <row r="15" spans="1:40" ht="13.5" thickBot="1"/>
    <row r="16" spans="1:40">
      <c r="E16" s="42"/>
      <c r="F16" s="46" t="s">
        <v>24</v>
      </c>
      <c r="G16" s="59"/>
      <c r="H16" s="46" t="s">
        <v>25</v>
      </c>
      <c r="I16" s="47"/>
      <c r="M16" s="6" t="s">
        <v>8</v>
      </c>
      <c r="N16" s="24" t="s">
        <v>26</v>
      </c>
      <c r="O16" s="25"/>
      <c r="P16" s="25"/>
      <c r="Q16" s="25"/>
      <c r="R16" s="25"/>
      <c r="S16" s="4" t="s">
        <v>27</v>
      </c>
      <c r="T16" s="26" t="s">
        <v>28</v>
      </c>
      <c r="U16" s="27"/>
      <c r="V16" s="27"/>
      <c r="W16" s="27"/>
      <c r="X16" s="28"/>
      <c r="Z16" s="60" t="s">
        <v>29</v>
      </c>
      <c r="AA16" s="61"/>
      <c r="AB16" s="61"/>
      <c r="AC16" s="61"/>
      <c r="AD16" s="61"/>
      <c r="AE16" s="61"/>
      <c r="AF16" s="61"/>
    </row>
    <row r="17" spans="5:32">
      <c r="E17" s="3" t="s">
        <v>11</v>
      </c>
      <c r="F17" s="48" t="s">
        <v>30</v>
      </c>
      <c r="G17" s="58"/>
      <c r="H17" s="48" t="s">
        <v>31</v>
      </c>
      <c r="I17" s="49"/>
      <c r="M17" s="11" t="s">
        <v>32</v>
      </c>
      <c r="N17" s="17" t="s">
        <v>33</v>
      </c>
      <c r="O17" s="29"/>
      <c r="P17" s="29"/>
      <c r="Q17" s="29"/>
      <c r="R17" s="29"/>
      <c r="S17" s="4" t="s">
        <v>34</v>
      </c>
      <c r="T17" s="17" t="s">
        <v>35</v>
      </c>
      <c r="U17" s="29"/>
      <c r="V17" s="29"/>
      <c r="W17" s="29"/>
      <c r="X17" s="19"/>
      <c r="Z17" s="62"/>
      <c r="AA17" s="63"/>
      <c r="AB17" s="63"/>
      <c r="AC17" s="63"/>
      <c r="AD17" s="63"/>
      <c r="AE17" s="63"/>
      <c r="AF17" s="63"/>
    </row>
    <row r="18" spans="5:32">
      <c r="E18" s="5" t="s">
        <v>10</v>
      </c>
      <c r="F18" s="50" t="s">
        <v>36</v>
      </c>
      <c r="G18" s="52"/>
      <c r="H18" s="50" t="s">
        <v>37</v>
      </c>
      <c r="I18" s="51"/>
      <c r="M18" s="23" t="s">
        <v>6</v>
      </c>
      <c r="N18" s="18" t="s">
        <v>38</v>
      </c>
      <c r="O18" s="30"/>
      <c r="P18" s="30"/>
      <c r="Q18" s="30"/>
      <c r="R18" s="30"/>
      <c r="S18" s="6" t="s">
        <v>39</v>
      </c>
      <c r="T18" s="17" t="s">
        <v>40</v>
      </c>
      <c r="U18" s="29"/>
      <c r="V18" s="29"/>
      <c r="W18" s="29"/>
      <c r="X18" s="19"/>
      <c r="Z18" s="62"/>
      <c r="AA18" s="63"/>
      <c r="AB18" s="63"/>
      <c r="AC18" s="63"/>
      <c r="AD18" s="63"/>
      <c r="AE18" s="63"/>
      <c r="AF18" s="63"/>
    </row>
    <row r="19" spans="5:32">
      <c r="E19" s="5" t="s">
        <v>9</v>
      </c>
      <c r="F19" s="50" t="s">
        <v>41</v>
      </c>
      <c r="G19" s="52"/>
      <c r="H19" s="50" t="s">
        <v>42</v>
      </c>
      <c r="I19" s="51"/>
      <c r="M19" s="31" t="s">
        <v>16</v>
      </c>
      <c r="N19" s="17" t="s">
        <v>43</v>
      </c>
      <c r="O19" s="29"/>
      <c r="P19" s="29"/>
      <c r="Q19" s="29"/>
      <c r="R19" s="29"/>
      <c r="S19" s="6" t="s">
        <v>44</v>
      </c>
      <c r="T19" s="17" t="s">
        <v>40</v>
      </c>
      <c r="U19" s="29"/>
      <c r="V19" s="29"/>
      <c r="W19" s="29"/>
      <c r="X19" s="19"/>
    </row>
    <row r="20" spans="5:32">
      <c r="E20" s="7" t="s">
        <v>15</v>
      </c>
      <c r="F20" s="50" t="s">
        <v>45</v>
      </c>
      <c r="G20" s="52"/>
      <c r="H20" s="50" t="s">
        <v>46</v>
      </c>
      <c r="I20" s="51"/>
      <c r="M20" s="31" t="s">
        <v>7</v>
      </c>
      <c r="N20" s="17" t="s">
        <v>47</v>
      </c>
      <c r="O20" s="29"/>
      <c r="P20" s="29"/>
      <c r="Q20" s="29"/>
      <c r="R20" s="19"/>
      <c r="S20" s="6" t="s">
        <v>48</v>
      </c>
      <c r="T20" s="17" t="s">
        <v>40</v>
      </c>
      <c r="U20" s="29"/>
      <c r="V20" s="29"/>
      <c r="W20" s="29"/>
      <c r="X20" s="19"/>
    </row>
    <row r="21" spans="5:32">
      <c r="E21" s="8" t="s">
        <v>49</v>
      </c>
      <c r="F21" s="53" t="s">
        <v>50</v>
      </c>
      <c r="G21" s="54"/>
      <c r="H21" s="53" t="s">
        <v>51</v>
      </c>
      <c r="I21" s="55"/>
      <c r="M21" s="32" t="s">
        <v>6</v>
      </c>
      <c r="N21" s="17" t="s">
        <v>52</v>
      </c>
      <c r="O21" s="29"/>
      <c r="P21" s="29"/>
      <c r="Q21" s="29"/>
      <c r="R21" s="29"/>
      <c r="S21" s="20" t="s">
        <v>53</v>
      </c>
      <c r="T21" s="17" t="s">
        <v>54</v>
      </c>
      <c r="U21" s="29"/>
      <c r="V21" s="29"/>
      <c r="W21" s="29"/>
      <c r="X21" s="19"/>
    </row>
    <row r="22" spans="5:32">
      <c r="M22" s="32" t="s">
        <v>16</v>
      </c>
      <c r="N22" s="17" t="s">
        <v>55</v>
      </c>
      <c r="O22" s="29"/>
      <c r="P22" s="29"/>
      <c r="Q22" s="29"/>
      <c r="R22" s="29"/>
      <c r="S22" s="9" t="s">
        <v>56</v>
      </c>
      <c r="T22" s="17" t="s">
        <v>54</v>
      </c>
      <c r="U22" s="29"/>
      <c r="V22" s="29"/>
      <c r="W22" s="29"/>
      <c r="X22" s="19"/>
    </row>
    <row r="23" spans="5:32">
      <c r="M23" s="33" t="s">
        <v>18</v>
      </c>
      <c r="N23" s="17" t="s">
        <v>57</v>
      </c>
      <c r="O23" s="29"/>
      <c r="P23" s="29"/>
      <c r="Q23" s="29"/>
      <c r="R23" s="29"/>
      <c r="S23" s="9" t="s">
        <v>58</v>
      </c>
      <c r="T23" s="17" t="s">
        <v>54</v>
      </c>
      <c r="U23" s="29"/>
      <c r="V23" s="29"/>
      <c r="W23" s="29"/>
      <c r="X23" s="19"/>
    </row>
    <row r="24" spans="5:32">
      <c r="M24" s="33" t="s">
        <v>59</v>
      </c>
      <c r="N24" s="17" t="s">
        <v>60</v>
      </c>
      <c r="O24" s="29"/>
      <c r="P24" s="29"/>
      <c r="Q24" s="29"/>
      <c r="R24" s="29"/>
      <c r="S24" s="9" t="s">
        <v>61</v>
      </c>
      <c r="T24" s="17" t="s">
        <v>54</v>
      </c>
      <c r="U24" s="29"/>
      <c r="V24" s="29"/>
      <c r="W24" s="29"/>
      <c r="X24" s="19"/>
    </row>
    <row r="25" spans="5:32">
      <c r="M25" s="34" t="s">
        <v>62</v>
      </c>
      <c r="N25" s="17" t="s">
        <v>63</v>
      </c>
      <c r="O25" s="29"/>
      <c r="P25" s="29"/>
      <c r="Q25" s="29"/>
      <c r="R25" s="29"/>
      <c r="S25" s="10" t="s">
        <v>64</v>
      </c>
      <c r="T25" s="17" t="s">
        <v>54</v>
      </c>
      <c r="U25" s="29"/>
      <c r="V25" s="29"/>
      <c r="W25" s="29"/>
      <c r="X25" s="19"/>
    </row>
    <row r="26" spans="5:32">
      <c r="M26" s="35" t="s">
        <v>65</v>
      </c>
      <c r="N26" s="17" t="s">
        <v>66</v>
      </c>
      <c r="O26" s="29"/>
      <c r="P26" s="29"/>
      <c r="Q26" s="29"/>
      <c r="R26" s="29"/>
      <c r="S26" s="6" t="s">
        <v>67</v>
      </c>
      <c r="T26" s="17" t="s">
        <v>54</v>
      </c>
      <c r="U26" s="29"/>
      <c r="V26" s="29"/>
      <c r="W26" s="29"/>
      <c r="X26" s="19"/>
    </row>
    <row r="27" spans="5:32">
      <c r="M27" s="36" t="s">
        <v>68</v>
      </c>
      <c r="N27" s="17" t="s">
        <v>69</v>
      </c>
      <c r="O27" s="29"/>
      <c r="P27" s="29"/>
      <c r="Q27" s="29"/>
      <c r="R27" s="29"/>
      <c r="S27" s="6" t="s">
        <v>70</v>
      </c>
      <c r="T27" s="17" t="s">
        <v>54</v>
      </c>
      <c r="U27" s="29"/>
      <c r="V27" s="29"/>
      <c r="W27" s="29"/>
      <c r="X27" s="19"/>
    </row>
    <row r="28" spans="5:32">
      <c r="M28" s="37" t="s">
        <v>71</v>
      </c>
      <c r="N28" s="18" t="s">
        <v>72</v>
      </c>
      <c r="O28" s="30"/>
      <c r="P28" s="30"/>
      <c r="Q28" s="30"/>
      <c r="R28" s="30"/>
      <c r="S28" s="11" t="s">
        <v>73</v>
      </c>
      <c r="T28" s="17" t="s">
        <v>54</v>
      </c>
      <c r="U28" s="29"/>
      <c r="V28" s="29"/>
      <c r="W28" s="29"/>
      <c r="X28" s="19"/>
    </row>
    <row r="29" spans="5:32">
      <c r="M29" s="10" t="s">
        <v>74</v>
      </c>
      <c r="N29" s="17" t="s">
        <v>75</v>
      </c>
      <c r="O29" s="29"/>
      <c r="P29" s="29"/>
      <c r="Q29" s="29"/>
      <c r="R29" s="29"/>
      <c r="S29" s="6" t="s">
        <v>76</v>
      </c>
      <c r="T29" s="17" t="s">
        <v>54</v>
      </c>
      <c r="U29" s="29"/>
      <c r="V29" s="29"/>
      <c r="W29" s="29"/>
      <c r="X29" s="19"/>
    </row>
    <row r="30" spans="5:32">
      <c r="M30" s="37" t="s">
        <v>77</v>
      </c>
      <c r="N30" s="38" t="s">
        <v>78</v>
      </c>
      <c r="O30" s="39"/>
      <c r="P30" s="39"/>
      <c r="Q30" s="39"/>
      <c r="R30" s="39"/>
      <c r="S30" s="40" t="s">
        <v>79</v>
      </c>
      <c r="T30" s="38" t="s">
        <v>80</v>
      </c>
      <c r="U30" s="39"/>
      <c r="V30" s="39"/>
      <c r="W30" s="39"/>
      <c r="X30" s="41"/>
    </row>
  </sheetData>
  <mergeCells count="17">
    <mergeCell ref="F20:G20"/>
    <mergeCell ref="H20:I20"/>
    <mergeCell ref="F21:G21"/>
    <mergeCell ref="H21:I21"/>
    <mergeCell ref="F17:G17"/>
    <mergeCell ref="H17:I17"/>
    <mergeCell ref="F18:G18"/>
    <mergeCell ref="H18:I18"/>
    <mergeCell ref="F19:G19"/>
    <mergeCell ref="H19:I19"/>
    <mergeCell ref="A1:AF1"/>
    <mergeCell ref="A2:A3"/>
    <mergeCell ref="AH2:AJ2"/>
    <mergeCell ref="AL2:AN2"/>
    <mergeCell ref="F16:G16"/>
    <mergeCell ref="H16:I16"/>
    <mergeCell ref="Z16:AF18"/>
  </mergeCells>
  <conditionalFormatting sqref="B2:AF3">
    <cfRule type="expression" dxfId="29" priority="5">
      <formula>WEEKDAY(DATE(YEAR($A$2),MONTH($A$2),B$2),2)&gt;5</formula>
    </cfRule>
  </conditionalFormatting>
  <conditionalFormatting sqref="B13:AF14">
    <cfRule type="cellIs" dxfId="28" priority="1" operator="equal">
      <formula>0</formula>
    </cfRule>
    <cfRule type="cellIs" dxfId="27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28D4-2E2F-4C5F-9A4D-FE8FDA073EA5}">
  <dimension ref="A1:AM30"/>
  <sheetViews>
    <sheetView zoomScale="85" zoomScaleNormal="85" workbookViewId="0">
      <pane xSplit="1" ySplit="3" topLeftCell="B4" activePane="bottomRight" state="frozen"/>
      <selection pane="bottomRight" activeCell="AG25" sqref="AG25"/>
      <selection pane="bottomLeft"/>
      <selection pane="topRight"/>
    </sheetView>
  </sheetViews>
  <sheetFormatPr defaultColWidth="9.140625" defaultRowHeight="12.95"/>
  <cols>
    <col min="1" max="1" width="30.7109375" style="13" customWidth="1"/>
    <col min="2" max="39" width="6.7109375" style="13" customWidth="1"/>
    <col min="40" max="16384" width="9.140625" style="13"/>
  </cols>
  <sheetData>
    <row r="1" spans="1:39" ht="1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12"/>
      <c r="AG1" s="12"/>
      <c r="AH1" s="12"/>
      <c r="AI1" s="12"/>
      <c r="AJ1" s="12"/>
      <c r="AK1" s="12"/>
      <c r="AL1" s="12"/>
      <c r="AM1" s="12"/>
    </row>
    <row r="2" spans="1:39" ht="15" customHeight="1">
      <c r="A2" s="57">
        <v>46113</v>
      </c>
      <c r="B2" s="21">
        <f>IF(COLUMN(A1)&lt;=DAY(EOMONTH($A$2,0)),COLUMN(A1),"")</f>
        <v>1</v>
      </c>
      <c r="C2" s="21">
        <f t="shared" ref="C2:AE2" si="0">IF(COLUMN(B1)&lt;=DAY(EOMONTH($A$2,0)),COLUMN(B1),"")</f>
        <v>2</v>
      </c>
      <c r="D2" s="23">
        <f t="shared" si="0"/>
        <v>3</v>
      </c>
      <c r="E2" s="21">
        <f t="shared" si="0"/>
        <v>4</v>
      </c>
      <c r="F2" s="23">
        <f t="shared" si="0"/>
        <v>5</v>
      </c>
      <c r="G2" s="21">
        <f t="shared" si="0"/>
        <v>6</v>
      </c>
      <c r="H2" s="21">
        <f t="shared" si="0"/>
        <v>7</v>
      </c>
      <c r="I2" s="21">
        <f t="shared" si="0"/>
        <v>8</v>
      </c>
      <c r="J2" s="21">
        <f t="shared" si="0"/>
        <v>9</v>
      </c>
      <c r="K2" s="21">
        <f t="shared" si="0"/>
        <v>10</v>
      </c>
      <c r="L2" s="21">
        <f t="shared" si="0"/>
        <v>11</v>
      </c>
      <c r="M2" s="21">
        <f t="shared" si="0"/>
        <v>12</v>
      </c>
      <c r="N2" s="21">
        <f t="shared" si="0"/>
        <v>13</v>
      </c>
      <c r="O2" s="21">
        <f t="shared" si="0"/>
        <v>14</v>
      </c>
      <c r="P2" s="21">
        <f t="shared" si="0"/>
        <v>15</v>
      </c>
      <c r="Q2" s="21">
        <f t="shared" si="0"/>
        <v>16</v>
      </c>
      <c r="R2" s="21">
        <f t="shared" si="0"/>
        <v>17</v>
      </c>
      <c r="S2" s="21">
        <f t="shared" si="0"/>
        <v>18</v>
      </c>
      <c r="T2" s="21">
        <f t="shared" si="0"/>
        <v>19</v>
      </c>
      <c r="U2" s="21">
        <f t="shared" si="0"/>
        <v>20</v>
      </c>
      <c r="V2" s="21">
        <f t="shared" si="0"/>
        <v>21</v>
      </c>
      <c r="W2" s="21">
        <f t="shared" si="0"/>
        <v>22</v>
      </c>
      <c r="X2" s="21">
        <f t="shared" si="0"/>
        <v>23</v>
      </c>
      <c r="Y2" s="21">
        <f t="shared" si="0"/>
        <v>24</v>
      </c>
      <c r="Z2" s="23">
        <f t="shared" si="0"/>
        <v>25</v>
      </c>
      <c r="AA2" s="21">
        <f t="shared" si="0"/>
        <v>26</v>
      </c>
      <c r="AB2" s="21">
        <f t="shared" si="0"/>
        <v>27</v>
      </c>
      <c r="AC2" s="21">
        <f t="shared" si="0"/>
        <v>28</v>
      </c>
      <c r="AD2" s="21">
        <f t="shared" si="0"/>
        <v>29</v>
      </c>
      <c r="AE2" s="21">
        <f t="shared" si="0"/>
        <v>30</v>
      </c>
      <c r="AG2" s="44" t="s">
        <v>1</v>
      </c>
      <c r="AH2" s="45"/>
      <c r="AI2" s="45"/>
      <c r="AK2" s="44" t="s">
        <v>2</v>
      </c>
      <c r="AL2" s="45"/>
      <c r="AM2" s="45"/>
    </row>
    <row r="3" spans="1:39" ht="15" customHeight="1">
      <c r="A3" s="57"/>
      <c r="B3" s="21" t="str">
        <f>UPPER(LEFT(TEXT(DATE(YEAR($A$2),MONTH($A$2),B2),"DDD"),2))</f>
        <v>WE</v>
      </c>
      <c r="C3" s="21" t="str">
        <f t="shared" ref="C3:AE3" si="1">UPPER(LEFT(TEXT(DATE(YEAR($A$2),MONTH($A$2),C2),"DDD"),2))</f>
        <v>TH</v>
      </c>
      <c r="D3" s="23" t="str">
        <f t="shared" si="1"/>
        <v>FR</v>
      </c>
      <c r="E3" s="21" t="str">
        <f t="shared" si="1"/>
        <v>SA</v>
      </c>
      <c r="F3" s="23" t="str">
        <f t="shared" si="1"/>
        <v>SU</v>
      </c>
      <c r="G3" s="21" t="str">
        <f t="shared" si="1"/>
        <v>MO</v>
      </c>
      <c r="H3" s="21" t="str">
        <f t="shared" si="1"/>
        <v>TU</v>
      </c>
      <c r="I3" s="21" t="str">
        <f t="shared" si="1"/>
        <v>WE</v>
      </c>
      <c r="J3" s="21" t="str">
        <f t="shared" si="1"/>
        <v>TH</v>
      </c>
      <c r="K3" s="21" t="str">
        <f t="shared" si="1"/>
        <v>FR</v>
      </c>
      <c r="L3" s="21" t="str">
        <f t="shared" si="1"/>
        <v>SA</v>
      </c>
      <c r="M3" s="21" t="str">
        <f t="shared" si="1"/>
        <v>SU</v>
      </c>
      <c r="N3" s="21" t="str">
        <f t="shared" si="1"/>
        <v>MO</v>
      </c>
      <c r="O3" s="21" t="str">
        <f t="shared" si="1"/>
        <v>TU</v>
      </c>
      <c r="P3" s="21" t="str">
        <f t="shared" si="1"/>
        <v>WE</v>
      </c>
      <c r="Q3" s="21" t="str">
        <f t="shared" si="1"/>
        <v>TH</v>
      </c>
      <c r="R3" s="21" t="str">
        <f t="shared" si="1"/>
        <v>FR</v>
      </c>
      <c r="S3" s="21" t="str">
        <f t="shared" si="1"/>
        <v>SA</v>
      </c>
      <c r="T3" s="21" t="str">
        <f t="shared" si="1"/>
        <v>SU</v>
      </c>
      <c r="U3" s="21" t="str">
        <f t="shared" si="1"/>
        <v>MO</v>
      </c>
      <c r="V3" s="21" t="str">
        <f t="shared" si="1"/>
        <v>TU</v>
      </c>
      <c r="W3" s="21" t="str">
        <f t="shared" si="1"/>
        <v>WE</v>
      </c>
      <c r="X3" s="21" t="str">
        <f t="shared" si="1"/>
        <v>TH</v>
      </c>
      <c r="Y3" s="21" t="str">
        <f t="shared" si="1"/>
        <v>FR</v>
      </c>
      <c r="Z3" s="23" t="str">
        <f t="shared" si="1"/>
        <v>SA</v>
      </c>
      <c r="AA3" s="21" t="str">
        <f t="shared" si="1"/>
        <v>SU</v>
      </c>
      <c r="AB3" s="21" t="str">
        <f t="shared" si="1"/>
        <v>MO</v>
      </c>
      <c r="AC3" s="21" t="str">
        <f t="shared" si="1"/>
        <v>TU</v>
      </c>
      <c r="AD3" s="21" t="str">
        <f t="shared" si="1"/>
        <v>WE</v>
      </c>
      <c r="AE3" s="21" t="str">
        <f t="shared" si="1"/>
        <v>TH</v>
      </c>
      <c r="AG3" s="1">
        <v>2025</v>
      </c>
      <c r="AH3" s="2" t="s">
        <v>3</v>
      </c>
      <c r="AI3" s="2" t="s">
        <v>4</v>
      </c>
      <c r="AK3" s="1">
        <v>2026</v>
      </c>
      <c r="AL3" s="2" t="s">
        <v>3</v>
      </c>
      <c r="AM3" s="2" t="s">
        <v>4</v>
      </c>
    </row>
    <row r="4" spans="1:39" ht="15" customHeight="1">
      <c r="A4" s="22" t="s">
        <v>5</v>
      </c>
      <c r="B4" s="5" t="s">
        <v>10</v>
      </c>
      <c r="C4" s="5" t="s">
        <v>10</v>
      </c>
      <c r="D4" s="23" t="s">
        <v>6</v>
      </c>
      <c r="E4" s="14" t="s">
        <v>8</v>
      </c>
      <c r="F4" s="14" t="s">
        <v>8</v>
      </c>
      <c r="G4" s="5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14" t="s">
        <v>8</v>
      </c>
      <c r="M4" s="14" t="s">
        <v>8</v>
      </c>
      <c r="N4" s="5" t="s">
        <v>10</v>
      </c>
      <c r="O4" s="5" t="s">
        <v>10</v>
      </c>
      <c r="P4" s="5" t="s">
        <v>10</v>
      </c>
      <c r="Q4" s="5" t="s">
        <v>10</v>
      </c>
      <c r="R4" s="5" t="s">
        <v>10</v>
      </c>
      <c r="S4" s="14" t="s">
        <v>8</v>
      </c>
      <c r="T4" s="14" t="s">
        <v>8</v>
      </c>
      <c r="U4" s="5" t="s">
        <v>10</v>
      </c>
      <c r="V4" s="5" t="s">
        <v>10</v>
      </c>
      <c r="W4" s="5" t="s">
        <v>10</v>
      </c>
      <c r="X4" s="5" t="s">
        <v>10</v>
      </c>
      <c r="Y4" s="33" t="s">
        <v>18</v>
      </c>
      <c r="Z4" s="14" t="s">
        <v>8</v>
      </c>
      <c r="AA4" s="14" t="s">
        <v>8</v>
      </c>
      <c r="AB4" s="5" t="s">
        <v>10</v>
      </c>
      <c r="AC4" s="5" t="s">
        <v>10</v>
      </c>
      <c r="AD4" s="5" t="s">
        <v>10</v>
      </c>
      <c r="AE4" s="5" t="s">
        <v>10</v>
      </c>
      <c r="AG4" s="6">
        <f>MAR!AJ4</f>
        <v>3</v>
      </c>
      <c r="AH4" s="15">
        <f>COUNTIF(B4:AE4,"UA")</f>
        <v>0</v>
      </c>
      <c r="AI4" s="15">
        <f t="shared" ref="AI4:AI11" si="2">AG4-AH4</f>
        <v>3</v>
      </c>
      <c r="AK4" s="6">
        <f>MAR!AN4</f>
        <v>22</v>
      </c>
      <c r="AL4" s="15">
        <f>COUNTIF(B4:AE4,"U")</f>
        <v>0</v>
      </c>
      <c r="AM4" s="15">
        <f t="shared" ref="AM4:AM11" si="3">AK4-AL4</f>
        <v>22</v>
      </c>
    </row>
    <row r="5" spans="1:39" ht="15" customHeight="1">
      <c r="A5" s="22" t="s">
        <v>12</v>
      </c>
      <c r="B5" s="5" t="s">
        <v>9</v>
      </c>
      <c r="C5" s="5" t="s">
        <v>9</v>
      </c>
      <c r="D5" s="23" t="s">
        <v>6</v>
      </c>
      <c r="E5" s="14" t="s">
        <v>8</v>
      </c>
      <c r="F5" s="14" t="s">
        <v>8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  <c r="L5" s="14" t="s">
        <v>8</v>
      </c>
      <c r="M5" s="14" t="s">
        <v>8</v>
      </c>
      <c r="N5" s="5" t="s">
        <v>9</v>
      </c>
      <c r="O5" s="5" t="s">
        <v>9</v>
      </c>
      <c r="P5" s="5" t="s">
        <v>9</v>
      </c>
      <c r="Q5" s="5" t="s">
        <v>9</v>
      </c>
      <c r="R5" s="5" t="s">
        <v>9</v>
      </c>
      <c r="S5" s="14" t="s">
        <v>8</v>
      </c>
      <c r="T5" s="14" t="s">
        <v>8</v>
      </c>
      <c r="U5" s="5" t="s">
        <v>9</v>
      </c>
      <c r="V5" s="5" t="s">
        <v>9</v>
      </c>
      <c r="W5" s="5" t="s">
        <v>9</v>
      </c>
      <c r="X5" s="5" t="s">
        <v>9</v>
      </c>
      <c r="Y5" s="5" t="s">
        <v>9</v>
      </c>
      <c r="Z5" s="14" t="s">
        <v>8</v>
      </c>
      <c r="AA5" s="14" t="s">
        <v>8</v>
      </c>
      <c r="AB5" s="5" t="s">
        <v>9</v>
      </c>
      <c r="AC5" s="5" t="s">
        <v>9</v>
      </c>
      <c r="AD5" s="5" t="s">
        <v>9</v>
      </c>
      <c r="AE5" s="5" t="s">
        <v>9</v>
      </c>
      <c r="AG5" s="6">
        <f>MAR!AJ5</f>
        <v>0</v>
      </c>
      <c r="AH5" s="15">
        <f t="shared" ref="AH5:AH11" si="4">COUNTIF(B5:AE5,"UA")</f>
        <v>0</v>
      </c>
      <c r="AI5" s="15">
        <f t="shared" si="2"/>
        <v>0</v>
      </c>
      <c r="AK5" s="6">
        <f>MAR!AN5</f>
        <v>22</v>
      </c>
      <c r="AL5" s="15">
        <f t="shared" ref="AL5:AL11" si="5">COUNTIF(B5:AE5,"U")</f>
        <v>0</v>
      </c>
      <c r="AM5" s="15">
        <f t="shared" si="3"/>
        <v>22</v>
      </c>
    </row>
    <row r="6" spans="1:39" ht="15" customHeight="1">
      <c r="A6" s="22" t="s">
        <v>13</v>
      </c>
      <c r="B6" s="31" t="s">
        <v>7</v>
      </c>
      <c r="C6" s="31" t="s">
        <v>7</v>
      </c>
      <c r="D6" s="23" t="s">
        <v>6</v>
      </c>
      <c r="E6" s="14" t="s">
        <v>8</v>
      </c>
      <c r="F6" s="14" t="s">
        <v>8</v>
      </c>
      <c r="G6" s="31" t="s">
        <v>7</v>
      </c>
      <c r="H6" s="31" t="s">
        <v>7</v>
      </c>
      <c r="I6" s="31" t="s">
        <v>7</v>
      </c>
      <c r="J6" s="33" t="s">
        <v>18</v>
      </c>
      <c r="K6" s="31" t="s">
        <v>7</v>
      </c>
      <c r="L6" s="14" t="s">
        <v>8</v>
      </c>
      <c r="M6" s="14" t="s">
        <v>8</v>
      </c>
      <c r="N6" s="31" t="s">
        <v>7</v>
      </c>
      <c r="O6" s="31" t="s">
        <v>7</v>
      </c>
      <c r="P6" s="31" t="s">
        <v>16</v>
      </c>
      <c r="Q6" s="31" t="s">
        <v>16</v>
      </c>
      <c r="R6" s="31" t="s">
        <v>16</v>
      </c>
      <c r="S6" s="14" t="s">
        <v>8</v>
      </c>
      <c r="T6" s="14" t="s">
        <v>8</v>
      </c>
      <c r="U6" s="5" t="s">
        <v>9</v>
      </c>
      <c r="V6" s="5" t="s">
        <v>9</v>
      </c>
      <c r="W6" s="5" t="s">
        <v>9</v>
      </c>
      <c r="X6" s="5" t="s">
        <v>9</v>
      </c>
      <c r="Y6" s="5" t="s">
        <v>9</v>
      </c>
      <c r="Z6" s="14" t="s">
        <v>8</v>
      </c>
      <c r="AA6" s="14" t="s">
        <v>8</v>
      </c>
      <c r="AB6" s="5" t="s">
        <v>9</v>
      </c>
      <c r="AC6" s="5" t="s">
        <v>9</v>
      </c>
      <c r="AD6" s="5" t="s">
        <v>9</v>
      </c>
      <c r="AE6" s="5" t="s">
        <v>9</v>
      </c>
      <c r="AG6" s="6">
        <f>MAR!AJ6</f>
        <v>8</v>
      </c>
      <c r="AH6" s="15">
        <f t="shared" si="4"/>
        <v>8</v>
      </c>
      <c r="AI6" s="15">
        <f t="shared" si="2"/>
        <v>0</v>
      </c>
      <c r="AK6" s="6">
        <f>MAR!AN6</f>
        <v>22</v>
      </c>
      <c r="AL6" s="15">
        <f t="shared" si="5"/>
        <v>3</v>
      </c>
      <c r="AM6" s="15">
        <f t="shared" si="3"/>
        <v>19</v>
      </c>
    </row>
    <row r="7" spans="1:39" ht="15" customHeight="1">
      <c r="A7" s="22" t="s">
        <v>14</v>
      </c>
      <c r="B7" s="3" t="s">
        <v>11</v>
      </c>
      <c r="C7" s="3" t="s">
        <v>11</v>
      </c>
      <c r="D7" s="23" t="s">
        <v>6</v>
      </c>
      <c r="E7" s="3" t="s">
        <v>11</v>
      </c>
      <c r="F7" s="14" t="s">
        <v>8</v>
      </c>
      <c r="G7" s="14" t="s">
        <v>8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14" t="s">
        <v>8</v>
      </c>
      <c r="N7" s="14" t="s">
        <v>8</v>
      </c>
      <c r="O7" s="3" t="s">
        <v>11</v>
      </c>
      <c r="P7" s="3" t="s">
        <v>11</v>
      </c>
      <c r="Q7" s="3" t="s">
        <v>11</v>
      </c>
      <c r="R7" s="3" t="s">
        <v>11</v>
      </c>
      <c r="S7" s="14" t="s">
        <v>8</v>
      </c>
      <c r="T7" s="14" t="s">
        <v>8</v>
      </c>
      <c r="U7" s="7" t="s">
        <v>15</v>
      </c>
      <c r="V7" s="7" t="s">
        <v>15</v>
      </c>
      <c r="W7" s="7" t="s">
        <v>15</v>
      </c>
      <c r="X7" s="7" t="s">
        <v>15</v>
      </c>
      <c r="Y7" s="7" t="s">
        <v>15</v>
      </c>
      <c r="Z7" s="14" t="s">
        <v>8</v>
      </c>
      <c r="AA7" s="14" t="s">
        <v>8</v>
      </c>
      <c r="AB7" s="3" t="s">
        <v>11</v>
      </c>
      <c r="AC7" s="3" t="s">
        <v>11</v>
      </c>
      <c r="AD7" s="3" t="s">
        <v>11</v>
      </c>
      <c r="AE7" s="3" t="s">
        <v>11</v>
      </c>
      <c r="AG7" s="6">
        <f>MAR!AJ7</f>
        <v>0</v>
      </c>
      <c r="AH7" s="15">
        <f t="shared" si="4"/>
        <v>0</v>
      </c>
      <c r="AI7" s="15">
        <f t="shared" si="2"/>
        <v>0</v>
      </c>
      <c r="AK7" s="6">
        <f>MAR!AN7</f>
        <v>18</v>
      </c>
      <c r="AL7" s="15">
        <f t="shared" si="5"/>
        <v>0</v>
      </c>
      <c r="AM7" s="15">
        <f t="shared" si="3"/>
        <v>18</v>
      </c>
    </row>
    <row r="8" spans="1:39" ht="15" customHeight="1">
      <c r="A8" s="22" t="s">
        <v>17</v>
      </c>
      <c r="B8" s="14" t="s">
        <v>8</v>
      </c>
      <c r="C8" s="7" t="s">
        <v>15</v>
      </c>
      <c r="D8" s="7" t="s">
        <v>15</v>
      </c>
      <c r="E8" s="7" t="s">
        <v>15</v>
      </c>
      <c r="F8" s="7" t="s">
        <v>15</v>
      </c>
      <c r="G8" s="14" t="s">
        <v>8</v>
      </c>
      <c r="H8" s="14" t="s">
        <v>8</v>
      </c>
      <c r="I8" s="3" t="s">
        <v>11</v>
      </c>
      <c r="J8" s="3" t="s">
        <v>11</v>
      </c>
      <c r="K8" s="3" t="s">
        <v>11</v>
      </c>
      <c r="L8" s="3" t="s">
        <v>11</v>
      </c>
      <c r="M8" s="3" t="s">
        <v>11</v>
      </c>
      <c r="N8" s="14" t="s">
        <v>8</v>
      </c>
      <c r="O8" s="14" t="s">
        <v>8</v>
      </c>
      <c r="P8" s="7" t="s">
        <v>15</v>
      </c>
      <c r="Q8" s="7" t="s">
        <v>15</v>
      </c>
      <c r="R8" s="7" t="s">
        <v>15</v>
      </c>
      <c r="S8" s="7" t="s">
        <v>15</v>
      </c>
      <c r="T8" s="14" t="s">
        <v>8</v>
      </c>
      <c r="U8" s="14" t="s">
        <v>8</v>
      </c>
      <c r="V8" s="3" t="s">
        <v>11</v>
      </c>
      <c r="W8" s="3" t="s">
        <v>11</v>
      </c>
      <c r="X8" s="3" t="s">
        <v>11</v>
      </c>
      <c r="Y8" s="3" t="s">
        <v>11</v>
      </c>
      <c r="Z8" s="14" t="s">
        <v>8</v>
      </c>
      <c r="AA8" s="14" t="s">
        <v>8</v>
      </c>
      <c r="AB8" s="7" t="s">
        <v>15</v>
      </c>
      <c r="AC8" s="7" t="s">
        <v>15</v>
      </c>
      <c r="AD8" s="7" t="s">
        <v>15</v>
      </c>
      <c r="AE8" s="7" t="s">
        <v>15</v>
      </c>
      <c r="AG8" s="6">
        <f>MAR!AJ8</f>
        <v>8</v>
      </c>
      <c r="AH8" s="15">
        <f t="shared" si="4"/>
        <v>0</v>
      </c>
      <c r="AI8" s="15">
        <f t="shared" si="2"/>
        <v>8</v>
      </c>
      <c r="AK8" s="6">
        <f>MAR!AN8</f>
        <v>22</v>
      </c>
      <c r="AL8" s="15">
        <f t="shared" si="5"/>
        <v>0</v>
      </c>
      <c r="AM8" s="15">
        <f t="shared" si="3"/>
        <v>22</v>
      </c>
    </row>
    <row r="9" spans="1:39" ht="15" customHeight="1">
      <c r="A9" s="22" t="s">
        <v>19</v>
      </c>
      <c r="B9" s="14" t="s">
        <v>8</v>
      </c>
      <c r="C9" s="14" t="s">
        <v>8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14" t="s">
        <v>8</v>
      </c>
      <c r="J9" s="14" t="s">
        <v>8</v>
      </c>
      <c r="K9" s="7" t="s">
        <v>15</v>
      </c>
      <c r="L9" s="7" t="s">
        <v>15</v>
      </c>
      <c r="M9" s="7" t="s">
        <v>15</v>
      </c>
      <c r="N9" s="7" t="s">
        <v>15</v>
      </c>
      <c r="O9" s="14" t="s">
        <v>8</v>
      </c>
      <c r="P9" s="14" t="s">
        <v>8</v>
      </c>
      <c r="Q9" s="3" t="s">
        <v>11</v>
      </c>
      <c r="R9" s="3" t="s">
        <v>11</v>
      </c>
      <c r="S9" s="3" t="s">
        <v>11</v>
      </c>
      <c r="T9" s="3" t="s">
        <v>11</v>
      </c>
      <c r="U9" s="14" t="s">
        <v>8</v>
      </c>
      <c r="V9" s="14" t="s">
        <v>8</v>
      </c>
      <c r="W9" s="7" t="s">
        <v>15</v>
      </c>
      <c r="X9" s="7" t="s">
        <v>15</v>
      </c>
      <c r="Y9" s="7" t="s">
        <v>15</v>
      </c>
      <c r="Z9" s="23" t="s">
        <v>6</v>
      </c>
      <c r="AA9" s="14" t="s">
        <v>8</v>
      </c>
      <c r="AB9" s="14" t="s">
        <v>8</v>
      </c>
      <c r="AC9" s="3" t="s">
        <v>11</v>
      </c>
      <c r="AD9" s="3" t="s">
        <v>11</v>
      </c>
      <c r="AE9" s="3" t="s">
        <v>11</v>
      </c>
      <c r="AG9" s="6">
        <f>MAR!AJ9</f>
        <v>0</v>
      </c>
      <c r="AH9" s="15">
        <f t="shared" si="4"/>
        <v>0</v>
      </c>
      <c r="AI9" s="15">
        <f t="shared" si="2"/>
        <v>0</v>
      </c>
      <c r="AK9" s="6">
        <f>MAR!AN9</f>
        <v>22</v>
      </c>
      <c r="AL9" s="15">
        <f t="shared" si="5"/>
        <v>0</v>
      </c>
      <c r="AM9" s="15">
        <f t="shared" si="3"/>
        <v>22</v>
      </c>
    </row>
    <row r="10" spans="1:39" s="16" customFormat="1" ht="15" customHeight="1">
      <c r="A10" s="22" t="s">
        <v>20</v>
      </c>
      <c r="B10" s="7" t="s">
        <v>15</v>
      </c>
      <c r="C10" s="7" t="s">
        <v>15</v>
      </c>
      <c r="D10" s="23" t="s">
        <v>6</v>
      </c>
      <c r="E10" s="14" t="s">
        <v>8</v>
      </c>
      <c r="F10" s="14" t="s">
        <v>8</v>
      </c>
      <c r="G10" s="3" t="s">
        <v>11</v>
      </c>
      <c r="H10" s="3" t="s">
        <v>11</v>
      </c>
      <c r="I10" s="3" t="s">
        <v>11</v>
      </c>
      <c r="J10" s="3" t="s">
        <v>11</v>
      </c>
      <c r="K10" s="14" t="s">
        <v>8</v>
      </c>
      <c r="L10" s="14" t="s">
        <v>8</v>
      </c>
      <c r="M10" s="7" t="s">
        <v>15</v>
      </c>
      <c r="N10" s="7" t="s">
        <v>15</v>
      </c>
      <c r="O10" s="7" t="s">
        <v>15</v>
      </c>
      <c r="P10" s="7" t="s">
        <v>15</v>
      </c>
      <c r="Q10" s="14" t="s">
        <v>8</v>
      </c>
      <c r="R10" s="14" t="s">
        <v>8</v>
      </c>
      <c r="S10" s="3" t="s">
        <v>11</v>
      </c>
      <c r="T10" s="3" t="s">
        <v>11</v>
      </c>
      <c r="U10" s="3" t="s">
        <v>11</v>
      </c>
      <c r="V10" s="3" t="s">
        <v>11</v>
      </c>
      <c r="W10" s="3" t="s">
        <v>11</v>
      </c>
      <c r="X10" s="14" t="s">
        <v>8</v>
      </c>
      <c r="Y10" s="14" t="s">
        <v>8</v>
      </c>
      <c r="Z10" s="7" t="s">
        <v>15</v>
      </c>
      <c r="AA10" s="7" t="s">
        <v>15</v>
      </c>
      <c r="AB10" s="7" t="s">
        <v>15</v>
      </c>
      <c r="AC10" s="7" t="s">
        <v>15</v>
      </c>
      <c r="AD10" s="14" t="s">
        <v>8</v>
      </c>
      <c r="AE10" s="14" t="s">
        <v>8</v>
      </c>
      <c r="AF10" s="13"/>
      <c r="AG10" s="6">
        <f>MAR!AJ10</f>
        <v>0</v>
      </c>
      <c r="AH10" s="15">
        <f t="shared" si="4"/>
        <v>0</v>
      </c>
      <c r="AI10" s="15">
        <f t="shared" si="2"/>
        <v>0</v>
      </c>
      <c r="AJ10" s="13"/>
      <c r="AK10" s="6">
        <f>MAR!AN10</f>
        <v>22</v>
      </c>
      <c r="AL10" s="15">
        <f>COUNTIF(B10:AE10,"U")</f>
        <v>0</v>
      </c>
      <c r="AM10" s="15">
        <f t="shared" si="3"/>
        <v>22</v>
      </c>
    </row>
    <row r="11" spans="1:39" ht="15" customHeight="1">
      <c r="A11" s="22" t="s">
        <v>21</v>
      </c>
      <c r="B11" s="3" t="s">
        <v>11</v>
      </c>
      <c r="C11" s="3" t="s">
        <v>11</v>
      </c>
      <c r="D11" s="14" t="s">
        <v>8</v>
      </c>
      <c r="E11" s="14" t="s">
        <v>8</v>
      </c>
      <c r="F11" s="23" t="s">
        <v>6</v>
      </c>
      <c r="G11" s="7" t="s">
        <v>15</v>
      </c>
      <c r="H11" s="7" t="s">
        <v>15</v>
      </c>
      <c r="I11" s="7" t="s">
        <v>15</v>
      </c>
      <c r="J11" s="14" t="s">
        <v>8</v>
      </c>
      <c r="K11" s="14" t="s">
        <v>8</v>
      </c>
      <c r="L11" s="3" t="s">
        <v>11</v>
      </c>
      <c r="M11" s="3" t="s">
        <v>11</v>
      </c>
      <c r="N11" s="3" t="s">
        <v>11</v>
      </c>
      <c r="O11" s="3" t="s">
        <v>11</v>
      </c>
      <c r="P11" s="14" t="s">
        <v>8</v>
      </c>
      <c r="Q11" s="14" t="s">
        <v>8</v>
      </c>
      <c r="R11" s="7" t="s">
        <v>15</v>
      </c>
      <c r="S11" s="7" t="s">
        <v>15</v>
      </c>
      <c r="T11" s="7" t="s">
        <v>15</v>
      </c>
      <c r="U11" s="7" t="s">
        <v>15</v>
      </c>
      <c r="V11" s="14" t="s">
        <v>8</v>
      </c>
      <c r="W11" s="14" t="s">
        <v>8</v>
      </c>
      <c r="X11" s="3" t="s">
        <v>11</v>
      </c>
      <c r="Y11" s="3" t="s">
        <v>11</v>
      </c>
      <c r="Z11" s="3" t="s">
        <v>11</v>
      </c>
      <c r="AA11" s="3" t="s">
        <v>11</v>
      </c>
      <c r="AB11" s="3" t="s">
        <v>11</v>
      </c>
      <c r="AC11" s="14" t="s">
        <v>8</v>
      </c>
      <c r="AD11" s="14" t="s">
        <v>8</v>
      </c>
      <c r="AE11" s="7" t="s">
        <v>15</v>
      </c>
      <c r="AG11" s="6">
        <f>MAR!AJ11</f>
        <v>0</v>
      </c>
      <c r="AH11" s="15">
        <f>COUNTIF(B11:AE11,"UA")</f>
        <v>0</v>
      </c>
      <c r="AI11" s="15">
        <f t="shared" si="2"/>
        <v>0</v>
      </c>
      <c r="AK11" s="6">
        <f>MAR!AN11</f>
        <v>22</v>
      </c>
      <c r="AL11" s="15">
        <f>COUNTIF(B11:AE11,"U")</f>
        <v>0</v>
      </c>
      <c r="AM11" s="15">
        <f t="shared" si="3"/>
        <v>22</v>
      </c>
    </row>
    <row r="13" spans="1:39">
      <c r="A13" s="3" t="s">
        <v>22</v>
      </c>
      <c r="B13" s="14">
        <f>COUNTIF(B4:B11,"P06")</f>
        <v>2</v>
      </c>
      <c r="C13" s="14">
        <f t="shared" ref="C13:AE13" si="6">COUNTIF(C4:C11,"P06")</f>
        <v>2</v>
      </c>
      <c r="D13" s="14">
        <f t="shared" si="6"/>
        <v>1</v>
      </c>
      <c r="E13" s="14">
        <f t="shared" si="6"/>
        <v>2</v>
      </c>
      <c r="F13" s="14">
        <f t="shared" si="6"/>
        <v>1</v>
      </c>
      <c r="G13" s="14">
        <f t="shared" si="6"/>
        <v>2</v>
      </c>
      <c r="H13" s="14">
        <f t="shared" si="6"/>
        <v>2</v>
      </c>
      <c r="I13" s="14">
        <f t="shared" si="6"/>
        <v>2</v>
      </c>
      <c r="J13" s="14">
        <f t="shared" si="6"/>
        <v>2</v>
      </c>
      <c r="K13" s="14">
        <f t="shared" si="6"/>
        <v>1</v>
      </c>
      <c r="L13" s="14">
        <f t="shared" si="6"/>
        <v>2</v>
      </c>
      <c r="M13" s="14">
        <f t="shared" si="6"/>
        <v>2</v>
      </c>
      <c r="N13" s="14">
        <f t="shared" si="6"/>
        <v>1</v>
      </c>
      <c r="O13" s="14">
        <f t="shared" si="6"/>
        <v>2</v>
      </c>
      <c r="P13" s="14">
        <f t="shared" si="6"/>
        <v>1</v>
      </c>
      <c r="Q13" s="14">
        <f t="shared" si="6"/>
        <v>2</v>
      </c>
      <c r="R13" s="14">
        <f t="shared" si="6"/>
        <v>2</v>
      </c>
      <c r="S13" s="14">
        <f t="shared" si="6"/>
        <v>2</v>
      </c>
      <c r="T13" s="14">
        <f t="shared" si="6"/>
        <v>2</v>
      </c>
      <c r="U13" s="14">
        <f t="shared" si="6"/>
        <v>1</v>
      </c>
      <c r="V13" s="14">
        <f t="shared" si="6"/>
        <v>2</v>
      </c>
      <c r="W13" s="14">
        <f t="shared" si="6"/>
        <v>2</v>
      </c>
      <c r="X13" s="14">
        <f t="shared" si="6"/>
        <v>2</v>
      </c>
      <c r="Y13" s="14">
        <f t="shared" si="6"/>
        <v>2</v>
      </c>
      <c r="Z13" s="14">
        <f t="shared" si="6"/>
        <v>1</v>
      </c>
      <c r="AA13" s="14">
        <f t="shared" si="6"/>
        <v>1</v>
      </c>
      <c r="AB13" s="14">
        <f t="shared" si="6"/>
        <v>2</v>
      </c>
      <c r="AC13" s="14">
        <f t="shared" si="6"/>
        <v>2</v>
      </c>
      <c r="AD13" s="14">
        <f t="shared" si="6"/>
        <v>2</v>
      </c>
      <c r="AE13" s="14">
        <f t="shared" si="6"/>
        <v>2</v>
      </c>
    </row>
    <row r="14" spans="1:39">
      <c r="A14" s="7" t="s">
        <v>23</v>
      </c>
      <c r="B14" s="14">
        <f>COUNTIF(B4:B11,"P14")</f>
        <v>1</v>
      </c>
      <c r="C14" s="14">
        <f t="shared" ref="C14:AE14" si="7">COUNTIF(C4:C11,"P14")</f>
        <v>2</v>
      </c>
      <c r="D14" s="14">
        <f t="shared" si="7"/>
        <v>1</v>
      </c>
      <c r="E14" s="14">
        <f t="shared" si="7"/>
        <v>1</v>
      </c>
      <c r="F14" s="14">
        <f t="shared" si="7"/>
        <v>1</v>
      </c>
      <c r="G14" s="14">
        <f t="shared" si="7"/>
        <v>1</v>
      </c>
      <c r="H14" s="14">
        <f t="shared" si="7"/>
        <v>2</v>
      </c>
      <c r="I14" s="14">
        <f t="shared" si="7"/>
        <v>2</v>
      </c>
      <c r="J14" s="14">
        <f t="shared" si="7"/>
        <v>1</v>
      </c>
      <c r="K14" s="14">
        <f t="shared" si="7"/>
        <v>2</v>
      </c>
      <c r="L14" s="14">
        <f t="shared" si="7"/>
        <v>2</v>
      </c>
      <c r="M14" s="14">
        <f t="shared" si="7"/>
        <v>2</v>
      </c>
      <c r="N14" s="14">
        <f t="shared" si="7"/>
        <v>2</v>
      </c>
      <c r="O14" s="14">
        <f t="shared" si="7"/>
        <v>1</v>
      </c>
      <c r="P14" s="14">
        <f t="shared" si="7"/>
        <v>2</v>
      </c>
      <c r="Q14" s="14">
        <f t="shared" si="7"/>
        <v>1</v>
      </c>
      <c r="R14" s="14">
        <f t="shared" si="7"/>
        <v>2</v>
      </c>
      <c r="S14" s="14">
        <f t="shared" si="7"/>
        <v>2</v>
      </c>
      <c r="T14" s="14">
        <f t="shared" si="7"/>
        <v>1</v>
      </c>
      <c r="U14" s="14">
        <f t="shared" si="7"/>
        <v>2</v>
      </c>
      <c r="V14" s="14">
        <f t="shared" si="7"/>
        <v>1</v>
      </c>
      <c r="W14" s="14">
        <f t="shared" si="7"/>
        <v>2</v>
      </c>
      <c r="X14" s="14">
        <f t="shared" si="7"/>
        <v>2</v>
      </c>
      <c r="Y14" s="14">
        <f t="shared" si="7"/>
        <v>2</v>
      </c>
      <c r="Z14" s="14">
        <f t="shared" si="7"/>
        <v>1</v>
      </c>
      <c r="AA14" s="14">
        <f t="shared" si="7"/>
        <v>1</v>
      </c>
      <c r="AB14" s="14">
        <f t="shared" si="7"/>
        <v>2</v>
      </c>
      <c r="AC14" s="14">
        <f t="shared" si="7"/>
        <v>2</v>
      </c>
      <c r="AD14" s="14">
        <f t="shared" si="7"/>
        <v>1</v>
      </c>
      <c r="AE14" s="14">
        <f t="shared" si="7"/>
        <v>2</v>
      </c>
    </row>
    <row r="15" spans="1:39" ht="13.5" thickBot="1"/>
    <row r="16" spans="1:39">
      <c r="E16" s="42"/>
      <c r="F16" s="46" t="s">
        <v>24</v>
      </c>
      <c r="G16" s="59"/>
      <c r="H16" s="46" t="s">
        <v>25</v>
      </c>
      <c r="I16" s="47"/>
      <c r="M16" s="6" t="s">
        <v>8</v>
      </c>
      <c r="N16" s="24" t="s">
        <v>26</v>
      </c>
      <c r="O16" s="25"/>
      <c r="P16" s="25"/>
      <c r="Q16" s="25"/>
      <c r="R16" s="25"/>
      <c r="S16" s="4" t="s">
        <v>27</v>
      </c>
      <c r="T16" s="26" t="s">
        <v>28</v>
      </c>
      <c r="U16" s="27"/>
      <c r="V16" s="27"/>
      <c r="W16" s="27"/>
      <c r="X16" s="28"/>
      <c r="Z16" s="60" t="s">
        <v>29</v>
      </c>
      <c r="AA16" s="61"/>
      <c r="AB16" s="61"/>
      <c r="AC16" s="61"/>
      <c r="AD16" s="61"/>
      <c r="AE16" s="61"/>
      <c r="AF16" s="61"/>
    </row>
    <row r="17" spans="5:32">
      <c r="E17" s="3" t="s">
        <v>11</v>
      </c>
      <c r="F17" s="48" t="s">
        <v>30</v>
      </c>
      <c r="G17" s="58"/>
      <c r="H17" s="48" t="s">
        <v>31</v>
      </c>
      <c r="I17" s="49"/>
      <c r="M17" s="11" t="s">
        <v>32</v>
      </c>
      <c r="N17" s="17" t="s">
        <v>33</v>
      </c>
      <c r="O17" s="29"/>
      <c r="P17" s="29"/>
      <c r="Q17" s="29"/>
      <c r="R17" s="29"/>
      <c r="S17" s="4" t="s">
        <v>34</v>
      </c>
      <c r="T17" s="17" t="s">
        <v>35</v>
      </c>
      <c r="U17" s="29"/>
      <c r="V17" s="29"/>
      <c r="W17" s="29"/>
      <c r="X17" s="19"/>
      <c r="Z17" s="62"/>
      <c r="AA17" s="63"/>
      <c r="AB17" s="63"/>
      <c r="AC17" s="63"/>
      <c r="AD17" s="63"/>
      <c r="AE17" s="63"/>
      <c r="AF17" s="63"/>
    </row>
    <row r="18" spans="5:32">
      <c r="E18" s="5" t="s">
        <v>10</v>
      </c>
      <c r="F18" s="50" t="s">
        <v>36</v>
      </c>
      <c r="G18" s="52"/>
      <c r="H18" s="50" t="s">
        <v>37</v>
      </c>
      <c r="I18" s="51"/>
      <c r="M18" s="23" t="s">
        <v>6</v>
      </c>
      <c r="N18" s="18" t="s">
        <v>38</v>
      </c>
      <c r="O18" s="30"/>
      <c r="P18" s="30"/>
      <c r="Q18" s="30"/>
      <c r="R18" s="30"/>
      <c r="S18" s="6" t="s">
        <v>39</v>
      </c>
      <c r="T18" s="17" t="s">
        <v>40</v>
      </c>
      <c r="U18" s="29"/>
      <c r="V18" s="29"/>
      <c r="W18" s="29"/>
      <c r="X18" s="19"/>
      <c r="Z18" s="62"/>
      <c r="AA18" s="63"/>
      <c r="AB18" s="63"/>
      <c r="AC18" s="63"/>
      <c r="AD18" s="63"/>
      <c r="AE18" s="63"/>
      <c r="AF18" s="63"/>
    </row>
    <row r="19" spans="5:32">
      <c r="E19" s="5" t="s">
        <v>9</v>
      </c>
      <c r="F19" s="50" t="s">
        <v>41</v>
      </c>
      <c r="G19" s="52"/>
      <c r="H19" s="50" t="s">
        <v>42</v>
      </c>
      <c r="I19" s="51"/>
      <c r="M19" s="31" t="s">
        <v>16</v>
      </c>
      <c r="N19" s="17" t="s">
        <v>43</v>
      </c>
      <c r="O19" s="29"/>
      <c r="P19" s="29"/>
      <c r="Q19" s="29"/>
      <c r="R19" s="29"/>
      <c r="S19" s="6" t="s">
        <v>44</v>
      </c>
      <c r="T19" s="17" t="s">
        <v>40</v>
      </c>
      <c r="U19" s="29"/>
      <c r="V19" s="29"/>
      <c r="W19" s="29"/>
      <c r="X19" s="19"/>
    </row>
    <row r="20" spans="5:32">
      <c r="E20" s="7" t="s">
        <v>15</v>
      </c>
      <c r="F20" s="50" t="s">
        <v>45</v>
      </c>
      <c r="G20" s="52"/>
      <c r="H20" s="50" t="s">
        <v>46</v>
      </c>
      <c r="I20" s="51"/>
      <c r="M20" s="31" t="s">
        <v>7</v>
      </c>
      <c r="N20" s="17" t="s">
        <v>47</v>
      </c>
      <c r="O20" s="29"/>
      <c r="P20" s="29"/>
      <c r="Q20" s="29"/>
      <c r="R20" s="19"/>
      <c r="S20" s="6" t="s">
        <v>48</v>
      </c>
      <c r="T20" s="17" t="s">
        <v>40</v>
      </c>
      <c r="U20" s="29"/>
      <c r="V20" s="29"/>
      <c r="W20" s="29"/>
      <c r="X20" s="19"/>
    </row>
    <row r="21" spans="5:32">
      <c r="E21" s="8" t="s">
        <v>49</v>
      </c>
      <c r="F21" s="53" t="s">
        <v>50</v>
      </c>
      <c r="G21" s="54"/>
      <c r="H21" s="53" t="s">
        <v>51</v>
      </c>
      <c r="I21" s="55"/>
      <c r="M21" s="32" t="s">
        <v>6</v>
      </c>
      <c r="N21" s="17" t="s">
        <v>52</v>
      </c>
      <c r="O21" s="29"/>
      <c r="P21" s="29"/>
      <c r="Q21" s="29"/>
      <c r="R21" s="29"/>
      <c r="S21" s="20" t="s">
        <v>53</v>
      </c>
      <c r="T21" s="17" t="s">
        <v>54</v>
      </c>
      <c r="U21" s="29"/>
      <c r="V21" s="29"/>
      <c r="W21" s="29"/>
      <c r="X21" s="19"/>
    </row>
    <row r="22" spans="5:32">
      <c r="M22" s="32" t="s">
        <v>16</v>
      </c>
      <c r="N22" s="17" t="s">
        <v>55</v>
      </c>
      <c r="O22" s="29"/>
      <c r="P22" s="29"/>
      <c r="Q22" s="29"/>
      <c r="R22" s="29"/>
      <c r="S22" s="9" t="s">
        <v>56</v>
      </c>
      <c r="T22" s="17" t="s">
        <v>54</v>
      </c>
      <c r="U22" s="29"/>
      <c r="V22" s="29"/>
      <c r="W22" s="29"/>
      <c r="X22" s="19"/>
    </row>
    <row r="23" spans="5:32">
      <c r="M23" s="33" t="s">
        <v>18</v>
      </c>
      <c r="N23" s="17" t="s">
        <v>57</v>
      </c>
      <c r="O23" s="29"/>
      <c r="P23" s="29"/>
      <c r="Q23" s="29"/>
      <c r="R23" s="29"/>
      <c r="S23" s="9" t="s">
        <v>58</v>
      </c>
      <c r="T23" s="17" t="s">
        <v>54</v>
      </c>
      <c r="U23" s="29"/>
      <c r="V23" s="29"/>
      <c r="W23" s="29"/>
      <c r="X23" s="19"/>
    </row>
    <row r="24" spans="5:32">
      <c r="M24" s="33" t="s">
        <v>59</v>
      </c>
      <c r="N24" s="17" t="s">
        <v>60</v>
      </c>
      <c r="O24" s="29"/>
      <c r="P24" s="29"/>
      <c r="Q24" s="29"/>
      <c r="R24" s="29"/>
      <c r="S24" s="9" t="s">
        <v>61</v>
      </c>
      <c r="T24" s="17" t="s">
        <v>54</v>
      </c>
      <c r="U24" s="29"/>
      <c r="V24" s="29"/>
      <c r="W24" s="29"/>
      <c r="X24" s="19"/>
    </row>
    <row r="25" spans="5:32">
      <c r="M25" s="34" t="s">
        <v>62</v>
      </c>
      <c r="N25" s="17" t="s">
        <v>63</v>
      </c>
      <c r="O25" s="29"/>
      <c r="P25" s="29"/>
      <c r="Q25" s="29"/>
      <c r="R25" s="29"/>
      <c r="S25" s="10" t="s">
        <v>64</v>
      </c>
      <c r="T25" s="17" t="s">
        <v>54</v>
      </c>
      <c r="U25" s="29"/>
      <c r="V25" s="29"/>
      <c r="W25" s="29"/>
      <c r="X25" s="19"/>
    </row>
    <row r="26" spans="5:32">
      <c r="M26" s="35" t="s">
        <v>65</v>
      </c>
      <c r="N26" s="17" t="s">
        <v>66</v>
      </c>
      <c r="O26" s="29"/>
      <c r="P26" s="29"/>
      <c r="Q26" s="29"/>
      <c r="R26" s="29"/>
      <c r="S26" s="6" t="s">
        <v>67</v>
      </c>
      <c r="T26" s="17" t="s">
        <v>54</v>
      </c>
      <c r="U26" s="29"/>
      <c r="V26" s="29"/>
      <c r="W26" s="29"/>
      <c r="X26" s="19"/>
    </row>
    <row r="27" spans="5:32">
      <c r="M27" s="36" t="s">
        <v>68</v>
      </c>
      <c r="N27" s="17" t="s">
        <v>69</v>
      </c>
      <c r="O27" s="29"/>
      <c r="P27" s="29"/>
      <c r="Q27" s="29"/>
      <c r="R27" s="29"/>
      <c r="S27" s="6" t="s">
        <v>70</v>
      </c>
      <c r="T27" s="17" t="s">
        <v>54</v>
      </c>
      <c r="U27" s="29"/>
      <c r="V27" s="29"/>
      <c r="W27" s="29"/>
      <c r="X27" s="19"/>
    </row>
    <row r="28" spans="5:32">
      <c r="M28" s="37" t="s">
        <v>71</v>
      </c>
      <c r="N28" s="18" t="s">
        <v>72</v>
      </c>
      <c r="O28" s="30"/>
      <c r="P28" s="30"/>
      <c r="Q28" s="30"/>
      <c r="R28" s="30"/>
      <c r="S28" s="11" t="s">
        <v>73</v>
      </c>
      <c r="T28" s="17" t="s">
        <v>54</v>
      </c>
      <c r="U28" s="29"/>
      <c r="V28" s="29"/>
      <c r="W28" s="29"/>
      <c r="X28" s="19"/>
    </row>
    <row r="29" spans="5:32">
      <c r="M29" s="10" t="s">
        <v>74</v>
      </c>
      <c r="N29" s="17" t="s">
        <v>75</v>
      </c>
      <c r="O29" s="29"/>
      <c r="P29" s="29"/>
      <c r="Q29" s="29"/>
      <c r="R29" s="29"/>
      <c r="S29" s="6" t="s">
        <v>76</v>
      </c>
      <c r="T29" s="17" t="s">
        <v>54</v>
      </c>
      <c r="U29" s="29"/>
      <c r="V29" s="29"/>
      <c r="W29" s="29"/>
      <c r="X29" s="19"/>
    </row>
    <row r="30" spans="5:32">
      <c r="M30" s="37" t="s">
        <v>77</v>
      </c>
      <c r="N30" s="38" t="s">
        <v>78</v>
      </c>
      <c r="O30" s="39"/>
      <c r="P30" s="39"/>
      <c r="Q30" s="39"/>
      <c r="R30" s="39"/>
      <c r="S30" s="40" t="s">
        <v>79</v>
      </c>
      <c r="T30" s="38" t="s">
        <v>80</v>
      </c>
      <c r="U30" s="39"/>
      <c r="V30" s="39"/>
      <c r="W30" s="39"/>
      <c r="X30" s="41"/>
    </row>
  </sheetData>
  <mergeCells count="17">
    <mergeCell ref="F20:G20"/>
    <mergeCell ref="H20:I20"/>
    <mergeCell ref="F21:G21"/>
    <mergeCell ref="H21:I21"/>
    <mergeCell ref="F17:G17"/>
    <mergeCell ref="H17:I17"/>
    <mergeCell ref="F18:G18"/>
    <mergeCell ref="H18:I18"/>
    <mergeCell ref="F19:G19"/>
    <mergeCell ref="H19:I19"/>
    <mergeCell ref="A1:AE1"/>
    <mergeCell ref="A2:A3"/>
    <mergeCell ref="AG2:AI2"/>
    <mergeCell ref="AK2:AM2"/>
    <mergeCell ref="F16:G16"/>
    <mergeCell ref="H16:I16"/>
    <mergeCell ref="Z16:AF18"/>
  </mergeCells>
  <conditionalFormatting sqref="B2:C3 E2:E3 G2:Y3 AA2:AE3">
    <cfRule type="expression" dxfId="26" priority="3">
      <formula>WEEKDAY(DATE(YEAR($A$2),MONTH($A$2),B$2),2)&gt;5</formula>
    </cfRule>
  </conditionalFormatting>
  <conditionalFormatting sqref="B13:AE14">
    <cfRule type="cellIs" dxfId="25" priority="1" operator="equal">
      <formula>0</formula>
    </cfRule>
    <cfRule type="cellIs" dxfId="24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1890-7A99-4FC7-98F1-9ACD934B969C}">
  <dimension ref="A1:AJ30"/>
  <sheetViews>
    <sheetView zoomScale="85" zoomScaleNormal="85" workbookViewId="0">
      <pane xSplit="1" ySplit="3" topLeftCell="B4" activePane="bottomRight" state="frozen"/>
      <selection pane="bottomRight" activeCell="AE10" sqref="AE10"/>
      <selection pane="bottomLeft"/>
      <selection pane="topRight"/>
    </sheetView>
  </sheetViews>
  <sheetFormatPr defaultColWidth="9.140625" defaultRowHeight="12.95"/>
  <cols>
    <col min="1" max="1" width="30.7109375" style="13" customWidth="1"/>
    <col min="2" max="36" width="6.7109375" style="13" customWidth="1"/>
    <col min="37" max="16384" width="9.140625" style="13"/>
  </cols>
  <sheetData>
    <row r="1" spans="1:36" ht="1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12"/>
      <c r="AH1" s="12"/>
      <c r="AI1" s="12"/>
      <c r="AJ1" s="12"/>
    </row>
    <row r="2" spans="1:36" ht="15" customHeight="1">
      <c r="A2" s="57">
        <v>46143</v>
      </c>
      <c r="B2" s="23">
        <f>IF(COLUMN(A1)&lt;=DAY(EOMONTH($A$2,0)),COLUMN(A1),"")</f>
        <v>1</v>
      </c>
      <c r="C2" s="21">
        <f t="shared" ref="C2:AF2" si="0">IF(COLUMN(B1)&lt;=DAY(EOMONTH($A$2,0)),COLUMN(B1),"")</f>
        <v>2</v>
      </c>
      <c r="D2" s="21">
        <f t="shared" si="0"/>
        <v>3</v>
      </c>
      <c r="E2" s="21">
        <f t="shared" si="0"/>
        <v>4</v>
      </c>
      <c r="F2" s="21">
        <f t="shared" si="0"/>
        <v>5</v>
      </c>
      <c r="G2" s="21">
        <f t="shared" si="0"/>
        <v>6</v>
      </c>
      <c r="H2" s="21">
        <f t="shared" si="0"/>
        <v>7</v>
      </c>
      <c r="I2" s="21">
        <f t="shared" si="0"/>
        <v>8</v>
      </c>
      <c r="J2" s="21">
        <f t="shared" si="0"/>
        <v>9</v>
      </c>
      <c r="K2" s="21">
        <f t="shared" si="0"/>
        <v>10</v>
      </c>
      <c r="L2" s="21">
        <f t="shared" si="0"/>
        <v>11</v>
      </c>
      <c r="M2" s="21">
        <f t="shared" si="0"/>
        <v>12</v>
      </c>
      <c r="N2" s="21">
        <f t="shared" si="0"/>
        <v>13</v>
      </c>
      <c r="O2" s="21">
        <f t="shared" si="0"/>
        <v>14</v>
      </c>
      <c r="P2" s="21">
        <f t="shared" si="0"/>
        <v>15</v>
      </c>
      <c r="Q2" s="21">
        <f t="shared" si="0"/>
        <v>16</v>
      </c>
      <c r="R2" s="21">
        <f t="shared" si="0"/>
        <v>17</v>
      </c>
      <c r="S2" s="21">
        <f t="shared" si="0"/>
        <v>18</v>
      </c>
      <c r="T2" s="21">
        <f t="shared" si="0"/>
        <v>19</v>
      </c>
      <c r="U2" s="21">
        <f t="shared" si="0"/>
        <v>20</v>
      </c>
      <c r="V2" s="21">
        <f t="shared" si="0"/>
        <v>21</v>
      </c>
      <c r="W2" s="21">
        <f t="shared" si="0"/>
        <v>22</v>
      </c>
      <c r="X2" s="21">
        <f t="shared" si="0"/>
        <v>23</v>
      </c>
      <c r="Y2" s="21">
        <f t="shared" si="0"/>
        <v>24</v>
      </c>
      <c r="Z2" s="21">
        <f t="shared" si="0"/>
        <v>25</v>
      </c>
      <c r="AA2" s="21">
        <f t="shared" si="0"/>
        <v>26</v>
      </c>
      <c r="AB2" s="21">
        <f t="shared" si="0"/>
        <v>27</v>
      </c>
      <c r="AC2" s="21">
        <f t="shared" si="0"/>
        <v>28</v>
      </c>
      <c r="AD2" s="21">
        <f t="shared" si="0"/>
        <v>29</v>
      </c>
      <c r="AE2" s="21">
        <f t="shared" si="0"/>
        <v>30</v>
      </c>
      <c r="AF2" s="21">
        <f t="shared" si="0"/>
        <v>31</v>
      </c>
      <c r="AH2" s="44" t="s">
        <v>2</v>
      </c>
      <c r="AI2" s="45"/>
      <c r="AJ2" s="45"/>
    </row>
    <row r="3" spans="1:36" ht="15" customHeight="1">
      <c r="A3" s="57"/>
      <c r="B3" s="23" t="str">
        <f>UPPER(LEFT(TEXT(DATE(YEAR($A$2),MONTH($A$2),B2),"DDD"),2))</f>
        <v>FR</v>
      </c>
      <c r="C3" s="21" t="str">
        <f t="shared" ref="C3:Z3" si="1">UPPER(LEFT(TEXT(DATE(YEAR($A$2),MONTH($A$2),C2),"DDD"),2))</f>
        <v>SA</v>
      </c>
      <c r="D3" s="21" t="str">
        <f t="shared" si="1"/>
        <v>SU</v>
      </c>
      <c r="E3" s="21" t="str">
        <f t="shared" si="1"/>
        <v>MO</v>
      </c>
      <c r="F3" s="21" t="str">
        <f t="shared" si="1"/>
        <v>TU</v>
      </c>
      <c r="G3" s="21" t="str">
        <f t="shared" si="1"/>
        <v>WE</v>
      </c>
      <c r="H3" s="21" t="str">
        <f t="shared" si="1"/>
        <v>TH</v>
      </c>
      <c r="I3" s="21" t="str">
        <f t="shared" si="1"/>
        <v>FR</v>
      </c>
      <c r="J3" s="21" t="str">
        <f t="shared" si="1"/>
        <v>SA</v>
      </c>
      <c r="K3" s="21" t="str">
        <f t="shared" si="1"/>
        <v>SU</v>
      </c>
      <c r="L3" s="21" t="str">
        <f t="shared" si="1"/>
        <v>MO</v>
      </c>
      <c r="M3" s="21" t="str">
        <f t="shared" si="1"/>
        <v>TU</v>
      </c>
      <c r="N3" s="21" t="str">
        <f t="shared" si="1"/>
        <v>WE</v>
      </c>
      <c r="O3" s="21" t="str">
        <f t="shared" si="1"/>
        <v>TH</v>
      </c>
      <c r="P3" s="21" t="str">
        <f t="shared" si="1"/>
        <v>FR</v>
      </c>
      <c r="Q3" s="21" t="str">
        <f t="shared" si="1"/>
        <v>SA</v>
      </c>
      <c r="R3" s="21" t="str">
        <f t="shared" si="1"/>
        <v>SU</v>
      </c>
      <c r="S3" s="21" t="str">
        <f t="shared" si="1"/>
        <v>MO</v>
      </c>
      <c r="T3" s="21" t="str">
        <f t="shared" si="1"/>
        <v>TU</v>
      </c>
      <c r="U3" s="21" t="str">
        <f t="shared" si="1"/>
        <v>WE</v>
      </c>
      <c r="V3" s="21" t="str">
        <f t="shared" si="1"/>
        <v>TH</v>
      </c>
      <c r="W3" s="21" t="str">
        <f t="shared" si="1"/>
        <v>FR</v>
      </c>
      <c r="X3" s="21" t="str">
        <f t="shared" si="1"/>
        <v>SA</v>
      </c>
      <c r="Y3" s="21" t="str">
        <f t="shared" si="1"/>
        <v>SU</v>
      </c>
      <c r="Z3" s="21" t="str">
        <f t="shared" si="1"/>
        <v>MO</v>
      </c>
      <c r="AA3" s="21" t="str">
        <f t="shared" ref="AA3" si="2">UPPER(LEFT(TEXT(DATE(YEAR($A$2),MONTH($A$2),AA2),"DDD"),2))</f>
        <v>TU</v>
      </c>
      <c r="AB3" s="21" t="str">
        <f t="shared" ref="AB3" si="3">UPPER(LEFT(TEXT(DATE(YEAR($A$2),MONTH($A$2),AB2),"DDD"),2))</f>
        <v>WE</v>
      </c>
      <c r="AC3" s="21" t="str">
        <f t="shared" ref="AC3" si="4">UPPER(LEFT(TEXT(DATE(YEAR($A$2),MONTH($A$2),AC2),"DDD"),2))</f>
        <v>TH</v>
      </c>
      <c r="AD3" s="21" t="str">
        <f t="shared" ref="AD3" si="5">UPPER(LEFT(TEXT(DATE(YEAR($A$2),MONTH($A$2),AD2),"DDD"),2))</f>
        <v>FR</v>
      </c>
      <c r="AE3" s="21" t="str">
        <f t="shared" ref="AE3" si="6">UPPER(LEFT(TEXT(DATE(YEAR($A$2),MONTH($A$2),AE2),"DDD"),2))</f>
        <v>SA</v>
      </c>
      <c r="AF3" s="21" t="str">
        <f t="shared" ref="AF3" si="7">UPPER(LEFT(TEXT(DATE(YEAR($A$2),MONTH($A$2),AF2),"DDD"),2))</f>
        <v>SU</v>
      </c>
      <c r="AH3" s="1">
        <v>2026</v>
      </c>
      <c r="AI3" s="2" t="s">
        <v>3</v>
      </c>
      <c r="AJ3" s="2" t="s">
        <v>4</v>
      </c>
    </row>
    <row r="4" spans="1:36" ht="15" customHeight="1">
      <c r="A4" s="22" t="s">
        <v>5</v>
      </c>
      <c r="B4" s="23" t="s">
        <v>6</v>
      </c>
      <c r="C4" s="6" t="s">
        <v>8</v>
      </c>
      <c r="D4" s="6" t="s">
        <v>8</v>
      </c>
      <c r="E4" s="5" t="s">
        <v>10</v>
      </c>
      <c r="F4" s="5" t="s">
        <v>10</v>
      </c>
      <c r="G4" s="5" t="s">
        <v>10</v>
      </c>
      <c r="H4" s="5" t="s">
        <v>10</v>
      </c>
      <c r="I4" s="5" t="s">
        <v>10</v>
      </c>
      <c r="J4" s="6" t="s">
        <v>8</v>
      </c>
      <c r="K4" s="6" t="s">
        <v>8</v>
      </c>
      <c r="L4" s="5" t="s">
        <v>10</v>
      </c>
      <c r="M4" s="5" t="s">
        <v>10</v>
      </c>
      <c r="N4" s="5" t="s">
        <v>10</v>
      </c>
      <c r="O4" s="5" t="s">
        <v>10</v>
      </c>
      <c r="P4" s="5" t="s">
        <v>10</v>
      </c>
      <c r="Q4" s="6" t="s">
        <v>8</v>
      </c>
      <c r="R4" s="6" t="s">
        <v>8</v>
      </c>
      <c r="S4" s="5" t="s">
        <v>10</v>
      </c>
      <c r="T4" s="5" t="s">
        <v>10</v>
      </c>
      <c r="U4" s="5" t="s">
        <v>10</v>
      </c>
      <c r="V4" s="5" t="s">
        <v>10</v>
      </c>
      <c r="W4" s="5" t="s">
        <v>10</v>
      </c>
      <c r="X4" s="6" t="s">
        <v>8</v>
      </c>
      <c r="Y4" s="6" t="s">
        <v>8</v>
      </c>
      <c r="Z4" s="5" t="s">
        <v>10</v>
      </c>
      <c r="AA4" s="5" t="s">
        <v>10</v>
      </c>
      <c r="AB4" s="5" t="s">
        <v>10</v>
      </c>
      <c r="AC4" s="5" t="s">
        <v>10</v>
      </c>
      <c r="AD4" s="5" t="s">
        <v>10</v>
      </c>
      <c r="AE4" s="6" t="s">
        <v>8</v>
      </c>
      <c r="AF4" s="6" t="s">
        <v>8</v>
      </c>
      <c r="AH4" s="6">
        <f>APR!AM4</f>
        <v>22</v>
      </c>
      <c r="AI4" s="15">
        <f>COUNTIF(B4:AF4,"U")</f>
        <v>0</v>
      </c>
      <c r="AJ4" s="15">
        <f t="shared" ref="AJ4:AJ11" si="8">AH4-AI4</f>
        <v>22</v>
      </c>
    </row>
    <row r="5" spans="1:36" ht="15" customHeight="1">
      <c r="A5" s="22" t="s">
        <v>12</v>
      </c>
      <c r="B5" s="23" t="s">
        <v>6</v>
      </c>
      <c r="C5" s="6" t="s">
        <v>8</v>
      </c>
      <c r="D5" s="6" t="s">
        <v>8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  <c r="J5" s="6" t="s">
        <v>8</v>
      </c>
      <c r="K5" s="6" t="s">
        <v>8</v>
      </c>
      <c r="L5" s="5" t="s">
        <v>9</v>
      </c>
      <c r="M5" s="5" t="s">
        <v>9</v>
      </c>
      <c r="N5" s="5" t="s">
        <v>9</v>
      </c>
      <c r="O5" s="5" t="s">
        <v>9</v>
      </c>
      <c r="P5" s="5" t="s">
        <v>9</v>
      </c>
      <c r="Q5" s="6" t="s">
        <v>8</v>
      </c>
      <c r="R5" s="6" t="s">
        <v>8</v>
      </c>
      <c r="S5" s="5" t="s">
        <v>9</v>
      </c>
      <c r="T5" s="5" t="s">
        <v>9</v>
      </c>
      <c r="U5" s="5" t="s">
        <v>9</v>
      </c>
      <c r="V5" s="5" t="s">
        <v>9</v>
      </c>
      <c r="W5" s="5" t="s">
        <v>9</v>
      </c>
      <c r="X5" s="6" t="s">
        <v>8</v>
      </c>
      <c r="Y5" s="6" t="s">
        <v>8</v>
      </c>
      <c r="Z5" s="5" t="s">
        <v>9</v>
      </c>
      <c r="AA5" s="5" t="s">
        <v>9</v>
      </c>
      <c r="AB5" s="5" t="s">
        <v>9</v>
      </c>
      <c r="AC5" s="5" t="s">
        <v>9</v>
      </c>
      <c r="AD5" s="5" t="s">
        <v>9</v>
      </c>
      <c r="AE5" s="6" t="s">
        <v>8</v>
      </c>
      <c r="AF5" s="6" t="s">
        <v>8</v>
      </c>
      <c r="AH5" s="6">
        <f>APR!AM5</f>
        <v>22</v>
      </c>
      <c r="AI5" s="15">
        <f t="shared" ref="AI5:AI11" si="9">COUNTIF(B5:AF5,"U")</f>
        <v>0</v>
      </c>
      <c r="AJ5" s="15">
        <f t="shared" si="8"/>
        <v>22</v>
      </c>
    </row>
    <row r="6" spans="1:36" ht="15" customHeight="1">
      <c r="A6" s="22" t="s">
        <v>13</v>
      </c>
      <c r="B6" s="23" t="s">
        <v>6</v>
      </c>
      <c r="C6" s="6" t="s">
        <v>8</v>
      </c>
      <c r="D6" s="6" t="s">
        <v>8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  <c r="J6" s="6" t="s">
        <v>8</v>
      </c>
      <c r="K6" s="6" t="s">
        <v>8</v>
      </c>
      <c r="L6" s="5" t="s">
        <v>9</v>
      </c>
      <c r="M6" s="5" t="s">
        <v>9</v>
      </c>
      <c r="N6" s="5" t="s">
        <v>9</v>
      </c>
      <c r="O6" s="5" t="s">
        <v>9</v>
      </c>
      <c r="P6" s="5" t="s">
        <v>9</v>
      </c>
      <c r="Q6" s="6" t="s">
        <v>8</v>
      </c>
      <c r="R6" s="6" t="s">
        <v>8</v>
      </c>
      <c r="S6" s="5" t="s">
        <v>9</v>
      </c>
      <c r="T6" s="5" t="s">
        <v>9</v>
      </c>
      <c r="U6" s="5" t="s">
        <v>9</v>
      </c>
      <c r="V6" s="5" t="s">
        <v>9</v>
      </c>
      <c r="W6" s="5" t="s">
        <v>9</v>
      </c>
      <c r="X6" s="6" t="s">
        <v>8</v>
      </c>
      <c r="Y6" s="6" t="s">
        <v>8</v>
      </c>
      <c r="Z6" s="5" t="s">
        <v>9</v>
      </c>
      <c r="AA6" s="5" t="s">
        <v>9</v>
      </c>
      <c r="AB6" s="5" t="s">
        <v>9</v>
      </c>
      <c r="AC6" s="5" t="s">
        <v>9</v>
      </c>
      <c r="AD6" s="5" t="s">
        <v>9</v>
      </c>
      <c r="AE6" s="6" t="s">
        <v>8</v>
      </c>
      <c r="AF6" s="6" t="s">
        <v>8</v>
      </c>
      <c r="AH6" s="6">
        <f>APR!AM6</f>
        <v>19</v>
      </c>
      <c r="AI6" s="15">
        <f t="shared" si="9"/>
        <v>0</v>
      </c>
      <c r="AJ6" s="15">
        <f t="shared" si="8"/>
        <v>19</v>
      </c>
    </row>
    <row r="7" spans="1:36" ht="15" customHeight="1">
      <c r="A7" s="22" t="s">
        <v>14</v>
      </c>
      <c r="B7" s="6" t="s">
        <v>8</v>
      </c>
      <c r="C7" s="6" t="s">
        <v>8</v>
      </c>
      <c r="D7" s="7" t="s">
        <v>15</v>
      </c>
      <c r="E7" s="7" t="s">
        <v>15</v>
      </c>
      <c r="F7" s="7" t="s">
        <v>15</v>
      </c>
      <c r="G7" s="7" t="s">
        <v>15</v>
      </c>
      <c r="H7" s="6" t="s">
        <v>8</v>
      </c>
      <c r="I7" s="6" t="s">
        <v>8</v>
      </c>
      <c r="J7" s="3" t="s">
        <v>11</v>
      </c>
      <c r="K7" s="3" t="s">
        <v>11</v>
      </c>
      <c r="L7" s="3" t="s">
        <v>11</v>
      </c>
      <c r="M7" s="3" t="s">
        <v>11</v>
      </c>
      <c r="N7" s="6" t="s">
        <v>8</v>
      </c>
      <c r="O7" s="6" t="s">
        <v>8</v>
      </c>
      <c r="P7" s="7" t="s">
        <v>15</v>
      </c>
      <c r="Q7" s="7" t="s">
        <v>15</v>
      </c>
      <c r="R7" s="7" t="s">
        <v>15</v>
      </c>
      <c r="S7" s="7" t="s">
        <v>15</v>
      </c>
      <c r="T7" s="7" t="s">
        <v>15</v>
      </c>
      <c r="U7" s="6" t="s">
        <v>8</v>
      </c>
      <c r="V7" s="6" t="s">
        <v>8</v>
      </c>
      <c r="W7" s="3" t="s">
        <v>11</v>
      </c>
      <c r="X7" s="3" t="s">
        <v>11</v>
      </c>
      <c r="Y7" s="3" t="s">
        <v>11</v>
      </c>
      <c r="Z7" s="3" t="s">
        <v>11</v>
      </c>
      <c r="AA7" s="6" t="s">
        <v>8</v>
      </c>
      <c r="AB7" s="6" t="s">
        <v>8</v>
      </c>
      <c r="AC7" s="7" t="s">
        <v>15</v>
      </c>
      <c r="AD7" s="7" t="s">
        <v>15</v>
      </c>
      <c r="AE7" s="7" t="s">
        <v>15</v>
      </c>
      <c r="AF7" s="7" t="s">
        <v>15</v>
      </c>
      <c r="AH7" s="6">
        <f>APR!AM7</f>
        <v>18</v>
      </c>
      <c r="AI7" s="15">
        <f t="shared" si="9"/>
        <v>0</v>
      </c>
      <c r="AJ7" s="15">
        <f t="shared" si="8"/>
        <v>18</v>
      </c>
    </row>
    <row r="8" spans="1:36" ht="15" customHeight="1">
      <c r="A8" s="22" t="s">
        <v>17</v>
      </c>
      <c r="B8" s="6" t="s">
        <v>8</v>
      </c>
      <c r="C8" s="6" t="s">
        <v>8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6" t="s">
        <v>8</v>
      </c>
      <c r="J8" s="6" t="s">
        <v>8</v>
      </c>
      <c r="K8" s="7" t="s">
        <v>15</v>
      </c>
      <c r="L8" s="7" t="s">
        <v>15</v>
      </c>
      <c r="M8" s="7" t="s">
        <v>15</v>
      </c>
      <c r="N8" s="7" t="s">
        <v>15</v>
      </c>
      <c r="O8" s="6" t="s">
        <v>8</v>
      </c>
      <c r="P8" s="6" t="s">
        <v>8</v>
      </c>
      <c r="Q8" s="3" t="s">
        <v>11</v>
      </c>
      <c r="R8" s="3" t="s">
        <v>11</v>
      </c>
      <c r="S8" s="3" t="s">
        <v>11</v>
      </c>
      <c r="T8" s="3" t="s">
        <v>11</v>
      </c>
      <c r="U8" s="3" t="s">
        <v>11</v>
      </c>
      <c r="V8" s="6" t="s">
        <v>8</v>
      </c>
      <c r="W8" s="6" t="s">
        <v>8</v>
      </c>
      <c r="X8" s="7" t="s">
        <v>15</v>
      </c>
      <c r="Y8" s="7" t="s">
        <v>15</v>
      </c>
      <c r="Z8" s="7" t="s">
        <v>15</v>
      </c>
      <c r="AA8" s="7" t="s">
        <v>15</v>
      </c>
      <c r="AB8" s="6" t="s">
        <v>8</v>
      </c>
      <c r="AC8" s="6" t="s">
        <v>8</v>
      </c>
      <c r="AD8" s="3" t="s">
        <v>11</v>
      </c>
      <c r="AE8" s="3" t="s">
        <v>11</v>
      </c>
      <c r="AF8" s="3" t="s">
        <v>11</v>
      </c>
      <c r="AH8" s="6">
        <f>APR!AM8</f>
        <v>22</v>
      </c>
      <c r="AI8" s="15">
        <f t="shared" si="9"/>
        <v>0</v>
      </c>
      <c r="AJ8" s="15">
        <f t="shared" si="8"/>
        <v>22</v>
      </c>
    </row>
    <row r="9" spans="1:36" ht="15" customHeight="1">
      <c r="A9" s="22" t="s">
        <v>19</v>
      </c>
      <c r="B9" s="3" t="s">
        <v>11</v>
      </c>
      <c r="C9" s="3" t="s">
        <v>11</v>
      </c>
      <c r="D9" s="6" t="s">
        <v>8</v>
      </c>
      <c r="E9" s="6" t="s">
        <v>8</v>
      </c>
      <c r="F9" s="7" t="s">
        <v>15</v>
      </c>
      <c r="G9" s="7" t="s">
        <v>15</v>
      </c>
      <c r="H9" s="7" t="s">
        <v>15</v>
      </c>
      <c r="I9" s="7" t="s">
        <v>15</v>
      </c>
      <c r="J9" s="6" t="s">
        <v>8</v>
      </c>
      <c r="K9" s="6" t="s">
        <v>8</v>
      </c>
      <c r="L9" s="3" t="s">
        <v>11</v>
      </c>
      <c r="M9" s="3" t="s">
        <v>11</v>
      </c>
      <c r="N9" s="3" t="s">
        <v>11</v>
      </c>
      <c r="O9" s="3" t="s">
        <v>11</v>
      </c>
      <c r="P9" s="3" t="s">
        <v>11</v>
      </c>
      <c r="Q9" s="6" t="s">
        <v>8</v>
      </c>
      <c r="R9" s="6" t="s">
        <v>8</v>
      </c>
      <c r="S9" s="7" t="s">
        <v>15</v>
      </c>
      <c r="T9" s="7" t="s">
        <v>15</v>
      </c>
      <c r="U9" s="7" t="s">
        <v>15</v>
      </c>
      <c r="V9" s="7" t="s">
        <v>15</v>
      </c>
      <c r="W9" s="6" t="s">
        <v>8</v>
      </c>
      <c r="X9" s="6" t="s">
        <v>8</v>
      </c>
      <c r="Y9" s="3" t="s">
        <v>11</v>
      </c>
      <c r="Z9" s="3" t="s">
        <v>11</v>
      </c>
      <c r="AA9" s="3" t="s">
        <v>11</v>
      </c>
      <c r="AB9" s="3" t="s">
        <v>11</v>
      </c>
      <c r="AC9" s="6" t="s">
        <v>8</v>
      </c>
      <c r="AD9" s="6" t="s">
        <v>8</v>
      </c>
      <c r="AE9" s="7" t="s">
        <v>15</v>
      </c>
      <c r="AF9" s="7" t="s">
        <v>15</v>
      </c>
      <c r="AH9" s="6">
        <f>APR!AM9</f>
        <v>22</v>
      </c>
      <c r="AI9" s="15">
        <f t="shared" si="9"/>
        <v>0</v>
      </c>
      <c r="AJ9" s="15">
        <f t="shared" si="8"/>
        <v>22</v>
      </c>
    </row>
    <row r="10" spans="1:36" s="16" customFormat="1" ht="15" customHeight="1">
      <c r="A10" s="22" t="s">
        <v>20</v>
      </c>
      <c r="B10" s="23" t="s">
        <v>6</v>
      </c>
      <c r="C10" s="3" t="s">
        <v>11</v>
      </c>
      <c r="D10" s="3" t="s">
        <v>11</v>
      </c>
      <c r="E10" s="3" t="s">
        <v>11</v>
      </c>
      <c r="F10" s="6" t="s">
        <v>8</v>
      </c>
      <c r="G10" s="6" t="s">
        <v>8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6" t="s">
        <v>8</v>
      </c>
      <c r="N10" s="6" t="s">
        <v>8</v>
      </c>
      <c r="O10" s="3" t="s">
        <v>11</v>
      </c>
      <c r="P10" s="3" t="s">
        <v>11</v>
      </c>
      <c r="Q10" s="3" t="s">
        <v>11</v>
      </c>
      <c r="R10" s="3" t="s">
        <v>11</v>
      </c>
      <c r="S10" s="6" t="s">
        <v>8</v>
      </c>
      <c r="T10" s="6" t="s">
        <v>8</v>
      </c>
      <c r="U10" s="7" t="s">
        <v>15</v>
      </c>
      <c r="V10" s="7" t="s">
        <v>15</v>
      </c>
      <c r="W10" s="7" t="s">
        <v>15</v>
      </c>
      <c r="X10" s="7" t="s">
        <v>15</v>
      </c>
      <c r="Y10" s="6" t="s">
        <v>8</v>
      </c>
      <c r="Z10" s="6" t="s">
        <v>8</v>
      </c>
      <c r="AA10" s="3" t="s">
        <v>11</v>
      </c>
      <c r="AB10" s="3" t="s">
        <v>11</v>
      </c>
      <c r="AC10" s="3" t="s">
        <v>11</v>
      </c>
      <c r="AD10" s="3" t="s">
        <v>11</v>
      </c>
      <c r="AE10" s="33" t="s">
        <v>59</v>
      </c>
      <c r="AF10" s="6" t="s">
        <v>8</v>
      </c>
      <c r="AG10" s="13"/>
      <c r="AH10" s="6">
        <f>APR!AM10</f>
        <v>22</v>
      </c>
      <c r="AI10" s="15">
        <f t="shared" si="9"/>
        <v>0</v>
      </c>
      <c r="AJ10" s="15">
        <f t="shared" si="8"/>
        <v>22</v>
      </c>
    </row>
    <row r="11" spans="1:36" ht="15" customHeight="1">
      <c r="A11" s="22" t="s">
        <v>21</v>
      </c>
      <c r="B11" s="7" t="s">
        <v>15</v>
      </c>
      <c r="C11" s="7" t="s">
        <v>15</v>
      </c>
      <c r="D11" s="7" t="s">
        <v>15</v>
      </c>
      <c r="E11" s="6" t="s">
        <v>8</v>
      </c>
      <c r="F11" s="6" t="s">
        <v>8</v>
      </c>
      <c r="G11" s="3" t="s">
        <v>11</v>
      </c>
      <c r="H11" s="3" t="s">
        <v>11</v>
      </c>
      <c r="I11" s="3" t="s">
        <v>11</v>
      </c>
      <c r="J11" s="3" t="s">
        <v>11</v>
      </c>
      <c r="K11" s="6" t="s">
        <v>8</v>
      </c>
      <c r="L11" s="6" t="s">
        <v>8</v>
      </c>
      <c r="M11" s="7" t="s">
        <v>15</v>
      </c>
      <c r="N11" s="7" t="s">
        <v>15</v>
      </c>
      <c r="O11" s="7" t="s">
        <v>15</v>
      </c>
      <c r="P11" s="7" t="s">
        <v>15</v>
      </c>
      <c r="Q11" s="7" t="s">
        <v>15</v>
      </c>
      <c r="R11" s="6" t="s">
        <v>8</v>
      </c>
      <c r="S11" s="6" t="s">
        <v>8</v>
      </c>
      <c r="T11" s="3" t="s">
        <v>11</v>
      </c>
      <c r="U11" s="3" t="s">
        <v>11</v>
      </c>
      <c r="V11" s="3" t="s">
        <v>11</v>
      </c>
      <c r="W11" s="3" t="s">
        <v>11</v>
      </c>
      <c r="X11" s="6" t="s">
        <v>8</v>
      </c>
      <c r="Y11" s="6" t="s">
        <v>8</v>
      </c>
      <c r="Z11" s="7" t="s">
        <v>15</v>
      </c>
      <c r="AA11" s="7" t="s">
        <v>15</v>
      </c>
      <c r="AB11" s="7" t="s">
        <v>15</v>
      </c>
      <c r="AC11" s="7" t="s">
        <v>15</v>
      </c>
      <c r="AD11" s="7" t="s">
        <v>15</v>
      </c>
      <c r="AE11" s="6" t="s">
        <v>8</v>
      </c>
      <c r="AF11" s="6" t="s">
        <v>8</v>
      </c>
      <c r="AH11" s="6">
        <f>APR!AM11</f>
        <v>22</v>
      </c>
      <c r="AI11" s="15">
        <f>COUNTIF(B11:AF11,"U")</f>
        <v>0</v>
      </c>
      <c r="AJ11" s="15">
        <f t="shared" si="8"/>
        <v>22</v>
      </c>
    </row>
    <row r="13" spans="1:36">
      <c r="A13" s="3" t="s">
        <v>22</v>
      </c>
      <c r="B13" s="14">
        <f>COUNTIF(B4:B11,"P06")</f>
        <v>1</v>
      </c>
      <c r="C13" s="14">
        <f t="shared" ref="C13:AF13" si="10">COUNTIF(C4:C11,"P06")</f>
        <v>2</v>
      </c>
      <c r="D13" s="14">
        <f t="shared" si="10"/>
        <v>2</v>
      </c>
      <c r="E13" s="14">
        <f t="shared" si="10"/>
        <v>2</v>
      </c>
      <c r="F13" s="14">
        <f t="shared" si="10"/>
        <v>1</v>
      </c>
      <c r="G13" s="14">
        <f t="shared" si="10"/>
        <v>2</v>
      </c>
      <c r="H13" s="14">
        <f t="shared" si="10"/>
        <v>2</v>
      </c>
      <c r="I13" s="14">
        <f t="shared" si="10"/>
        <v>1</v>
      </c>
      <c r="J13" s="14">
        <f t="shared" si="10"/>
        <v>2</v>
      </c>
      <c r="K13" s="14">
        <f t="shared" si="10"/>
        <v>1</v>
      </c>
      <c r="L13" s="14">
        <f t="shared" si="10"/>
        <v>2</v>
      </c>
      <c r="M13" s="14">
        <f t="shared" si="10"/>
        <v>2</v>
      </c>
      <c r="N13" s="14">
        <f t="shared" si="10"/>
        <v>1</v>
      </c>
      <c r="O13" s="14">
        <f t="shared" si="10"/>
        <v>2</v>
      </c>
      <c r="P13" s="14">
        <f t="shared" si="10"/>
        <v>2</v>
      </c>
      <c r="Q13" s="14">
        <f t="shared" si="10"/>
        <v>2</v>
      </c>
      <c r="R13" s="14">
        <f t="shared" si="10"/>
        <v>2</v>
      </c>
      <c r="S13" s="14">
        <f t="shared" si="10"/>
        <v>1</v>
      </c>
      <c r="T13" s="14">
        <f t="shared" si="10"/>
        <v>2</v>
      </c>
      <c r="U13" s="14">
        <f t="shared" si="10"/>
        <v>2</v>
      </c>
      <c r="V13" s="14">
        <f t="shared" si="10"/>
        <v>1</v>
      </c>
      <c r="W13" s="14">
        <f t="shared" si="10"/>
        <v>2</v>
      </c>
      <c r="X13" s="14">
        <f t="shared" si="10"/>
        <v>1</v>
      </c>
      <c r="Y13" s="14">
        <f t="shared" si="10"/>
        <v>2</v>
      </c>
      <c r="Z13" s="14">
        <f t="shared" si="10"/>
        <v>2</v>
      </c>
      <c r="AA13" s="14">
        <f t="shared" si="10"/>
        <v>2</v>
      </c>
      <c r="AB13" s="14">
        <f t="shared" si="10"/>
        <v>2</v>
      </c>
      <c r="AC13" s="14">
        <f t="shared" si="10"/>
        <v>1</v>
      </c>
      <c r="AD13" s="14">
        <f t="shared" si="10"/>
        <v>2</v>
      </c>
      <c r="AE13" s="14">
        <f t="shared" si="10"/>
        <v>1</v>
      </c>
      <c r="AF13" s="14">
        <f t="shared" si="10"/>
        <v>1</v>
      </c>
    </row>
    <row r="14" spans="1:36">
      <c r="A14" s="7" t="s">
        <v>23</v>
      </c>
      <c r="B14" s="14">
        <f>COUNTIF(B4:B11,"P14")</f>
        <v>1</v>
      </c>
      <c r="C14" s="14">
        <f t="shared" ref="C14:AF14" si="11">COUNTIF(C4:C11,"P14")</f>
        <v>1</v>
      </c>
      <c r="D14" s="14">
        <f t="shared" si="11"/>
        <v>2</v>
      </c>
      <c r="E14" s="14">
        <f t="shared" si="11"/>
        <v>1</v>
      </c>
      <c r="F14" s="14">
        <f t="shared" si="11"/>
        <v>2</v>
      </c>
      <c r="G14" s="14">
        <f t="shared" si="11"/>
        <v>2</v>
      </c>
      <c r="H14" s="14">
        <f t="shared" si="11"/>
        <v>2</v>
      </c>
      <c r="I14" s="14">
        <f t="shared" si="11"/>
        <v>2</v>
      </c>
      <c r="J14" s="14">
        <f t="shared" si="11"/>
        <v>1</v>
      </c>
      <c r="K14" s="14">
        <f t="shared" si="11"/>
        <v>2</v>
      </c>
      <c r="L14" s="14">
        <f t="shared" si="11"/>
        <v>2</v>
      </c>
      <c r="M14" s="14">
        <f t="shared" si="11"/>
        <v>2</v>
      </c>
      <c r="N14" s="14">
        <f t="shared" si="11"/>
        <v>2</v>
      </c>
      <c r="O14" s="14">
        <f t="shared" si="11"/>
        <v>1</v>
      </c>
      <c r="P14" s="14">
        <f t="shared" si="11"/>
        <v>2</v>
      </c>
      <c r="Q14" s="14">
        <f t="shared" si="11"/>
        <v>2</v>
      </c>
      <c r="R14" s="14">
        <f t="shared" si="11"/>
        <v>1</v>
      </c>
      <c r="S14" s="14">
        <f t="shared" si="11"/>
        <v>2</v>
      </c>
      <c r="T14" s="14">
        <f t="shared" si="11"/>
        <v>2</v>
      </c>
      <c r="U14" s="14">
        <f t="shared" si="11"/>
        <v>2</v>
      </c>
      <c r="V14" s="14">
        <f t="shared" si="11"/>
        <v>2</v>
      </c>
      <c r="W14" s="14">
        <f t="shared" si="11"/>
        <v>1</v>
      </c>
      <c r="X14" s="14">
        <f t="shared" si="11"/>
        <v>2</v>
      </c>
      <c r="Y14" s="14">
        <f t="shared" si="11"/>
        <v>1</v>
      </c>
      <c r="Z14" s="14">
        <f t="shared" si="11"/>
        <v>2</v>
      </c>
      <c r="AA14" s="14">
        <f t="shared" si="11"/>
        <v>2</v>
      </c>
      <c r="AB14" s="14">
        <f t="shared" si="11"/>
        <v>1</v>
      </c>
      <c r="AC14" s="14">
        <f t="shared" si="11"/>
        <v>2</v>
      </c>
      <c r="AD14" s="14">
        <f t="shared" si="11"/>
        <v>2</v>
      </c>
      <c r="AE14" s="14">
        <f t="shared" si="11"/>
        <v>2</v>
      </c>
      <c r="AF14" s="14">
        <f t="shared" si="11"/>
        <v>2</v>
      </c>
    </row>
    <row r="15" spans="1:36" ht="13.5" thickBot="1"/>
    <row r="16" spans="1:36">
      <c r="E16" s="42"/>
      <c r="F16" s="46" t="s">
        <v>24</v>
      </c>
      <c r="G16" s="59"/>
      <c r="H16" s="46" t="s">
        <v>25</v>
      </c>
      <c r="I16" s="47"/>
      <c r="M16" s="6" t="s">
        <v>8</v>
      </c>
      <c r="N16" s="24" t="s">
        <v>26</v>
      </c>
      <c r="O16" s="25"/>
      <c r="P16" s="25"/>
      <c r="Q16" s="25"/>
      <c r="R16" s="25"/>
      <c r="S16" s="4" t="s">
        <v>27</v>
      </c>
      <c r="T16" s="26" t="s">
        <v>28</v>
      </c>
      <c r="U16" s="27"/>
      <c r="V16" s="27"/>
      <c r="W16" s="27"/>
      <c r="X16" s="28"/>
      <c r="Z16" s="60" t="s">
        <v>29</v>
      </c>
      <c r="AA16" s="61"/>
      <c r="AB16" s="61"/>
      <c r="AC16" s="61"/>
      <c r="AD16" s="61"/>
      <c r="AE16" s="61"/>
      <c r="AF16" s="61"/>
    </row>
    <row r="17" spans="5:32">
      <c r="E17" s="3" t="s">
        <v>11</v>
      </c>
      <c r="F17" s="48" t="s">
        <v>30</v>
      </c>
      <c r="G17" s="58"/>
      <c r="H17" s="48" t="s">
        <v>31</v>
      </c>
      <c r="I17" s="49"/>
      <c r="M17" s="11" t="s">
        <v>32</v>
      </c>
      <c r="N17" s="17" t="s">
        <v>33</v>
      </c>
      <c r="O17" s="29"/>
      <c r="P17" s="29"/>
      <c r="Q17" s="29"/>
      <c r="R17" s="29"/>
      <c r="S17" s="4" t="s">
        <v>34</v>
      </c>
      <c r="T17" s="17" t="s">
        <v>35</v>
      </c>
      <c r="U17" s="29"/>
      <c r="V17" s="29"/>
      <c r="W17" s="29"/>
      <c r="X17" s="19"/>
      <c r="Z17" s="62"/>
      <c r="AA17" s="63"/>
      <c r="AB17" s="63"/>
      <c r="AC17" s="63"/>
      <c r="AD17" s="63"/>
      <c r="AE17" s="63"/>
      <c r="AF17" s="63"/>
    </row>
    <row r="18" spans="5:32">
      <c r="E18" s="5" t="s">
        <v>10</v>
      </c>
      <c r="F18" s="50" t="s">
        <v>36</v>
      </c>
      <c r="G18" s="52"/>
      <c r="H18" s="50" t="s">
        <v>37</v>
      </c>
      <c r="I18" s="51"/>
      <c r="M18" s="23" t="s">
        <v>6</v>
      </c>
      <c r="N18" s="18" t="s">
        <v>38</v>
      </c>
      <c r="O18" s="30"/>
      <c r="P18" s="30"/>
      <c r="Q18" s="30"/>
      <c r="R18" s="30"/>
      <c r="S18" s="6" t="s">
        <v>39</v>
      </c>
      <c r="T18" s="17" t="s">
        <v>40</v>
      </c>
      <c r="U18" s="29"/>
      <c r="V18" s="29"/>
      <c r="W18" s="29"/>
      <c r="X18" s="19"/>
      <c r="Z18" s="62"/>
      <c r="AA18" s="63"/>
      <c r="AB18" s="63"/>
      <c r="AC18" s="63"/>
      <c r="AD18" s="63"/>
      <c r="AE18" s="63"/>
      <c r="AF18" s="63"/>
    </row>
    <row r="19" spans="5:32">
      <c r="E19" s="5" t="s">
        <v>9</v>
      </c>
      <c r="F19" s="50" t="s">
        <v>41</v>
      </c>
      <c r="G19" s="52"/>
      <c r="H19" s="50" t="s">
        <v>42</v>
      </c>
      <c r="I19" s="51"/>
      <c r="M19" s="31" t="s">
        <v>16</v>
      </c>
      <c r="N19" s="17" t="s">
        <v>43</v>
      </c>
      <c r="O19" s="29"/>
      <c r="P19" s="29"/>
      <c r="Q19" s="29"/>
      <c r="R19" s="29"/>
      <c r="S19" s="6" t="s">
        <v>44</v>
      </c>
      <c r="T19" s="17" t="s">
        <v>40</v>
      </c>
      <c r="U19" s="29"/>
      <c r="V19" s="29"/>
      <c r="W19" s="29"/>
      <c r="X19" s="19"/>
    </row>
    <row r="20" spans="5:32">
      <c r="E20" s="7" t="s">
        <v>15</v>
      </c>
      <c r="F20" s="50" t="s">
        <v>45</v>
      </c>
      <c r="G20" s="52"/>
      <c r="H20" s="50" t="s">
        <v>46</v>
      </c>
      <c r="I20" s="51"/>
      <c r="M20" s="31" t="s">
        <v>7</v>
      </c>
      <c r="N20" s="17" t="s">
        <v>47</v>
      </c>
      <c r="O20" s="29"/>
      <c r="P20" s="29"/>
      <c r="Q20" s="29"/>
      <c r="R20" s="19"/>
      <c r="S20" s="6" t="s">
        <v>48</v>
      </c>
      <c r="T20" s="17" t="s">
        <v>40</v>
      </c>
      <c r="U20" s="29"/>
      <c r="V20" s="29"/>
      <c r="W20" s="29"/>
      <c r="X20" s="19"/>
    </row>
    <row r="21" spans="5:32">
      <c r="E21" s="8" t="s">
        <v>49</v>
      </c>
      <c r="F21" s="53" t="s">
        <v>50</v>
      </c>
      <c r="G21" s="54"/>
      <c r="H21" s="53" t="s">
        <v>51</v>
      </c>
      <c r="I21" s="55"/>
      <c r="M21" s="32" t="s">
        <v>6</v>
      </c>
      <c r="N21" s="17" t="s">
        <v>52</v>
      </c>
      <c r="O21" s="29"/>
      <c r="P21" s="29"/>
      <c r="Q21" s="29"/>
      <c r="R21" s="29"/>
      <c r="S21" s="20" t="s">
        <v>53</v>
      </c>
      <c r="T21" s="17" t="s">
        <v>54</v>
      </c>
      <c r="U21" s="29"/>
      <c r="V21" s="29"/>
      <c r="W21" s="29"/>
      <c r="X21" s="19"/>
    </row>
    <row r="22" spans="5:32">
      <c r="M22" s="32" t="s">
        <v>16</v>
      </c>
      <c r="N22" s="17" t="s">
        <v>55</v>
      </c>
      <c r="O22" s="29"/>
      <c r="P22" s="29"/>
      <c r="Q22" s="29"/>
      <c r="R22" s="29"/>
      <c r="S22" s="9" t="s">
        <v>56</v>
      </c>
      <c r="T22" s="17" t="s">
        <v>54</v>
      </c>
      <c r="U22" s="29"/>
      <c r="V22" s="29"/>
      <c r="W22" s="29"/>
      <c r="X22" s="19"/>
    </row>
    <row r="23" spans="5:32">
      <c r="M23" s="33" t="s">
        <v>18</v>
      </c>
      <c r="N23" s="17" t="s">
        <v>57</v>
      </c>
      <c r="O23" s="29"/>
      <c r="P23" s="29"/>
      <c r="Q23" s="29"/>
      <c r="R23" s="29"/>
      <c r="S23" s="9" t="s">
        <v>58</v>
      </c>
      <c r="T23" s="17" t="s">
        <v>54</v>
      </c>
      <c r="U23" s="29"/>
      <c r="V23" s="29"/>
      <c r="W23" s="29"/>
      <c r="X23" s="19"/>
    </row>
    <row r="24" spans="5:32">
      <c r="M24" s="33" t="s">
        <v>59</v>
      </c>
      <c r="N24" s="17" t="s">
        <v>60</v>
      </c>
      <c r="O24" s="29"/>
      <c r="P24" s="29"/>
      <c r="Q24" s="29"/>
      <c r="R24" s="29"/>
      <c r="S24" s="9" t="s">
        <v>61</v>
      </c>
      <c r="T24" s="17" t="s">
        <v>54</v>
      </c>
      <c r="U24" s="29"/>
      <c r="V24" s="29"/>
      <c r="W24" s="29"/>
      <c r="X24" s="19"/>
    </row>
    <row r="25" spans="5:32">
      <c r="M25" s="34" t="s">
        <v>62</v>
      </c>
      <c r="N25" s="17" t="s">
        <v>63</v>
      </c>
      <c r="O25" s="29"/>
      <c r="P25" s="29"/>
      <c r="Q25" s="29"/>
      <c r="R25" s="29"/>
      <c r="S25" s="10" t="s">
        <v>64</v>
      </c>
      <c r="T25" s="17" t="s">
        <v>54</v>
      </c>
      <c r="U25" s="29"/>
      <c r="V25" s="29"/>
      <c r="W25" s="29"/>
      <c r="X25" s="19"/>
    </row>
    <row r="26" spans="5:32">
      <c r="M26" s="35" t="s">
        <v>65</v>
      </c>
      <c r="N26" s="17" t="s">
        <v>66</v>
      </c>
      <c r="O26" s="29"/>
      <c r="P26" s="29"/>
      <c r="Q26" s="29"/>
      <c r="R26" s="29"/>
      <c r="S26" s="6" t="s">
        <v>67</v>
      </c>
      <c r="T26" s="17" t="s">
        <v>54</v>
      </c>
      <c r="U26" s="29"/>
      <c r="V26" s="29"/>
      <c r="W26" s="29"/>
      <c r="X26" s="19"/>
    </row>
    <row r="27" spans="5:32">
      <c r="M27" s="36" t="s">
        <v>68</v>
      </c>
      <c r="N27" s="17" t="s">
        <v>69</v>
      </c>
      <c r="O27" s="29"/>
      <c r="P27" s="29"/>
      <c r="Q27" s="29"/>
      <c r="R27" s="29"/>
      <c r="S27" s="6" t="s">
        <v>70</v>
      </c>
      <c r="T27" s="17" t="s">
        <v>54</v>
      </c>
      <c r="U27" s="29"/>
      <c r="V27" s="29"/>
      <c r="W27" s="29"/>
      <c r="X27" s="19"/>
    </row>
    <row r="28" spans="5:32">
      <c r="M28" s="37" t="s">
        <v>71</v>
      </c>
      <c r="N28" s="18" t="s">
        <v>72</v>
      </c>
      <c r="O28" s="30"/>
      <c r="P28" s="30"/>
      <c r="Q28" s="30"/>
      <c r="R28" s="30"/>
      <c r="S28" s="11" t="s">
        <v>73</v>
      </c>
      <c r="T28" s="17" t="s">
        <v>54</v>
      </c>
      <c r="U28" s="29"/>
      <c r="V28" s="29"/>
      <c r="W28" s="29"/>
      <c r="X28" s="19"/>
    </row>
    <row r="29" spans="5:32">
      <c r="M29" s="10" t="s">
        <v>74</v>
      </c>
      <c r="N29" s="17" t="s">
        <v>75</v>
      </c>
      <c r="O29" s="29"/>
      <c r="P29" s="29"/>
      <c r="Q29" s="29"/>
      <c r="R29" s="29"/>
      <c r="S29" s="6" t="s">
        <v>76</v>
      </c>
      <c r="T29" s="17" t="s">
        <v>54</v>
      </c>
      <c r="U29" s="29"/>
      <c r="V29" s="29"/>
      <c r="W29" s="29"/>
      <c r="X29" s="19"/>
    </row>
    <row r="30" spans="5:32">
      <c r="M30" s="37" t="s">
        <v>77</v>
      </c>
      <c r="N30" s="38" t="s">
        <v>78</v>
      </c>
      <c r="O30" s="39"/>
      <c r="P30" s="39"/>
      <c r="Q30" s="39"/>
      <c r="R30" s="39"/>
      <c r="S30" s="40" t="s">
        <v>79</v>
      </c>
      <c r="T30" s="38" t="s">
        <v>80</v>
      </c>
      <c r="U30" s="39"/>
      <c r="V30" s="39"/>
      <c r="W30" s="39"/>
      <c r="X30" s="41"/>
    </row>
  </sheetData>
  <mergeCells count="16">
    <mergeCell ref="F20:G20"/>
    <mergeCell ref="H20:I20"/>
    <mergeCell ref="F21:G21"/>
    <mergeCell ref="H21:I21"/>
    <mergeCell ref="F17:G17"/>
    <mergeCell ref="H17:I17"/>
    <mergeCell ref="F18:G18"/>
    <mergeCell ref="H18:I18"/>
    <mergeCell ref="F19:G19"/>
    <mergeCell ref="H19:I19"/>
    <mergeCell ref="A1:AF1"/>
    <mergeCell ref="A2:A3"/>
    <mergeCell ref="AH2:AJ2"/>
    <mergeCell ref="F16:G16"/>
    <mergeCell ref="H16:I16"/>
    <mergeCell ref="Z16:AF18"/>
  </mergeCells>
  <conditionalFormatting sqref="B13:AF14">
    <cfRule type="cellIs" dxfId="23" priority="1" operator="equal">
      <formula>0</formula>
    </cfRule>
    <cfRule type="cellIs" dxfId="22" priority="2" operator="greaterThan">
      <formula>0</formula>
    </cfRule>
  </conditionalFormatting>
  <conditionalFormatting sqref="C2:AF3">
    <cfRule type="expression" dxfId="21" priority="3">
      <formula>WEEKDAY(DATE(YEAR($A$2),MONTH($A$2),C$2),2)&gt;5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DBFF-F6FC-4ACA-B7B1-526212B570F3}">
  <dimension ref="A1:AI30"/>
  <sheetViews>
    <sheetView zoomScale="85" zoomScaleNormal="85" workbookViewId="0">
      <pane xSplit="1" ySplit="3" topLeftCell="K4" activePane="bottomRight" state="frozen"/>
      <selection pane="bottomRight" activeCell="Z31" sqref="Z31"/>
      <selection pane="bottomLeft"/>
      <selection pane="topRight"/>
    </sheetView>
  </sheetViews>
  <sheetFormatPr defaultColWidth="9.140625" defaultRowHeight="12.95"/>
  <cols>
    <col min="1" max="1" width="30.7109375" style="13" customWidth="1"/>
    <col min="2" max="35" width="6.7109375" style="13" customWidth="1"/>
    <col min="36" max="16384" width="9.140625" style="13"/>
  </cols>
  <sheetData>
    <row r="1" spans="1:35" ht="1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12"/>
      <c r="AG1" s="12"/>
      <c r="AH1" s="12"/>
      <c r="AI1" s="12"/>
    </row>
    <row r="2" spans="1:35" ht="15" customHeight="1">
      <c r="A2" s="57">
        <v>46174</v>
      </c>
      <c r="B2" s="21">
        <f>IF(COLUMN(A1)&lt;=DAY(EOMONTH($A$2,0)),COLUMN(A1),"")</f>
        <v>1</v>
      </c>
      <c r="C2" s="21">
        <f t="shared" ref="C2:AE2" si="0">IF(COLUMN(B1)&lt;=DAY(EOMONTH($A$2,0)),COLUMN(B1),"")</f>
        <v>2</v>
      </c>
      <c r="D2" s="21">
        <f t="shared" si="0"/>
        <v>3</v>
      </c>
      <c r="E2" s="23">
        <f t="shared" si="0"/>
        <v>4</v>
      </c>
      <c r="F2" s="21">
        <f t="shared" si="0"/>
        <v>5</v>
      </c>
      <c r="G2" s="21">
        <f t="shared" si="0"/>
        <v>6</v>
      </c>
      <c r="H2" s="21">
        <f t="shared" si="0"/>
        <v>7</v>
      </c>
      <c r="I2" s="21">
        <f t="shared" si="0"/>
        <v>8</v>
      </c>
      <c r="J2" s="21">
        <f t="shared" si="0"/>
        <v>9</v>
      </c>
      <c r="K2" s="23">
        <f t="shared" si="0"/>
        <v>10</v>
      </c>
      <c r="L2" s="21">
        <f t="shared" si="0"/>
        <v>11</v>
      </c>
      <c r="M2" s="21">
        <f t="shared" si="0"/>
        <v>12</v>
      </c>
      <c r="N2" s="21">
        <f t="shared" si="0"/>
        <v>13</v>
      </c>
      <c r="O2" s="21">
        <f t="shared" si="0"/>
        <v>14</v>
      </c>
      <c r="P2" s="21">
        <f t="shared" si="0"/>
        <v>15</v>
      </c>
      <c r="Q2" s="21">
        <f t="shared" si="0"/>
        <v>16</v>
      </c>
      <c r="R2" s="21">
        <f t="shared" si="0"/>
        <v>17</v>
      </c>
      <c r="S2" s="21">
        <f t="shared" si="0"/>
        <v>18</v>
      </c>
      <c r="T2" s="21">
        <f t="shared" si="0"/>
        <v>19</v>
      </c>
      <c r="U2" s="21">
        <f t="shared" si="0"/>
        <v>20</v>
      </c>
      <c r="V2" s="21">
        <f t="shared" si="0"/>
        <v>21</v>
      </c>
      <c r="W2" s="21">
        <f t="shared" si="0"/>
        <v>22</v>
      </c>
      <c r="X2" s="21">
        <f t="shared" si="0"/>
        <v>23</v>
      </c>
      <c r="Y2" s="23">
        <f t="shared" si="0"/>
        <v>24</v>
      </c>
      <c r="Z2" s="21">
        <f t="shared" si="0"/>
        <v>25</v>
      </c>
      <c r="AA2" s="21">
        <f t="shared" si="0"/>
        <v>26</v>
      </c>
      <c r="AB2" s="21">
        <f t="shared" si="0"/>
        <v>27</v>
      </c>
      <c r="AC2" s="21">
        <f t="shared" si="0"/>
        <v>28</v>
      </c>
      <c r="AD2" s="21">
        <f t="shared" si="0"/>
        <v>29</v>
      </c>
      <c r="AE2" s="21">
        <f t="shared" si="0"/>
        <v>30</v>
      </c>
      <c r="AG2" s="44" t="s">
        <v>2</v>
      </c>
      <c r="AH2" s="45"/>
      <c r="AI2" s="45"/>
    </row>
    <row r="3" spans="1:35" ht="15" customHeight="1">
      <c r="A3" s="57"/>
      <c r="B3" s="21" t="str">
        <f>UPPER(LEFT(TEXT(DATE(YEAR($A$2),MONTH($A$2),B2),"DDD"),2))</f>
        <v>MO</v>
      </c>
      <c r="C3" s="21" t="str">
        <f t="shared" ref="C3:AE3" si="1">UPPER(LEFT(TEXT(DATE(YEAR($A$2),MONTH($A$2),C2),"DDD"),2))</f>
        <v>TU</v>
      </c>
      <c r="D3" s="21" t="str">
        <f t="shared" si="1"/>
        <v>WE</v>
      </c>
      <c r="E3" s="23" t="str">
        <f t="shared" si="1"/>
        <v>TH</v>
      </c>
      <c r="F3" s="21" t="str">
        <f t="shared" si="1"/>
        <v>FR</v>
      </c>
      <c r="G3" s="21" t="str">
        <f t="shared" si="1"/>
        <v>SA</v>
      </c>
      <c r="H3" s="21" t="str">
        <f t="shared" si="1"/>
        <v>SU</v>
      </c>
      <c r="I3" s="21" t="str">
        <f t="shared" si="1"/>
        <v>MO</v>
      </c>
      <c r="J3" s="21" t="str">
        <f t="shared" si="1"/>
        <v>TU</v>
      </c>
      <c r="K3" s="23" t="str">
        <f t="shared" si="1"/>
        <v>WE</v>
      </c>
      <c r="L3" s="21" t="str">
        <f t="shared" si="1"/>
        <v>TH</v>
      </c>
      <c r="M3" s="21" t="str">
        <f t="shared" si="1"/>
        <v>FR</v>
      </c>
      <c r="N3" s="21" t="str">
        <f t="shared" si="1"/>
        <v>SA</v>
      </c>
      <c r="O3" s="21" t="str">
        <f t="shared" si="1"/>
        <v>SU</v>
      </c>
      <c r="P3" s="21" t="str">
        <f t="shared" si="1"/>
        <v>MO</v>
      </c>
      <c r="Q3" s="21" t="str">
        <f t="shared" si="1"/>
        <v>TU</v>
      </c>
      <c r="R3" s="21" t="str">
        <f t="shared" si="1"/>
        <v>WE</v>
      </c>
      <c r="S3" s="21" t="str">
        <f t="shared" si="1"/>
        <v>TH</v>
      </c>
      <c r="T3" s="21" t="str">
        <f t="shared" si="1"/>
        <v>FR</v>
      </c>
      <c r="U3" s="21" t="str">
        <f t="shared" si="1"/>
        <v>SA</v>
      </c>
      <c r="V3" s="21" t="str">
        <f t="shared" si="1"/>
        <v>SU</v>
      </c>
      <c r="W3" s="21" t="str">
        <f t="shared" si="1"/>
        <v>MO</v>
      </c>
      <c r="X3" s="21" t="str">
        <f t="shared" si="1"/>
        <v>TU</v>
      </c>
      <c r="Y3" s="23" t="str">
        <f t="shared" si="1"/>
        <v>WE</v>
      </c>
      <c r="Z3" s="21" t="str">
        <f t="shared" si="1"/>
        <v>TH</v>
      </c>
      <c r="AA3" s="21" t="str">
        <f t="shared" si="1"/>
        <v>FR</v>
      </c>
      <c r="AB3" s="21" t="str">
        <f t="shared" si="1"/>
        <v>SA</v>
      </c>
      <c r="AC3" s="21" t="str">
        <f t="shared" si="1"/>
        <v>SU</v>
      </c>
      <c r="AD3" s="21" t="str">
        <f t="shared" si="1"/>
        <v>MO</v>
      </c>
      <c r="AE3" s="21" t="str">
        <f t="shared" si="1"/>
        <v>TU</v>
      </c>
      <c r="AG3" s="1">
        <v>2026</v>
      </c>
      <c r="AH3" s="2" t="s">
        <v>3</v>
      </c>
      <c r="AI3" s="2" t="s">
        <v>4</v>
      </c>
    </row>
    <row r="4" spans="1:35" ht="15" customHeight="1">
      <c r="A4" s="22" t="s">
        <v>5</v>
      </c>
      <c r="B4" s="5" t="s">
        <v>10</v>
      </c>
      <c r="C4" s="5" t="s">
        <v>10</v>
      </c>
      <c r="D4" s="5" t="s">
        <v>10</v>
      </c>
      <c r="E4" s="23" t="s">
        <v>6</v>
      </c>
      <c r="F4" s="5" t="s">
        <v>10</v>
      </c>
      <c r="G4" s="14" t="s">
        <v>8</v>
      </c>
      <c r="H4" s="14" t="s">
        <v>8</v>
      </c>
      <c r="I4" s="5" t="s">
        <v>10</v>
      </c>
      <c r="J4" s="5" t="s">
        <v>10</v>
      </c>
      <c r="K4" s="23" t="s">
        <v>6</v>
      </c>
      <c r="L4" s="5" t="s">
        <v>10</v>
      </c>
      <c r="M4" s="5" t="s">
        <v>10</v>
      </c>
      <c r="N4" s="14" t="s">
        <v>8</v>
      </c>
      <c r="O4" s="14" t="s">
        <v>8</v>
      </c>
      <c r="P4" s="5" t="s">
        <v>10</v>
      </c>
      <c r="Q4" s="5" t="s">
        <v>10</v>
      </c>
      <c r="R4" s="5" t="s">
        <v>10</v>
      </c>
      <c r="S4" s="5" t="s">
        <v>10</v>
      </c>
      <c r="T4" s="5" t="s">
        <v>10</v>
      </c>
      <c r="U4" s="14" t="s">
        <v>8</v>
      </c>
      <c r="V4" s="14" t="s">
        <v>8</v>
      </c>
      <c r="W4" s="5" t="s">
        <v>10</v>
      </c>
      <c r="X4" s="5" t="s">
        <v>10</v>
      </c>
      <c r="Y4" s="23" t="s">
        <v>6</v>
      </c>
      <c r="Z4" s="5" t="s">
        <v>10</v>
      </c>
      <c r="AA4" s="5" t="s">
        <v>10</v>
      </c>
      <c r="AB4" s="14" t="s">
        <v>8</v>
      </c>
      <c r="AC4" s="14" t="s">
        <v>8</v>
      </c>
      <c r="AD4" s="5" t="s">
        <v>10</v>
      </c>
      <c r="AE4" s="5" t="s">
        <v>10</v>
      </c>
      <c r="AG4" s="6">
        <f>MAY!AJ4</f>
        <v>22</v>
      </c>
      <c r="AH4" s="15">
        <f>COUNTIF(B4:AE4,"U")</f>
        <v>0</v>
      </c>
      <c r="AI4" s="15">
        <f t="shared" ref="AI4:AI11" si="2">AG4-AH4</f>
        <v>22</v>
      </c>
    </row>
    <row r="5" spans="1:35" ht="15" customHeight="1">
      <c r="A5" s="22" t="s">
        <v>12</v>
      </c>
      <c r="B5" s="5" t="s">
        <v>9</v>
      </c>
      <c r="C5" s="5" t="s">
        <v>9</v>
      </c>
      <c r="D5" s="5" t="s">
        <v>9</v>
      </c>
      <c r="E5" s="23" t="s">
        <v>6</v>
      </c>
      <c r="F5" s="5" t="s">
        <v>9</v>
      </c>
      <c r="G5" s="14" t="s">
        <v>8</v>
      </c>
      <c r="H5" s="14" t="s">
        <v>8</v>
      </c>
      <c r="I5" s="5" t="s">
        <v>9</v>
      </c>
      <c r="J5" s="5" t="s">
        <v>9</v>
      </c>
      <c r="K5" s="23" t="s">
        <v>6</v>
      </c>
      <c r="L5" s="5" t="s">
        <v>9</v>
      </c>
      <c r="M5" s="5" t="s">
        <v>9</v>
      </c>
      <c r="N5" s="14" t="s">
        <v>8</v>
      </c>
      <c r="O5" s="14" t="s">
        <v>8</v>
      </c>
      <c r="P5" s="5" t="s">
        <v>9</v>
      </c>
      <c r="Q5" s="5" t="s">
        <v>9</v>
      </c>
      <c r="R5" s="5" t="s">
        <v>9</v>
      </c>
      <c r="S5" s="5" t="s">
        <v>9</v>
      </c>
      <c r="T5" s="5" t="s">
        <v>9</v>
      </c>
      <c r="U5" s="14" t="s">
        <v>8</v>
      </c>
      <c r="V5" s="14" t="s">
        <v>8</v>
      </c>
      <c r="W5" s="5" t="s">
        <v>9</v>
      </c>
      <c r="X5" s="5" t="s">
        <v>9</v>
      </c>
      <c r="Y5" s="23" t="s">
        <v>6</v>
      </c>
      <c r="Z5" s="5" t="s">
        <v>9</v>
      </c>
      <c r="AA5" s="5" t="s">
        <v>9</v>
      </c>
      <c r="AB5" s="14" t="s">
        <v>8</v>
      </c>
      <c r="AC5" s="14" t="s">
        <v>8</v>
      </c>
      <c r="AD5" s="5" t="s">
        <v>9</v>
      </c>
      <c r="AE5" s="5" t="s">
        <v>9</v>
      </c>
      <c r="AG5" s="6">
        <f>MAY!AJ5</f>
        <v>22</v>
      </c>
      <c r="AH5" s="15">
        <f t="shared" ref="AH5:AH11" si="3">COUNTIF(B5:AE5,"U")</f>
        <v>0</v>
      </c>
      <c r="AI5" s="15">
        <f t="shared" si="2"/>
        <v>22</v>
      </c>
    </row>
    <row r="6" spans="1:35" ht="15" customHeight="1">
      <c r="A6" s="22" t="s">
        <v>13</v>
      </c>
      <c r="B6" s="5" t="s">
        <v>9</v>
      </c>
      <c r="C6" s="5" t="s">
        <v>9</v>
      </c>
      <c r="D6" s="5" t="s">
        <v>9</v>
      </c>
      <c r="E6" s="23" t="s">
        <v>6</v>
      </c>
      <c r="F6" s="5" t="s">
        <v>9</v>
      </c>
      <c r="G6" s="14" t="s">
        <v>8</v>
      </c>
      <c r="H6" s="14" t="s">
        <v>8</v>
      </c>
      <c r="I6" s="5" t="s">
        <v>9</v>
      </c>
      <c r="J6" s="5" t="s">
        <v>9</v>
      </c>
      <c r="K6" s="23" t="s">
        <v>6</v>
      </c>
      <c r="L6" s="5" t="s">
        <v>9</v>
      </c>
      <c r="M6" s="5" t="s">
        <v>9</v>
      </c>
      <c r="N6" s="14" t="s">
        <v>8</v>
      </c>
      <c r="O6" s="14" t="s">
        <v>8</v>
      </c>
      <c r="P6" s="5" t="s">
        <v>9</v>
      </c>
      <c r="Q6" s="5" t="s">
        <v>9</v>
      </c>
      <c r="R6" s="5" t="s">
        <v>9</v>
      </c>
      <c r="S6" s="5" t="s">
        <v>9</v>
      </c>
      <c r="T6" s="5" t="s">
        <v>9</v>
      </c>
      <c r="U6" s="14" t="s">
        <v>8</v>
      </c>
      <c r="V6" s="14" t="s">
        <v>8</v>
      </c>
      <c r="W6" s="5" t="s">
        <v>9</v>
      </c>
      <c r="X6" s="5" t="s">
        <v>9</v>
      </c>
      <c r="Y6" s="23" t="s">
        <v>6</v>
      </c>
      <c r="Z6" s="5" t="s">
        <v>9</v>
      </c>
      <c r="AA6" s="5" t="s">
        <v>9</v>
      </c>
      <c r="AB6" s="14" t="s">
        <v>8</v>
      </c>
      <c r="AC6" s="14" t="s">
        <v>8</v>
      </c>
      <c r="AD6" s="5" t="s">
        <v>9</v>
      </c>
      <c r="AE6" s="5" t="s">
        <v>9</v>
      </c>
      <c r="AG6" s="6">
        <f>MAY!AJ6</f>
        <v>19</v>
      </c>
      <c r="AH6" s="15">
        <f t="shared" si="3"/>
        <v>0</v>
      </c>
      <c r="AI6" s="15">
        <f t="shared" si="2"/>
        <v>19</v>
      </c>
    </row>
    <row r="7" spans="1:35" ht="15" customHeight="1">
      <c r="A7" s="22" t="s">
        <v>14</v>
      </c>
      <c r="B7" s="14" t="s">
        <v>8</v>
      </c>
      <c r="C7" s="14" t="s">
        <v>8</v>
      </c>
      <c r="D7" s="7" t="s">
        <v>15</v>
      </c>
      <c r="E7" s="7" t="s">
        <v>15</v>
      </c>
      <c r="F7" s="7" t="s">
        <v>15</v>
      </c>
      <c r="G7" s="7" t="s">
        <v>15</v>
      </c>
      <c r="H7" s="14" t="s">
        <v>8</v>
      </c>
      <c r="I7" s="14" t="s">
        <v>8</v>
      </c>
      <c r="J7" s="3" t="s">
        <v>11</v>
      </c>
      <c r="K7" s="3" t="s">
        <v>11</v>
      </c>
      <c r="L7" s="3" t="s">
        <v>11</v>
      </c>
      <c r="M7" s="3" t="s">
        <v>11</v>
      </c>
      <c r="N7" s="14" t="s">
        <v>8</v>
      </c>
      <c r="O7" s="14" t="s">
        <v>8</v>
      </c>
      <c r="P7" s="7" t="s">
        <v>15</v>
      </c>
      <c r="Q7" s="7" t="s">
        <v>15</v>
      </c>
      <c r="R7" s="7" t="s">
        <v>15</v>
      </c>
      <c r="S7" s="7" t="s">
        <v>15</v>
      </c>
      <c r="T7" s="7" t="s">
        <v>15</v>
      </c>
      <c r="U7" s="14" t="s">
        <v>8</v>
      </c>
      <c r="V7" s="14" t="s">
        <v>8</v>
      </c>
      <c r="W7" s="3" t="s">
        <v>11</v>
      </c>
      <c r="X7" s="3" t="s">
        <v>11</v>
      </c>
      <c r="Y7" s="23" t="s">
        <v>6</v>
      </c>
      <c r="Z7" s="3" t="s">
        <v>11</v>
      </c>
      <c r="AA7" s="14" t="s">
        <v>8</v>
      </c>
      <c r="AB7" s="14" t="s">
        <v>8</v>
      </c>
      <c r="AC7" s="7" t="s">
        <v>15</v>
      </c>
      <c r="AD7" s="7" t="s">
        <v>15</v>
      </c>
      <c r="AE7" s="7" t="s">
        <v>15</v>
      </c>
      <c r="AG7" s="6">
        <f>MAY!AJ7</f>
        <v>18</v>
      </c>
      <c r="AH7" s="15">
        <f t="shared" si="3"/>
        <v>0</v>
      </c>
      <c r="AI7" s="15">
        <f t="shared" si="2"/>
        <v>18</v>
      </c>
    </row>
    <row r="8" spans="1:35" ht="15" customHeight="1">
      <c r="A8" s="22" t="s">
        <v>17</v>
      </c>
      <c r="B8" s="3" t="s">
        <v>11</v>
      </c>
      <c r="C8" s="14" t="s">
        <v>8</v>
      </c>
      <c r="D8" s="14" t="s">
        <v>8</v>
      </c>
      <c r="E8" s="23" t="s">
        <v>6</v>
      </c>
      <c r="F8" s="7" t="s">
        <v>15</v>
      </c>
      <c r="G8" s="7" t="s">
        <v>15</v>
      </c>
      <c r="H8" s="7" t="s">
        <v>15</v>
      </c>
      <c r="I8" s="14" t="s">
        <v>8</v>
      </c>
      <c r="J8" s="14" t="s">
        <v>8</v>
      </c>
      <c r="K8" s="23" t="s">
        <v>6</v>
      </c>
      <c r="L8" s="3" t="s">
        <v>11</v>
      </c>
      <c r="M8" s="3" t="s">
        <v>11</v>
      </c>
      <c r="N8" s="3" t="s">
        <v>11</v>
      </c>
      <c r="O8" s="14" t="s">
        <v>8</v>
      </c>
      <c r="P8" s="14" t="s">
        <v>8</v>
      </c>
      <c r="Q8" s="7" t="s">
        <v>15</v>
      </c>
      <c r="R8" s="7" t="s">
        <v>15</v>
      </c>
      <c r="S8" s="7" t="s">
        <v>15</v>
      </c>
      <c r="T8" s="7" t="s">
        <v>15</v>
      </c>
      <c r="U8" s="7" t="s">
        <v>15</v>
      </c>
      <c r="V8" s="14" t="s">
        <v>8</v>
      </c>
      <c r="W8" s="14" t="s">
        <v>8</v>
      </c>
      <c r="X8" s="3" t="s">
        <v>11</v>
      </c>
      <c r="Y8" s="3" t="s">
        <v>11</v>
      </c>
      <c r="Z8" s="3" t="s">
        <v>11</v>
      </c>
      <c r="AA8" s="3" t="s">
        <v>11</v>
      </c>
      <c r="AB8" s="14" t="s">
        <v>8</v>
      </c>
      <c r="AC8" s="14" t="s">
        <v>8</v>
      </c>
      <c r="AD8" s="7" t="s">
        <v>15</v>
      </c>
      <c r="AE8" s="7" t="s">
        <v>15</v>
      </c>
      <c r="AG8" s="6">
        <f>MAY!AJ8</f>
        <v>22</v>
      </c>
      <c r="AH8" s="15">
        <f t="shared" si="3"/>
        <v>0</v>
      </c>
      <c r="AI8" s="15">
        <f t="shared" si="2"/>
        <v>22</v>
      </c>
    </row>
    <row r="9" spans="1:35" ht="15" customHeight="1">
      <c r="A9" s="22" t="s">
        <v>19</v>
      </c>
      <c r="B9" s="7" t="s">
        <v>15</v>
      </c>
      <c r="C9" s="7" t="s">
        <v>15</v>
      </c>
      <c r="D9" s="7" t="s">
        <v>15</v>
      </c>
      <c r="E9" s="14" t="s">
        <v>8</v>
      </c>
      <c r="F9" s="14" t="s">
        <v>8</v>
      </c>
      <c r="G9" s="3" t="s">
        <v>11</v>
      </c>
      <c r="H9" s="3" t="s">
        <v>11</v>
      </c>
      <c r="I9" s="3" t="s">
        <v>11</v>
      </c>
      <c r="J9" s="3" t="s">
        <v>11</v>
      </c>
      <c r="K9" s="14" t="s">
        <v>8</v>
      </c>
      <c r="L9" s="14" t="s">
        <v>8</v>
      </c>
      <c r="M9" s="7" t="s">
        <v>15</v>
      </c>
      <c r="N9" s="7" t="s">
        <v>15</v>
      </c>
      <c r="O9" s="7" t="s">
        <v>15</v>
      </c>
      <c r="P9" s="7" t="s">
        <v>15</v>
      </c>
      <c r="Q9" s="14" t="s">
        <v>8</v>
      </c>
      <c r="R9" s="14" t="s">
        <v>8</v>
      </c>
      <c r="S9" s="3" t="s">
        <v>11</v>
      </c>
      <c r="T9" s="3" t="s">
        <v>11</v>
      </c>
      <c r="U9" s="3" t="s">
        <v>11</v>
      </c>
      <c r="V9" s="3" t="s">
        <v>11</v>
      </c>
      <c r="W9" s="3" t="s">
        <v>11</v>
      </c>
      <c r="X9" s="14" t="s">
        <v>8</v>
      </c>
      <c r="Y9" s="14" t="s">
        <v>8</v>
      </c>
      <c r="Z9" s="7" t="s">
        <v>15</v>
      </c>
      <c r="AA9" s="7" t="s">
        <v>15</v>
      </c>
      <c r="AB9" s="7" t="s">
        <v>15</v>
      </c>
      <c r="AC9" s="7" t="s">
        <v>15</v>
      </c>
      <c r="AD9" s="14" t="s">
        <v>8</v>
      </c>
      <c r="AE9" s="14" t="s">
        <v>8</v>
      </c>
      <c r="AG9" s="6">
        <f>MAY!AJ9</f>
        <v>22</v>
      </c>
      <c r="AH9" s="15">
        <f t="shared" si="3"/>
        <v>0</v>
      </c>
      <c r="AI9" s="15">
        <f t="shared" si="2"/>
        <v>22</v>
      </c>
    </row>
    <row r="10" spans="1:35" s="16" customFormat="1" ht="15" customHeight="1">
      <c r="A10" s="22" t="s">
        <v>20</v>
      </c>
      <c r="B10" s="14" t="s">
        <v>8</v>
      </c>
      <c r="C10" s="3" t="s">
        <v>11</v>
      </c>
      <c r="D10" s="3" t="s">
        <v>11</v>
      </c>
      <c r="E10" s="3" t="s">
        <v>11</v>
      </c>
      <c r="F10" s="3" t="s">
        <v>11</v>
      </c>
      <c r="G10" s="14" t="s">
        <v>8</v>
      </c>
      <c r="H10" s="14" t="s">
        <v>8</v>
      </c>
      <c r="I10" s="7" t="s">
        <v>15</v>
      </c>
      <c r="J10" s="7" t="s">
        <v>15</v>
      </c>
      <c r="K10" s="7" t="s">
        <v>15</v>
      </c>
      <c r="L10" s="7" t="s">
        <v>15</v>
      </c>
      <c r="M10" s="14" t="s">
        <v>8</v>
      </c>
      <c r="N10" s="14" t="s">
        <v>8</v>
      </c>
      <c r="O10" s="3" t="s">
        <v>11</v>
      </c>
      <c r="P10" s="3" t="s">
        <v>11</v>
      </c>
      <c r="Q10" s="3" t="s">
        <v>11</v>
      </c>
      <c r="R10" s="3" t="s">
        <v>11</v>
      </c>
      <c r="S10" s="3" t="s">
        <v>11</v>
      </c>
      <c r="T10" s="14" t="s">
        <v>8</v>
      </c>
      <c r="U10" s="14" t="s">
        <v>8</v>
      </c>
      <c r="V10" s="7" t="s">
        <v>15</v>
      </c>
      <c r="W10" s="7" t="s">
        <v>15</v>
      </c>
      <c r="X10" s="7" t="s">
        <v>15</v>
      </c>
      <c r="Y10" s="7" t="s">
        <v>15</v>
      </c>
      <c r="Z10" s="14" t="s">
        <v>8</v>
      </c>
      <c r="AA10" s="14" t="s">
        <v>8</v>
      </c>
      <c r="AB10" s="3" t="s">
        <v>11</v>
      </c>
      <c r="AC10" s="3" t="s">
        <v>11</v>
      </c>
      <c r="AD10" s="3" t="s">
        <v>11</v>
      </c>
      <c r="AE10" s="3" t="s">
        <v>11</v>
      </c>
      <c r="AF10" s="13"/>
      <c r="AG10" s="6">
        <f>MAY!AJ10</f>
        <v>22</v>
      </c>
      <c r="AH10" s="15">
        <f t="shared" si="3"/>
        <v>0</v>
      </c>
      <c r="AI10" s="15">
        <f t="shared" si="2"/>
        <v>22</v>
      </c>
    </row>
    <row r="11" spans="1:35" ht="15" customHeight="1">
      <c r="A11" s="22" t="s">
        <v>21</v>
      </c>
      <c r="B11" s="3" t="s">
        <v>11</v>
      </c>
      <c r="C11" s="3" t="s">
        <v>11</v>
      </c>
      <c r="D11" s="3" t="s">
        <v>11</v>
      </c>
      <c r="E11" s="23" t="s">
        <v>6</v>
      </c>
      <c r="F11" s="14" t="s">
        <v>8</v>
      </c>
      <c r="G11" s="14" t="s">
        <v>8</v>
      </c>
      <c r="H11" s="7" t="s">
        <v>15</v>
      </c>
      <c r="I11" s="7" t="s">
        <v>15</v>
      </c>
      <c r="J11" s="7" t="s">
        <v>15</v>
      </c>
      <c r="K11" s="23" t="s">
        <v>6</v>
      </c>
      <c r="L11" s="14" t="s">
        <v>8</v>
      </c>
      <c r="M11" s="14" t="s">
        <v>8</v>
      </c>
      <c r="N11" s="3" t="s">
        <v>11</v>
      </c>
      <c r="O11" s="3" t="s">
        <v>11</v>
      </c>
      <c r="P11" s="3" t="s">
        <v>11</v>
      </c>
      <c r="Q11" s="3" t="s">
        <v>11</v>
      </c>
      <c r="R11" s="3" t="s">
        <v>11</v>
      </c>
      <c r="S11" s="14" t="s">
        <v>8</v>
      </c>
      <c r="T11" s="14" t="s">
        <v>8</v>
      </c>
      <c r="U11" s="7" t="s">
        <v>15</v>
      </c>
      <c r="V11" s="7" t="s">
        <v>15</v>
      </c>
      <c r="W11" s="7" t="s">
        <v>15</v>
      </c>
      <c r="X11" s="7" t="s">
        <v>15</v>
      </c>
      <c r="Y11" s="14" t="s">
        <v>8</v>
      </c>
      <c r="Z11" s="14" t="s">
        <v>8</v>
      </c>
      <c r="AA11" s="3" t="s">
        <v>11</v>
      </c>
      <c r="AB11" s="3" t="s">
        <v>11</v>
      </c>
      <c r="AC11" s="3" t="s">
        <v>11</v>
      </c>
      <c r="AD11" s="3" t="s">
        <v>11</v>
      </c>
      <c r="AE11" s="14" t="s">
        <v>8</v>
      </c>
      <c r="AG11" s="6">
        <f>MAY!AJ11</f>
        <v>22</v>
      </c>
      <c r="AH11" s="15">
        <f>COUNTIF(B11:AE11,"U")</f>
        <v>0</v>
      </c>
      <c r="AI11" s="15">
        <f t="shared" si="2"/>
        <v>22</v>
      </c>
    </row>
    <row r="13" spans="1:35">
      <c r="A13" s="3" t="s">
        <v>22</v>
      </c>
      <c r="B13" s="14">
        <f>COUNTIF(B4:B11,"P06")</f>
        <v>2</v>
      </c>
      <c r="C13" s="14">
        <f t="shared" ref="C13:AE13" si="4">COUNTIF(C4:C11,"P06")</f>
        <v>2</v>
      </c>
      <c r="D13" s="14">
        <f t="shared" si="4"/>
        <v>2</v>
      </c>
      <c r="E13" s="14">
        <f t="shared" si="4"/>
        <v>1</v>
      </c>
      <c r="F13" s="14">
        <f t="shared" si="4"/>
        <v>1</v>
      </c>
      <c r="G13" s="14">
        <f t="shared" si="4"/>
        <v>1</v>
      </c>
      <c r="H13" s="14">
        <f t="shared" si="4"/>
        <v>1</v>
      </c>
      <c r="I13" s="14">
        <f t="shared" si="4"/>
        <v>1</v>
      </c>
      <c r="J13" s="14">
        <f t="shared" si="4"/>
        <v>2</v>
      </c>
      <c r="K13" s="14">
        <f t="shared" si="4"/>
        <v>1</v>
      </c>
      <c r="L13" s="14">
        <f t="shared" si="4"/>
        <v>2</v>
      </c>
      <c r="M13" s="14">
        <f t="shared" si="4"/>
        <v>2</v>
      </c>
      <c r="N13" s="14">
        <f t="shared" si="4"/>
        <v>2</v>
      </c>
      <c r="O13" s="14">
        <f t="shared" si="4"/>
        <v>2</v>
      </c>
      <c r="P13" s="14">
        <f t="shared" si="4"/>
        <v>2</v>
      </c>
      <c r="Q13" s="14">
        <f t="shared" si="4"/>
        <v>2</v>
      </c>
      <c r="R13" s="14">
        <f t="shared" si="4"/>
        <v>2</v>
      </c>
      <c r="S13" s="14">
        <f t="shared" si="4"/>
        <v>2</v>
      </c>
      <c r="T13" s="14">
        <f t="shared" si="4"/>
        <v>1</v>
      </c>
      <c r="U13" s="14">
        <f t="shared" si="4"/>
        <v>1</v>
      </c>
      <c r="V13" s="14">
        <f t="shared" si="4"/>
        <v>1</v>
      </c>
      <c r="W13" s="14">
        <f t="shared" si="4"/>
        <v>2</v>
      </c>
      <c r="X13" s="14">
        <f t="shared" si="4"/>
        <v>2</v>
      </c>
      <c r="Y13" s="14">
        <f t="shared" si="4"/>
        <v>1</v>
      </c>
      <c r="Z13" s="14">
        <f t="shared" si="4"/>
        <v>2</v>
      </c>
      <c r="AA13" s="14">
        <f t="shared" si="4"/>
        <v>2</v>
      </c>
      <c r="AB13" s="14">
        <f t="shared" si="4"/>
        <v>2</v>
      </c>
      <c r="AC13" s="14">
        <f t="shared" si="4"/>
        <v>2</v>
      </c>
      <c r="AD13" s="14">
        <f t="shared" si="4"/>
        <v>2</v>
      </c>
      <c r="AE13" s="14">
        <f t="shared" si="4"/>
        <v>1</v>
      </c>
    </row>
    <row r="14" spans="1:35">
      <c r="A14" s="7" t="s">
        <v>23</v>
      </c>
      <c r="B14" s="14">
        <f>COUNTIF(B4:B11,"P14")</f>
        <v>1</v>
      </c>
      <c r="C14" s="14">
        <f t="shared" ref="C14:AE14" si="5">COUNTIF(C4:C11,"P14")</f>
        <v>1</v>
      </c>
      <c r="D14" s="14">
        <f t="shared" si="5"/>
        <v>2</v>
      </c>
      <c r="E14" s="14">
        <f t="shared" si="5"/>
        <v>1</v>
      </c>
      <c r="F14" s="14">
        <f t="shared" si="5"/>
        <v>2</v>
      </c>
      <c r="G14" s="14">
        <f t="shared" si="5"/>
        <v>2</v>
      </c>
      <c r="H14" s="14">
        <f t="shared" si="5"/>
        <v>2</v>
      </c>
      <c r="I14" s="14">
        <f t="shared" si="5"/>
        <v>2</v>
      </c>
      <c r="J14" s="14">
        <f t="shared" si="5"/>
        <v>2</v>
      </c>
      <c r="K14" s="14">
        <f t="shared" si="5"/>
        <v>1</v>
      </c>
      <c r="L14" s="14">
        <f t="shared" si="5"/>
        <v>1</v>
      </c>
      <c r="M14" s="14">
        <f t="shared" si="5"/>
        <v>1</v>
      </c>
      <c r="N14" s="14">
        <f t="shared" si="5"/>
        <v>1</v>
      </c>
      <c r="O14" s="14">
        <f t="shared" si="5"/>
        <v>1</v>
      </c>
      <c r="P14" s="14">
        <f t="shared" si="5"/>
        <v>2</v>
      </c>
      <c r="Q14" s="14">
        <f t="shared" si="5"/>
        <v>2</v>
      </c>
      <c r="R14" s="14">
        <f t="shared" si="5"/>
        <v>2</v>
      </c>
      <c r="S14" s="14">
        <f t="shared" si="5"/>
        <v>2</v>
      </c>
      <c r="T14" s="14">
        <f t="shared" si="5"/>
        <v>2</v>
      </c>
      <c r="U14" s="14">
        <f t="shared" si="5"/>
        <v>2</v>
      </c>
      <c r="V14" s="14">
        <f t="shared" si="5"/>
        <v>2</v>
      </c>
      <c r="W14" s="14">
        <f t="shared" si="5"/>
        <v>2</v>
      </c>
      <c r="X14" s="14">
        <f t="shared" si="5"/>
        <v>2</v>
      </c>
      <c r="Y14" s="14">
        <f t="shared" si="5"/>
        <v>1</v>
      </c>
      <c r="Z14" s="14">
        <f t="shared" si="5"/>
        <v>1</v>
      </c>
      <c r="AA14" s="14">
        <f t="shared" si="5"/>
        <v>1</v>
      </c>
      <c r="AB14" s="14">
        <f t="shared" si="5"/>
        <v>1</v>
      </c>
      <c r="AC14" s="14">
        <f t="shared" si="5"/>
        <v>2</v>
      </c>
      <c r="AD14" s="14">
        <f t="shared" si="5"/>
        <v>2</v>
      </c>
      <c r="AE14" s="14">
        <f t="shared" si="5"/>
        <v>2</v>
      </c>
    </row>
    <row r="15" spans="1:35" ht="13.5" thickBot="1"/>
    <row r="16" spans="1:35">
      <c r="E16" s="42"/>
      <c r="F16" s="46" t="s">
        <v>24</v>
      </c>
      <c r="G16" s="59"/>
      <c r="H16" s="46" t="s">
        <v>25</v>
      </c>
      <c r="I16" s="47"/>
      <c r="M16" s="6" t="s">
        <v>8</v>
      </c>
      <c r="N16" s="24" t="s">
        <v>26</v>
      </c>
      <c r="O16" s="25"/>
      <c r="P16" s="25"/>
      <c r="Q16" s="25"/>
      <c r="R16" s="25"/>
      <c r="S16" s="4" t="s">
        <v>27</v>
      </c>
      <c r="T16" s="26" t="s">
        <v>28</v>
      </c>
      <c r="U16" s="27"/>
      <c r="V16" s="27"/>
      <c r="W16" s="27"/>
      <c r="X16" s="28"/>
      <c r="Z16" s="60" t="s">
        <v>29</v>
      </c>
      <c r="AA16" s="61"/>
      <c r="AB16" s="61"/>
      <c r="AC16" s="61"/>
      <c r="AD16" s="61"/>
      <c r="AE16" s="61"/>
      <c r="AF16" s="61"/>
    </row>
    <row r="17" spans="5:32">
      <c r="E17" s="3" t="s">
        <v>11</v>
      </c>
      <c r="F17" s="48" t="s">
        <v>30</v>
      </c>
      <c r="G17" s="58"/>
      <c r="H17" s="48" t="s">
        <v>31</v>
      </c>
      <c r="I17" s="49"/>
      <c r="M17" s="11" t="s">
        <v>32</v>
      </c>
      <c r="N17" s="17" t="s">
        <v>33</v>
      </c>
      <c r="O17" s="29"/>
      <c r="P17" s="29"/>
      <c r="Q17" s="29"/>
      <c r="R17" s="29"/>
      <c r="S17" s="4" t="s">
        <v>34</v>
      </c>
      <c r="T17" s="17" t="s">
        <v>35</v>
      </c>
      <c r="U17" s="29"/>
      <c r="V17" s="29"/>
      <c r="W17" s="29"/>
      <c r="X17" s="19"/>
      <c r="Z17" s="62"/>
      <c r="AA17" s="63"/>
      <c r="AB17" s="63"/>
      <c r="AC17" s="63"/>
      <c r="AD17" s="63"/>
      <c r="AE17" s="63"/>
      <c r="AF17" s="63"/>
    </row>
    <row r="18" spans="5:32">
      <c r="E18" s="5" t="s">
        <v>10</v>
      </c>
      <c r="F18" s="50" t="s">
        <v>36</v>
      </c>
      <c r="G18" s="52"/>
      <c r="H18" s="50" t="s">
        <v>37</v>
      </c>
      <c r="I18" s="51"/>
      <c r="M18" s="23" t="s">
        <v>6</v>
      </c>
      <c r="N18" s="18" t="s">
        <v>38</v>
      </c>
      <c r="O18" s="30"/>
      <c r="P18" s="30"/>
      <c r="Q18" s="30"/>
      <c r="R18" s="30"/>
      <c r="S18" s="6" t="s">
        <v>39</v>
      </c>
      <c r="T18" s="17" t="s">
        <v>40</v>
      </c>
      <c r="U18" s="29"/>
      <c r="V18" s="29"/>
      <c r="W18" s="29"/>
      <c r="X18" s="19"/>
      <c r="Z18" s="62"/>
      <c r="AA18" s="63"/>
      <c r="AB18" s="63"/>
      <c r="AC18" s="63"/>
      <c r="AD18" s="63"/>
      <c r="AE18" s="63"/>
      <c r="AF18" s="63"/>
    </row>
    <row r="19" spans="5:32">
      <c r="E19" s="5" t="s">
        <v>9</v>
      </c>
      <c r="F19" s="50" t="s">
        <v>41</v>
      </c>
      <c r="G19" s="52"/>
      <c r="H19" s="50" t="s">
        <v>42</v>
      </c>
      <c r="I19" s="51"/>
      <c r="M19" s="31" t="s">
        <v>16</v>
      </c>
      <c r="N19" s="17" t="s">
        <v>43</v>
      </c>
      <c r="O19" s="29"/>
      <c r="P19" s="29"/>
      <c r="Q19" s="29"/>
      <c r="R19" s="29"/>
      <c r="S19" s="6" t="s">
        <v>44</v>
      </c>
      <c r="T19" s="17" t="s">
        <v>40</v>
      </c>
      <c r="U19" s="29"/>
      <c r="V19" s="29"/>
      <c r="W19" s="29"/>
      <c r="X19" s="19"/>
    </row>
    <row r="20" spans="5:32">
      <c r="E20" s="7" t="s">
        <v>15</v>
      </c>
      <c r="F20" s="50" t="s">
        <v>45</v>
      </c>
      <c r="G20" s="52"/>
      <c r="H20" s="50" t="s">
        <v>46</v>
      </c>
      <c r="I20" s="51"/>
      <c r="M20" s="31" t="s">
        <v>7</v>
      </c>
      <c r="N20" s="17" t="s">
        <v>47</v>
      </c>
      <c r="O20" s="29"/>
      <c r="P20" s="29"/>
      <c r="Q20" s="29"/>
      <c r="R20" s="19"/>
      <c r="S20" s="6" t="s">
        <v>48</v>
      </c>
      <c r="T20" s="17" t="s">
        <v>40</v>
      </c>
      <c r="U20" s="29"/>
      <c r="V20" s="29"/>
      <c r="W20" s="29"/>
      <c r="X20" s="19"/>
    </row>
    <row r="21" spans="5:32">
      <c r="E21" s="8" t="s">
        <v>49</v>
      </c>
      <c r="F21" s="53" t="s">
        <v>50</v>
      </c>
      <c r="G21" s="54"/>
      <c r="H21" s="53" t="s">
        <v>51</v>
      </c>
      <c r="I21" s="55"/>
      <c r="M21" s="32" t="s">
        <v>6</v>
      </c>
      <c r="N21" s="17" t="s">
        <v>52</v>
      </c>
      <c r="O21" s="29"/>
      <c r="P21" s="29"/>
      <c r="Q21" s="29"/>
      <c r="R21" s="29"/>
      <c r="S21" s="20" t="s">
        <v>53</v>
      </c>
      <c r="T21" s="17" t="s">
        <v>54</v>
      </c>
      <c r="U21" s="29"/>
      <c r="V21" s="29"/>
      <c r="W21" s="29"/>
      <c r="X21" s="19"/>
    </row>
    <row r="22" spans="5:32">
      <c r="M22" s="32" t="s">
        <v>16</v>
      </c>
      <c r="N22" s="17" t="s">
        <v>55</v>
      </c>
      <c r="O22" s="29"/>
      <c r="P22" s="29"/>
      <c r="Q22" s="29"/>
      <c r="R22" s="29"/>
      <c r="S22" s="9" t="s">
        <v>56</v>
      </c>
      <c r="T22" s="17" t="s">
        <v>54</v>
      </c>
      <c r="U22" s="29"/>
      <c r="V22" s="29"/>
      <c r="W22" s="29"/>
      <c r="X22" s="19"/>
    </row>
    <row r="23" spans="5:32">
      <c r="M23" s="33" t="s">
        <v>18</v>
      </c>
      <c r="N23" s="17" t="s">
        <v>57</v>
      </c>
      <c r="O23" s="29"/>
      <c r="P23" s="29"/>
      <c r="Q23" s="29"/>
      <c r="R23" s="29"/>
      <c r="S23" s="9" t="s">
        <v>58</v>
      </c>
      <c r="T23" s="17" t="s">
        <v>54</v>
      </c>
      <c r="U23" s="29"/>
      <c r="V23" s="29"/>
      <c r="W23" s="29"/>
      <c r="X23" s="19"/>
    </row>
    <row r="24" spans="5:32">
      <c r="M24" s="33" t="s">
        <v>59</v>
      </c>
      <c r="N24" s="17" t="s">
        <v>60</v>
      </c>
      <c r="O24" s="29"/>
      <c r="P24" s="29"/>
      <c r="Q24" s="29"/>
      <c r="R24" s="29"/>
      <c r="S24" s="9" t="s">
        <v>61</v>
      </c>
      <c r="T24" s="17" t="s">
        <v>54</v>
      </c>
      <c r="U24" s="29"/>
      <c r="V24" s="29"/>
      <c r="W24" s="29"/>
      <c r="X24" s="19"/>
    </row>
    <row r="25" spans="5:32">
      <c r="M25" s="34" t="s">
        <v>62</v>
      </c>
      <c r="N25" s="17" t="s">
        <v>63</v>
      </c>
      <c r="O25" s="29"/>
      <c r="P25" s="29"/>
      <c r="Q25" s="29"/>
      <c r="R25" s="29"/>
      <c r="S25" s="10" t="s">
        <v>64</v>
      </c>
      <c r="T25" s="17" t="s">
        <v>54</v>
      </c>
      <c r="U25" s="29"/>
      <c r="V25" s="29"/>
      <c r="W25" s="29"/>
      <c r="X25" s="19"/>
    </row>
    <row r="26" spans="5:32">
      <c r="M26" s="35" t="s">
        <v>65</v>
      </c>
      <c r="N26" s="17" t="s">
        <v>66</v>
      </c>
      <c r="O26" s="29"/>
      <c r="P26" s="29"/>
      <c r="Q26" s="29"/>
      <c r="R26" s="29"/>
      <c r="S26" s="6" t="s">
        <v>67</v>
      </c>
      <c r="T26" s="17" t="s">
        <v>54</v>
      </c>
      <c r="U26" s="29"/>
      <c r="V26" s="29"/>
      <c r="W26" s="29"/>
      <c r="X26" s="19"/>
    </row>
    <row r="27" spans="5:32">
      <c r="M27" s="36" t="s">
        <v>68</v>
      </c>
      <c r="N27" s="17" t="s">
        <v>69</v>
      </c>
      <c r="O27" s="29"/>
      <c r="P27" s="29"/>
      <c r="Q27" s="29"/>
      <c r="R27" s="29"/>
      <c r="S27" s="6" t="s">
        <v>70</v>
      </c>
      <c r="T27" s="17" t="s">
        <v>54</v>
      </c>
      <c r="U27" s="29"/>
      <c r="V27" s="29"/>
      <c r="W27" s="29"/>
      <c r="X27" s="19"/>
    </row>
    <row r="28" spans="5:32">
      <c r="M28" s="37" t="s">
        <v>71</v>
      </c>
      <c r="N28" s="18" t="s">
        <v>72</v>
      </c>
      <c r="O28" s="30"/>
      <c r="P28" s="30"/>
      <c r="Q28" s="30"/>
      <c r="R28" s="30"/>
      <c r="S28" s="11" t="s">
        <v>73</v>
      </c>
      <c r="T28" s="17" t="s">
        <v>54</v>
      </c>
      <c r="U28" s="29"/>
      <c r="V28" s="29"/>
      <c r="W28" s="29"/>
      <c r="X28" s="19"/>
    </row>
    <row r="29" spans="5:32">
      <c r="M29" s="10" t="s">
        <v>74</v>
      </c>
      <c r="N29" s="17" t="s">
        <v>75</v>
      </c>
      <c r="O29" s="29"/>
      <c r="P29" s="29"/>
      <c r="Q29" s="29"/>
      <c r="R29" s="29"/>
      <c r="S29" s="6" t="s">
        <v>76</v>
      </c>
      <c r="T29" s="17" t="s">
        <v>54</v>
      </c>
      <c r="U29" s="29"/>
      <c r="V29" s="29"/>
      <c r="W29" s="29"/>
      <c r="X29" s="19"/>
    </row>
    <row r="30" spans="5:32">
      <c r="M30" s="37" t="s">
        <v>77</v>
      </c>
      <c r="N30" s="38" t="s">
        <v>78</v>
      </c>
      <c r="O30" s="39"/>
      <c r="P30" s="39"/>
      <c r="Q30" s="39"/>
      <c r="R30" s="39"/>
      <c r="S30" s="40" t="s">
        <v>79</v>
      </c>
      <c r="T30" s="38" t="s">
        <v>80</v>
      </c>
      <c r="U30" s="39"/>
      <c r="V30" s="39"/>
      <c r="W30" s="39"/>
      <c r="X30" s="41"/>
    </row>
  </sheetData>
  <mergeCells count="16">
    <mergeCell ref="F20:G20"/>
    <mergeCell ref="H20:I20"/>
    <mergeCell ref="F21:G21"/>
    <mergeCell ref="H21:I21"/>
    <mergeCell ref="F17:G17"/>
    <mergeCell ref="H17:I17"/>
    <mergeCell ref="F18:G18"/>
    <mergeCell ref="H18:I18"/>
    <mergeCell ref="F19:G19"/>
    <mergeCell ref="H19:I19"/>
    <mergeCell ref="A1:AE1"/>
    <mergeCell ref="A2:A3"/>
    <mergeCell ref="AG2:AI2"/>
    <mergeCell ref="F16:G16"/>
    <mergeCell ref="H16:I16"/>
    <mergeCell ref="Z16:AF18"/>
  </mergeCells>
  <conditionalFormatting sqref="B2:D3 F2:J3 L2:X3 Z2:AE3">
    <cfRule type="expression" dxfId="20" priority="3">
      <formula>WEEKDAY(DATE(YEAR($A$2),MONTH($A$2),B$2),2)&gt;5</formula>
    </cfRule>
  </conditionalFormatting>
  <conditionalFormatting sqref="B13:AE14">
    <cfRule type="cellIs" dxfId="19" priority="1" operator="equal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7B84-5358-4C63-AE18-D48FBC68AB47}">
  <dimension ref="A1:AJ30"/>
  <sheetViews>
    <sheetView zoomScale="85" zoomScaleNormal="85" workbookViewId="0">
      <pane xSplit="1" ySplit="3" topLeftCell="B4" activePane="bottomRight" state="frozen"/>
      <selection pane="bottomRight" activeCell="AI12" sqref="AI12"/>
      <selection pane="bottomLeft"/>
      <selection pane="topRight"/>
    </sheetView>
  </sheetViews>
  <sheetFormatPr defaultColWidth="9.140625" defaultRowHeight="12.95"/>
  <cols>
    <col min="1" max="1" width="30.7109375" style="13" customWidth="1"/>
    <col min="2" max="36" width="6.7109375" style="13" customWidth="1"/>
    <col min="37" max="16384" width="9.140625" style="13"/>
  </cols>
  <sheetData>
    <row r="1" spans="1:36" ht="1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12"/>
      <c r="AH1" s="12"/>
      <c r="AI1" s="12"/>
      <c r="AJ1" s="12"/>
    </row>
    <row r="2" spans="1:36" ht="15" customHeight="1">
      <c r="A2" s="57">
        <v>46204</v>
      </c>
      <c r="B2" s="21">
        <f>IF(COLUMN(A1)&lt;=DAY(EOMONTH($A$2,0)),COLUMN(A1),"")</f>
        <v>1</v>
      </c>
      <c r="C2" s="21">
        <f t="shared" ref="C2:AF2" si="0">IF(COLUMN(B1)&lt;=DAY(EOMONTH($A$2,0)),COLUMN(B1),"")</f>
        <v>2</v>
      </c>
      <c r="D2" s="21">
        <f t="shared" si="0"/>
        <v>3</v>
      </c>
      <c r="E2" s="21">
        <f t="shared" si="0"/>
        <v>4</v>
      </c>
      <c r="F2" s="21">
        <f t="shared" si="0"/>
        <v>5</v>
      </c>
      <c r="G2" s="21">
        <f t="shared" si="0"/>
        <v>6</v>
      </c>
      <c r="H2" s="21">
        <f t="shared" si="0"/>
        <v>7</v>
      </c>
      <c r="I2" s="21">
        <f t="shared" si="0"/>
        <v>8</v>
      </c>
      <c r="J2" s="21">
        <f t="shared" si="0"/>
        <v>9</v>
      </c>
      <c r="K2" s="21">
        <f t="shared" si="0"/>
        <v>10</v>
      </c>
      <c r="L2" s="21">
        <f t="shared" si="0"/>
        <v>11</v>
      </c>
      <c r="M2" s="21">
        <f t="shared" si="0"/>
        <v>12</v>
      </c>
      <c r="N2" s="21">
        <f t="shared" si="0"/>
        <v>13</v>
      </c>
      <c r="O2" s="21">
        <f t="shared" si="0"/>
        <v>14</v>
      </c>
      <c r="P2" s="21">
        <f t="shared" si="0"/>
        <v>15</v>
      </c>
      <c r="Q2" s="21">
        <f t="shared" si="0"/>
        <v>16</v>
      </c>
      <c r="R2" s="21">
        <f t="shared" si="0"/>
        <v>17</v>
      </c>
      <c r="S2" s="21">
        <f t="shared" si="0"/>
        <v>18</v>
      </c>
      <c r="T2" s="21">
        <f t="shared" si="0"/>
        <v>19</v>
      </c>
      <c r="U2" s="21">
        <f t="shared" si="0"/>
        <v>20</v>
      </c>
      <c r="V2" s="21">
        <f t="shared" si="0"/>
        <v>21</v>
      </c>
      <c r="W2" s="21">
        <f t="shared" si="0"/>
        <v>22</v>
      </c>
      <c r="X2" s="21">
        <f t="shared" si="0"/>
        <v>23</v>
      </c>
      <c r="Y2" s="21">
        <f t="shared" si="0"/>
        <v>24</v>
      </c>
      <c r="Z2" s="21">
        <f t="shared" si="0"/>
        <v>25</v>
      </c>
      <c r="AA2" s="21">
        <f t="shared" si="0"/>
        <v>26</v>
      </c>
      <c r="AB2" s="21">
        <f t="shared" si="0"/>
        <v>27</v>
      </c>
      <c r="AC2" s="21">
        <f t="shared" si="0"/>
        <v>28</v>
      </c>
      <c r="AD2" s="21">
        <f t="shared" si="0"/>
        <v>29</v>
      </c>
      <c r="AE2" s="21">
        <f t="shared" si="0"/>
        <v>30</v>
      </c>
      <c r="AF2" s="21">
        <f t="shared" si="0"/>
        <v>31</v>
      </c>
      <c r="AH2" s="44" t="s">
        <v>2</v>
      </c>
      <c r="AI2" s="45"/>
      <c r="AJ2" s="45"/>
    </row>
    <row r="3" spans="1:36" ht="15" customHeight="1">
      <c r="A3" s="57"/>
      <c r="B3" s="21" t="str">
        <f>UPPER(LEFT(TEXT(DATE(YEAR($A$2),MONTH($A$2),B2),"DDD"),2))</f>
        <v>WE</v>
      </c>
      <c r="C3" s="21" t="str">
        <f t="shared" ref="C3:AF3" si="1">UPPER(LEFT(TEXT(DATE(YEAR($A$2),MONTH($A$2),C2),"DDD"),2))</f>
        <v>TH</v>
      </c>
      <c r="D3" s="21" t="str">
        <f t="shared" si="1"/>
        <v>FR</v>
      </c>
      <c r="E3" s="21" t="str">
        <f t="shared" si="1"/>
        <v>SA</v>
      </c>
      <c r="F3" s="21" t="str">
        <f t="shared" si="1"/>
        <v>SU</v>
      </c>
      <c r="G3" s="21" t="str">
        <f t="shared" si="1"/>
        <v>MO</v>
      </c>
      <c r="H3" s="21" t="str">
        <f t="shared" si="1"/>
        <v>TU</v>
      </c>
      <c r="I3" s="21" t="str">
        <f t="shared" si="1"/>
        <v>WE</v>
      </c>
      <c r="J3" s="21" t="str">
        <f t="shared" si="1"/>
        <v>TH</v>
      </c>
      <c r="K3" s="21" t="str">
        <f t="shared" si="1"/>
        <v>FR</v>
      </c>
      <c r="L3" s="21" t="str">
        <f t="shared" si="1"/>
        <v>SA</v>
      </c>
      <c r="M3" s="21" t="str">
        <f t="shared" si="1"/>
        <v>SU</v>
      </c>
      <c r="N3" s="21" t="str">
        <f t="shared" si="1"/>
        <v>MO</v>
      </c>
      <c r="O3" s="21" t="str">
        <f t="shared" si="1"/>
        <v>TU</v>
      </c>
      <c r="P3" s="21" t="str">
        <f t="shared" si="1"/>
        <v>WE</v>
      </c>
      <c r="Q3" s="21" t="str">
        <f t="shared" si="1"/>
        <v>TH</v>
      </c>
      <c r="R3" s="21" t="str">
        <f t="shared" si="1"/>
        <v>FR</v>
      </c>
      <c r="S3" s="21" t="str">
        <f t="shared" si="1"/>
        <v>SA</v>
      </c>
      <c r="T3" s="21" t="str">
        <f t="shared" si="1"/>
        <v>SU</v>
      </c>
      <c r="U3" s="21" t="str">
        <f t="shared" si="1"/>
        <v>MO</v>
      </c>
      <c r="V3" s="21" t="str">
        <f t="shared" si="1"/>
        <v>TU</v>
      </c>
      <c r="W3" s="21" t="str">
        <f t="shared" si="1"/>
        <v>WE</v>
      </c>
      <c r="X3" s="21" t="str">
        <f t="shared" si="1"/>
        <v>TH</v>
      </c>
      <c r="Y3" s="21" t="str">
        <f t="shared" si="1"/>
        <v>FR</v>
      </c>
      <c r="Z3" s="21" t="str">
        <f t="shared" si="1"/>
        <v>SA</v>
      </c>
      <c r="AA3" s="21" t="str">
        <f t="shared" si="1"/>
        <v>SU</v>
      </c>
      <c r="AB3" s="21" t="str">
        <f t="shared" si="1"/>
        <v>MO</v>
      </c>
      <c r="AC3" s="21" t="str">
        <f t="shared" si="1"/>
        <v>TU</v>
      </c>
      <c r="AD3" s="21" t="str">
        <f t="shared" si="1"/>
        <v>WE</v>
      </c>
      <c r="AE3" s="21" t="str">
        <f t="shared" si="1"/>
        <v>TH</v>
      </c>
      <c r="AF3" s="21" t="str">
        <f t="shared" si="1"/>
        <v>FR</v>
      </c>
      <c r="AH3" s="1">
        <v>2026</v>
      </c>
      <c r="AI3" s="2" t="s">
        <v>3</v>
      </c>
      <c r="AJ3" s="2" t="s">
        <v>4</v>
      </c>
    </row>
    <row r="4" spans="1:36" ht="15" customHeight="1">
      <c r="A4" s="22" t="s">
        <v>5</v>
      </c>
      <c r="B4" s="5" t="s">
        <v>10</v>
      </c>
      <c r="C4" s="5" t="s">
        <v>10</v>
      </c>
      <c r="D4" s="5" t="s">
        <v>10</v>
      </c>
      <c r="E4" s="14" t="s">
        <v>8</v>
      </c>
      <c r="F4" s="14" t="s">
        <v>8</v>
      </c>
      <c r="G4" s="5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14" t="s">
        <v>8</v>
      </c>
      <c r="M4" s="14" t="s">
        <v>8</v>
      </c>
      <c r="N4" s="5" t="s">
        <v>10</v>
      </c>
      <c r="O4" s="5" t="s">
        <v>10</v>
      </c>
      <c r="P4" s="5" t="s">
        <v>10</v>
      </c>
      <c r="Q4" s="5" t="s">
        <v>10</v>
      </c>
      <c r="R4" s="5" t="s">
        <v>10</v>
      </c>
      <c r="S4" s="14" t="s">
        <v>8</v>
      </c>
      <c r="T4" s="14" t="s">
        <v>8</v>
      </c>
      <c r="U4" s="5" t="s">
        <v>10</v>
      </c>
      <c r="V4" s="5" t="s">
        <v>10</v>
      </c>
      <c r="W4" s="5" t="s">
        <v>10</v>
      </c>
      <c r="X4" s="5" t="s">
        <v>10</v>
      </c>
      <c r="Y4" s="5" t="s">
        <v>10</v>
      </c>
      <c r="Z4" s="14" t="s">
        <v>8</v>
      </c>
      <c r="AA4" s="14" t="s">
        <v>8</v>
      </c>
      <c r="AB4" s="5" t="s">
        <v>10</v>
      </c>
      <c r="AC4" s="5" t="s">
        <v>10</v>
      </c>
      <c r="AD4" s="5" t="s">
        <v>10</v>
      </c>
      <c r="AE4" s="5" t="s">
        <v>10</v>
      </c>
      <c r="AF4" s="5" t="s">
        <v>10</v>
      </c>
      <c r="AH4" s="6">
        <f>JUN!AI4</f>
        <v>22</v>
      </c>
      <c r="AI4" s="15">
        <f>COUNTIF(B4:AF4,"U")</f>
        <v>0</v>
      </c>
      <c r="AJ4" s="15">
        <f t="shared" ref="AJ4:AJ11" si="2">AH4-AI4</f>
        <v>22</v>
      </c>
    </row>
    <row r="5" spans="1:36" ht="15" customHeight="1">
      <c r="A5" s="22" t="s">
        <v>12</v>
      </c>
      <c r="B5" s="5" t="s">
        <v>9</v>
      </c>
      <c r="C5" s="5" t="s">
        <v>9</v>
      </c>
      <c r="D5" s="5" t="s">
        <v>9</v>
      </c>
      <c r="E5" s="14" t="s">
        <v>8</v>
      </c>
      <c r="F5" s="14" t="s">
        <v>8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  <c r="L5" s="14" t="s">
        <v>8</v>
      </c>
      <c r="M5" s="14" t="s">
        <v>8</v>
      </c>
      <c r="N5" s="5" t="s">
        <v>9</v>
      </c>
      <c r="O5" s="5" t="s">
        <v>9</v>
      </c>
      <c r="P5" s="5" t="s">
        <v>9</v>
      </c>
      <c r="Q5" s="5" t="s">
        <v>9</v>
      </c>
      <c r="R5" s="5" t="s">
        <v>9</v>
      </c>
      <c r="S5" s="14" t="s">
        <v>8</v>
      </c>
      <c r="T5" s="14" t="s">
        <v>8</v>
      </c>
      <c r="U5" s="5" t="s">
        <v>9</v>
      </c>
      <c r="V5" s="5" t="s">
        <v>9</v>
      </c>
      <c r="W5" s="5" t="s">
        <v>9</v>
      </c>
      <c r="X5" s="5" t="s">
        <v>9</v>
      </c>
      <c r="Y5" s="5" t="s">
        <v>9</v>
      </c>
      <c r="Z5" s="14" t="s">
        <v>8</v>
      </c>
      <c r="AA5" s="14" t="s">
        <v>8</v>
      </c>
      <c r="AB5" s="5" t="s">
        <v>9</v>
      </c>
      <c r="AC5" s="5" t="s">
        <v>9</v>
      </c>
      <c r="AD5" s="5" t="s">
        <v>9</v>
      </c>
      <c r="AE5" s="5" t="s">
        <v>9</v>
      </c>
      <c r="AF5" s="5" t="s">
        <v>9</v>
      </c>
      <c r="AH5" s="6">
        <f>JUN!AI5</f>
        <v>22</v>
      </c>
      <c r="AI5" s="15">
        <f t="shared" ref="AI5:AI11" si="3">COUNTIF(B5:AF5,"U")</f>
        <v>0</v>
      </c>
      <c r="AJ5" s="15">
        <f t="shared" si="2"/>
        <v>22</v>
      </c>
    </row>
    <row r="6" spans="1:36" ht="15" customHeight="1">
      <c r="A6" s="22" t="s">
        <v>13</v>
      </c>
      <c r="B6" s="5" t="s">
        <v>9</v>
      </c>
      <c r="C6" s="5" t="s">
        <v>9</v>
      </c>
      <c r="D6" s="5" t="s">
        <v>9</v>
      </c>
      <c r="E6" s="14" t="s">
        <v>8</v>
      </c>
      <c r="F6" s="14" t="s">
        <v>8</v>
      </c>
      <c r="G6" s="5" t="s">
        <v>9</v>
      </c>
      <c r="H6" s="5" t="s">
        <v>9</v>
      </c>
      <c r="I6" s="5" t="s">
        <v>9</v>
      </c>
      <c r="J6" s="5" t="s">
        <v>9</v>
      </c>
      <c r="K6" s="5" t="s">
        <v>9</v>
      </c>
      <c r="L6" s="14" t="s">
        <v>8</v>
      </c>
      <c r="M6" s="14" t="s">
        <v>8</v>
      </c>
      <c r="N6" s="5" t="s">
        <v>9</v>
      </c>
      <c r="O6" s="5" t="s">
        <v>9</v>
      </c>
      <c r="P6" s="5" t="s">
        <v>9</v>
      </c>
      <c r="Q6" s="5" t="s">
        <v>9</v>
      </c>
      <c r="R6" s="5" t="s">
        <v>9</v>
      </c>
      <c r="S6" s="14" t="s">
        <v>8</v>
      </c>
      <c r="T6" s="14" t="s">
        <v>8</v>
      </c>
      <c r="U6" s="5" t="s">
        <v>9</v>
      </c>
      <c r="V6" s="5" t="s">
        <v>9</v>
      </c>
      <c r="W6" s="5" t="s">
        <v>9</v>
      </c>
      <c r="X6" s="5" t="s">
        <v>9</v>
      </c>
      <c r="Y6" s="5" t="s">
        <v>9</v>
      </c>
      <c r="Z6" s="14" t="s">
        <v>8</v>
      </c>
      <c r="AA6" s="14" t="s">
        <v>8</v>
      </c>
      <c r="AB6" s="5" t="s">
        <v>9</v>
      </c>
      <c r="AC6" s="5" t="s">
        <v>9</v>
      </c>
      <c r="AD6" s="5" t="s">
        <v>9</v>
      </c>
      <c r="AE6" s="5" t="s">
        <v>9</v>
      </c>
      <c r="AF6" s="5" t="s">
        <v>9</v>
      </c>
      <c r="AH6" s="6">
        <f>JUN!AI6</f>
        <v>19</v>
      </c>
      <c r="AI6" s="15">
        <f t="shared" si="3"/>
        <v>0</v>
      </c>
      <c r="AJ6" s="15">
        <f t="shared" si="2"/>
        <v>19</v>
      </c>
    </row>
    <row r="7" spans="1:36" ht="15" customHeight="1">
      <c r="A7" s="22" t="s">
        <v>14</v>
      </c>
      <c r="B7" s="7" t="s">
        <v>15</v>
      </c>
      <c r="C7" s="14" t="s">
        <v>8</v>
      </c>
      <c r="D7" s="14" t="s">
        <v>8</v>
      </c>
      <c r="E7" s="3" t="s">
        <v>11</v>
      </c>
      <c r="F7" s="3" t="s">
        <v>11</v>
      </c>
      <c r="G7" s="3" t="s">
        <v>11</v>
      </c>
      <c r="H7" s="3" t="s">
        <v>11</v>
      </c>
      <c r="I7" s="14" t="s">
        <v>8</v>
      </c>
      <c r="J7" s="14" t="s">
        <v>8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15</v>
      </c>
      <c r="P7" s="14" t="s">
        <v>8</v>
      </c>
      <c r="Q7" s="14" t="s">
        <v>8</v>
      </c>
      <c r="R7" s="3" t="s">
        <v>11</v>
      </c>
      <c r="S7" s="3" t="s">
        <v>11</v>
      </c>
      <c r="T7" s="3" t="s">
        <v>11</v>
      </c>
      <c r="U7" s="3" t="s">
        <v>11</v>
      </c>
      <c r="V7" s="14" t="s">
        <v>8</v>
      </c>
      <c r="W7" s="14" t="s">
        <v>8</v>
      </c>
      <c r="X7" s="7" t="s">
        <v>15</v>
      </c>
      <c r="Y7" s="7" t="s">
        <v>15</v>
      </c>
      <c r="Z7" s="7" t="s">
        <v>15</v>
      </c>
      <c r="AA7" s="7" t="s">
        <v>15</v>
      </c>
      <c r="AB7" s="14" t="s">
        <v>8</v>
      </c>
      <c r="AC7" s="14" t="s">
        <v>8</v>
      </c>
      <c r="AD7" s="3" t="s">
        <v>11</v>
      </c>
      <c r="AE7" s="3" t="s">
        <v>11</v>
      </c>
      <c r="AF7" s="3" t="s">
        <v>11</v>
      </c>
      <c r="AH7" s="6">
        <f>JUN!AI7</f>
        <v>18</v>
      </c>
      <c r="AI7" s="15">
        <f t="shared" si="3"/>
        <v>0</v>
      </c>
      <c r="AJ7" s="15">
        <f t="shared" si="2"/>
        <v>18</v>
      </c>
    </row>
    <row r="8" spans="1:36" ht="15" customHeight="1">
      <c r="A8" s="22" t="s">
        <v>17</v>
      </c>
      <c r="B8" s="7" t="s">
        <v>15</v>
      </c>
      <c r="C8" s="7" t="s">
        <v>15</v>
      </c>
      <c r="D8" s="7" t="s">
        <v>15</v>
      </c>
      <c r="E8" s="14" t="s">
        <v>8</v>
      </c>
      <c r="F8" s="14" t="s">
        <v>8</v>
      </c>
      <c r="G8" s="3" t="s">
        <v>11</v>
      </c>
      <c r="H8" s="3" t="s">
        <v>11</v>
      </c>
      <c r="I8" s="3" t="s">
        <v>11</v>
      </c>
      <c r="J8" s="3" t="s">
        <v>11</v>
      </c>
      <c r="K8" s="3" t="s">
        <v>11</v>
      </c>
      <c r="L8" s="14" t="s">
        <v>8</v>
      </c>
      <c r="M8" s="14" t="s">
        <v>8</v>
      </c>
      <c r="N8" s="7" t="s">
        <v>15</v>
      </c>
      <c r="O8" s="7" t="s">
        <v>15</v>
      </c>
      <c r="P8" s="7" t="s">
        <v>15</v>
      </c>
      <c r="Q8" s="7" t="s">
        <v>15</v>
      </c>
      <c r="R8" s="14" t="s">
        <v>8</v>
      </c>
      <c r="S8" s="14" t="s">
        <v>8</v>
      </c>
      <c r="T8" s="3" t="s">
        <v>11</v>
      </c>
      <c r="U8" s="3" t="s">
        <v>11</v>
      </c>
      <c r="V8" s="3" t="s">
        <v>11</v>
      </c>
      <c r="W8" s="3" t="s">
        <v>11</v>
      </c>
      <c r="X8" s="3" t="s">
        <v>11</v>
      </c>
      <c r="Y8" s="14" t="s">
        <v>8</v>
      </c>
      <c r="Z8" s="14" t="s">
        <v>8</v>
      </c>
      <c r="AA8" s="7" t="s">
        <v>15</v>
      </c>
      <c r="AB8" s="7" t="s">
        <v>15</v>
      </c>
      <c r="AC8" s="7" t="s">
        <v>15</v>
      </c>
      <c r="AD8" s="7" t="s">
        <v>15</v>
      </c>
      <c r="AE8" s="14" t="s">
        <v>8</v>
      </c>
      <c r="AF8" s="14" t="s">
        <v>8</v>
      </c>
      <c r="AH8" s="6">
        <f>JUN!AI8</f>
        <v>22</v>
      </c>
      <c r="AI8" s="15">
        <f t="shared" si="3"/>
        <v>0</v>
      </c>
      <c r="AJ8" s="15">
        <f t="shared" si="2"/>
        <v>22</v>
      </c>
    </row>
    <row r="9" spans="1:36" ht="15" customHeight="1">
      <c r="A9" s="22" t="s">
        <v>19</v>
      </c>
      <c r="B9" s="3" t="s">
        <v>11</v>
      </c>
      <c r="C9" s="3" t="s">
        <v>11</v>
      </c>
      <c r="D9" s="3" t="s">
        <v>11</v>
      </c>
      <c r="E9" s="3" t="s">
        <v>11</v>
      </c>
      <c r="F9" s="14" t="s">
        <v>8</v>
      </c>
      <c r="G9" s="14" t="s">
        <v>8</v>
      </c>
      <c r="H9" s="7" t="s">
        <v>15</v>
      </c>
      <c r="I9" s="7" t="s">
        <v>15</v>
      </c>
      <c r="J9" s="7" t="s">
        <v>15</v>
      </c>
      <c r="K9" s="7" t="s">
        <v>15</v>
      </c>
      <c r="L9" s="14" t="s">
        <v>8</v>
      </c>
      <c r="M9" s="14" t="s">
        <v>8</v>
      </c>
      <c r="N9" s="3" t="s">
        <v>11</v>
      </c>
      <c r="O9" s="3" t="s">
        <v>11</v>
      </c>
      <c r="P9" s="3" t="s">
        <v>11</v>
      </c>
      <c r="Q9" s="3" t="s">
        <v>11</v>
      </c>
      <c r="R9" s="3" t="s">
        <v>11</v>
      </c>
      <c r="S9" s="14" t="s">
        <v>8</v>
      </c>
      <c r="T9" s="14" t="s">
        <v>8</v>
      </c>
      <c r="U9" s="7" t="s">
        <v>15</v>
      </c>
      <c r="V9" s="7" t="s">
        <v>15</v>
      </c>
      <c r="W9" s="7" t="s">
        <v>15</v>
      </c>
      <c r="X9" s="7" t="s">
        <v>15</v>
      </c>
      <c r="Y9" s="14" t="s">
        <v>8</v>
      </c>
      <c r="Z9" s="14" t="s">
        <v>8</v>
      </c>
      <c r="AA9" s="3" t="s">
        <v>11</v>
      </c>
      <c r="AB9" s="3" t="s">
        <v>11</v>
      </c>
      <c r="AC9" s="3" t="s">
        <v>11</v>
      </c>
      <c r="AD9" s="3" t="s">
        <v>11</v>
      </c>
      <c r="AE9" s="14" t="s">
        <v>8</v>
      </c>
      <c r="AF9" s="14" t="s">
        <v>8</v>
      </c>
      <c r="AH9" s="6">
        <f>JUN!AI9</f>
        <v>22</v>
      </c>
      <c r="AI9" s="15">
        <f t="shared" si="3"/>
        <v>0</v>
      </c>
      <c r="AJ9" s="15">
        <f t="shared" si="2"/>
        <v>22</v>
      </c>
    </row>
    <row r="10" spans="1:36" s="16" customFormat="1" ht="15" customHeight="1">
      <c r="A10" s="22" t="s">
        <v>20</v>
      </c>
      <c r="B10" s="14" t="s">
        <v>8</v>
      </c>
      <c r="C10" s="14" t="s">
        <v>8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14" t="s">
        <v>8</v>
      </c>
      <c r="J10" s="14" t="s">
        <v>8</v>
      </c>
      <c r="K10" s="3" t="s">
        <v>11</v>
      </c>
      <c r="L10" s="3" t="s">
        <v>11</v>
      </c>
      <c r="M10" s="3" t="s">
        <v>11</v>
      </c>
      <c r="N10" s="3" t="s">
        <v>11</v>
      </c>
      <c r="O10" s="14" t="s">
        <v>8</v>
      </c>
      <c r="P10" s="14" t="s">
        <v>8</v>
      </c>
      <c r="Q10" s="7" t="s">
        <v>15</v>
      </c>
      <c r="R10" s="7" t="s">
        <v>15</v>
      </c>
      <c r="S10" s="7" t="s">
        <v>15</v>
      </c>
      <c r="T10" s="7" t="s">
        <v>15</v>
      </c>
      <c r="U10" s="14" t="s">
        <v>8</v>
      </c>
      <c r="V10" s="14" t="s">
        <v>8</v>
      </c>
      <c r="W10" s="3" t="s">
        <v>11</v>
      </c>
      <c r="X10" s="3" t="s">
        <v>11</v>
      </c>
      <c r="Y10" s="3" t="s">
        <v>11</v>
      </c>
      <c r="Z10" s="3" t="s">
        <v>11</v>
      </c>
      <c r="AA10" s="3" t="s">
        <v>11</v>
      </c>
      <c r="AB10" s="14" t="s">
        <v>8</v>
      </c>
      <c r="AC10" s="14" t="s">
        <v>8</v>
      </c>
      <c r="AD10" s="7" t="s">
        <v>15</v>
      </c>
      <c r="AE10" s="7" t="s">
        <v>15</v>
      </c>
      <c r="AF10" s="7" t="s">
        <v>15</v>
      </c>
      <c r="AG10" s="13"/>
      <c r="AH10" s="6">
        <f>JUN!AI10</f>
        <v>22</v>
      </c>
      <c r="AI10" s="15">
        <f t="shared" si="3"/>
        <v>0</v>
      </c>
      <c r="AJ10" s="15">
        <f t="shared" si="2"/>
        <v>22</v>
      </c>
    </row>
    <row r="11" spans="1:36" ht="15" customHeight="1">
      <c r="A11" s="22" t="s">
        <v>21</v>
      </c>
      <c r="B11" s="14" t="s">
        <v>8</v>
      </c>
      <c r="C11" s="3" t="s">
        <v>11</v>
      </c>
      <c r="D11" s="3" t="s">
        <v>11</v>
      </c>
      <c r="E11" s="3" t="s">
        <v>11</v>
      </c>
      <c r="F11" s="3" t="s">
        <v>11</v>
      </c>
      <c r="G11" s="14" t="s">
        <v>8</v>
      </c>
      <c r="H11" s="14" t="s">
        <v>8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  <c r="N11" s="14" t="s">
        <v>8</v>
      </c>
      <c r="O11" s="14" t="s">
        <v>8</v>
      </c>
      <c r="P11" s="3" t="s">
        <v>11</v>
      </c>
      <c r="Q11" s="3" t="s">
        <v>11</v>
      </c>
      <c r="R11" s="3" t="s">
        <v>11</v>
      </c>
      <c r="S11" s="3" t="s">
        <v>11</v>
      </c>
      <c r="T11" s="14" t="s">
        <v>8</v>
      </c>
      <c r="U11" s="14" t="s">
        <v>8</v>
      </c>
      <c r="V11" s="7" t="s">
        <v>15</v>
      </c>
      <c r="W11" s="7" t="s">
        <v>15</v>
      </c>
      <c r="X11" s="7" t="s">
        <v>15</v>
      </c>
      <c r="Y11" s="7" t="s">
        <v>15</v>
      </c>
      <c r="Z11" s="14" t="s">
        <v>8</v>
      </c>
      <c r="AA11" s="14" t="s">
        <v>8</v>
      </c>
      <c r="AB11" s="3" t="s">
        <v>11</v>
      </c>
      <c r="AC11" s="3" t="s">
        <v>11</v>
      </c>
      <c r="AD11" s="3" t="s">
        <v>11</v>
      </c>
      <c r="AE11" s="3" t="s">
        <v>11</v>
      </c>
      <c r="AF11" s="3" t="s">
        <v>11</v>
      </c>
      <c r="AH11" s="6">
        <f>JUN!AI11</f>
        <v>22</v>
      </c>
      <c r="AI11" s="15">
        <f>COUNTIF(B11:AF11,"U")</f>
        <v>0</v>
      </c>
      <c r="AJ11" s="15">
        <f t="shared" si="2"/>
        <v>22</v>
      </c>
    </row>
    <row r="13" spans="1:36">
      <c r="A13" s="3" t="s">
        <v>22</v>
      </c>
      <c r="B13" s="14">
        <f>COUNTIF(B4:B11,"P06")</f>
        <v>1</v>
      </c>
      <c r="C13" s="14">
        <f t="shared" ref="C13:AF13" si="4">COUNTIF(C4:C11,"P06")</f>
        <v>2</v>
      </c>
      <c r="D13" s="14">
        <f t="shared" si="4"/>
        <v>2</v>
      </c>
      <c r="E13" s="14">
        <f t="shared" si="4"/>
        <v>3</v>
      </c>
      <c r="F13" s="14">
        <f t="shared" si="4"/>
        <v>2</v>
      </c>
      <c r="G13" s="14">
        <f t="shared" si="4"/>
        <v>2</v>
      </c>
      <c r="H13" s="14">
        <f t="shared" si="4"/>
        <v>2</v>
      </c>
      <c r="I13" s="14">
        <f t="shared" si="4"/>
        <v>1</v>
      </c>
      <c r="J13" s="14">
        <f t="shared" si="4"/>
        <v>1</v>
      </c>
      <c r="K13" s="14">
        <f t="shared" si="4"/>
        <v>2</v>
      </c>
      <c r="L13" s="14">
        <f t="shared" si="4"/>
        <v>1</v>
      </c>
      <c r="M13" s="14">
        <f t="shared" si="4"/>
        <v>1</v>
      </c>
      <c r="N13" s="14">
        <f t="shared" si="4"/>
        <v>2</v>
      </c>
      <c r="O13" s="14">
        <f t="shared" si="4"/>
        <v>1</v>
      </c>
      <c r="P13" s="14">
        <f t="shared" si="4"/>
        <v>2</v>
      </c>
      <c r="Q13" s="14">
        <f t="shared" si="4"/>
        <v>2</v>
      </c>
      <c r="R13" s="14">
        <f t="shared" si="4"/>
        <v>3</v>
      </c>
      <c r="S13" s="14">
        <f t="shared" si="4"/>
        <v>2</v>
      </c>
      <c r="T13" s="14">
        <f t="shared" si="4"/>
        <v>2</v>
      </c>
      <c r="U13" s="14">
        <f t="shared" si="4"/>
        <v>2</v>
      </c>
      <c r="V13" s="14">
        <f t="shared" si="4"/>
        <v>1</v>
      </c>
      <c r="W13" s="14">
        <f t="shared" si="4"/>
        <v>2</v>
      </c>
      <c r="X13" s="14">
        <f t="shared" si="4"/>
        <v>2</v>
      </c>
      <c r="Y13" s="14">
        <f t="shared" si="4"/>
        <v>1</v>
      </c>
      <c r="Z13" s="14">
        <f t="shared" si="4"/>
        <v>1</v>
      </c>
      <c r="AA13" s="14">
        <f t="shared" si="4"/>
        <v>2</v>
      </c>
      <c r="AB13" s="14">
        <f t="shared" si="4"/>
        <v>2</v>
      </c>
      <c r="AC13" s="14">
        <f t="shared" si="4"/>
        <v>2</v>
      </c>
      <c r="AD13" s="14">
        <f t="shared" si="4"/>
        <v>3</v>
      </c>
      <c r="AE13" s="14">
        <f t="shared" si="4"/>
        <v>2</v>
      </c>
      <c r="AF13" s="14">
        <f t="shared" si="4"/>
        <v>2</v>
      </c>
    </row>
    <row r="14" spans="1:36">
      <c r="A14" s="7" t="s">
        <v>23</v>
      </c>
      <c r="B14" s="14">
        <f>COUNTIF(B4:B11,"P14")</f>
        <v>2</v>
      </c>
      <c r="C14" s="14">
        <f t="shared" ref="C14:AF14" si="5">COUNTIF(C4:C11,"P14")</f>
        <v>1</v>
      </c>
      <c r="D14" s="14">
        <f t="shared" si="5"/>
        <v>2</v>
      </c>
      <c r="E14" s="14">
        <f t="shared" si="5"/>
        <v>1</v>
      </c>
      <c r="F14" s="14">
        <f t="shared" si="5"/>
        <v>1</v>
      </c>
      <c r="G14" s="14">
        <f t="shared" si="5"/>
        <v>1</v>
      </c>
      <c r="H14" s="14">
        <f t="shared" si="5"/>
        <v>2</v>
      </c>
      <c r="I14" s="14">
        <f t="shared" si="5"/>
        <v>2</v>
      </c>
      <c r="J14" s="14">
        <f t="shared" si="5"/>
        <v>2</v>
      </c>
      <c r="K14" s="14">
        <f t="shared" si="5"/>
        <v>3</v>
      </c>
      <c r="L14" s="14">
        <f t="shared" si="5"/>
        <v>2</v>
      </c>
      <c r="M14" s="14">
        <f t="shared" si="5"/>
        <v>2</v>
      </c>
      <c r="N14" s="14">
        <f t="shared" si="5"/>
        <v>2</v>
      </c>
      <c r="O14" s="14">
        <f t="shared" si="5"/>
        <v>2</v>
      </c>
      <c r="P14" s="14">
        <f t="shared" si="5"/>
        <v>1</v>
      </c>
      <c r="Q14" s="14">
        <f t="shared" si="5"/>
        <v>2</v>
      </c>
      <c r="R14" s="14">
        <f t="shared" si="5"/>
        <v>1</v>
      </c>
      <c r="S14" s="14">
        <f t="shared" si="5"/>
        <v>1</v>
      </c>
      <c r="T14" s="14">
        <f t="shared" si="5"/>
        <v>1</v>
      </c>
      <c r="U14" s="14">
        <f t="shared" si="5"/>
        <v>1</v>
      </c>
      <c r="V14" s="14">
        <f t="shared" si="5"/>
        <v>2</v>
      </c>
      <c r="W14" s="14">
        <f t="shared" si="5"/>
        <v>2</v>
      </c>
      <c r="X14" s="14">
        <f t="shared" si="5"/>
        <v>3</v>
      </c>
      <c r="Y14" s="14">
        <f t="shared" si="5"/>
        <v>2</v>
      </c>
      <c r="Z14" s="14">
        <f t="shared" si="5"/>
        <v>1</v>
      </c>
      <c r="AA14" s="14">
        <f t="shared" si="5"/>
        <v>2</v>
      </c>
      <c r="AB14" s="14">
        <f t="shared" si="5"/>
        <v>1</v>
      </c>
      <c r="AC14" s="14">
        <f t="shared" si="5"/>
        <v>1</v>
      </c>
      <c r="AD14" s="14">
        <f t="shared" si="5"/>
        <v>2</v>
      </c>
      <c r="AE14" s="14">
        <f t="shared" si="5"/>
        <v>1</v>
      </c>
      <c r="AF14" s="14">
        <f t="shared" si="5"/>
        <v>1</v>
      </c>
    </row>
    <row r="15" spans="1:36" ht="13.5" thickBot="1"/>
    <row r="16" spans="1:36">
      <c r="E16" s="42"/>
      <c r="F16" s="46" t="s">
        <v>24</v>
      </c>
      <c r="G16" s="59"/>
      <c r="H16" s="46" t="s">
        <v>25</v>
      </c>
      <c r="I16" s="47"/>
      <c r="M16" s="6" t="s">
        <v>8</v>
      </c>
      <c r="N16" s="24" t="s">
        <v>26</v>
      </c>
      <c r="O16" s="25"/>
      <c r="P16" s="25"/>
      <c r="Q16" s="25"/>
      <c r="R16" s="25"/>
      <c r="S16" s="4" t="s">
        <v>27</v>
      </c>
      <c r="T16" s="26" t="s">
        <v>28</v>
      </c>
      <c r="U16" s="27"/>
      <c r="V16" s="27"/>
      <c r="W16" s="27"/>
      <c r="X16" s="28"/>
      <c r="Z16" s="60" t="s">
        <v>29</v>
      </c>
      <c r="AA16" s="61"/>
      <c r="AB16" s="61"/>
      <c r="AC16" s="61"/>
      <c r="AD16" s="61"/>
      <c r="AE16" s="61"/>
      <c r="AF16" s="61"/>
    </row>
    <row r="17" spans="5:32">
      <c r="E17" s="3" t="s">
        <v>11</v>
      </c>
      <c r="F17" s="48" t="s">
        <v>30</v>
      </c>
      <c r="G17" s="58"/>
      <c r="H17" s="48" t="s">
        <v>31</v>
      </c>
      <c r="I17" s="49"/>
      <c r="M17" s="11" t="s">
        <v>32</v>
      </c>
      <c r="N17" s="17" t="s">
        <v>33</v>
      </c>
      <c r="O17" s="29"/>
      <c r="P17" s="29"/>
      <c r="Q17" s="29"/>
      <c r="R17" s="29"/>
      <c r="S17" s="4" t="s">
        <v>34</v>
      </c>
      <c r="T17" s="17" t="s">
        <v>35</v>
      </c>
      <c r="U17" s="29"/>
      <c r="V17" s="29"/>
      <c r="W17" s="29"/>
      <c r="X17" s="19"/>
      <c r="Z17" s="62"/>
      <c r="AA17" s="63"/>
      <c r="AB17" s="63"/>
      <c r="AC17" s="63"/>
      <c r="AD17" s="63"/>
      <c r="AE17" s="63"/>
      <c r="AF17" s="63"/>
    </row>
    <row r="18" spans="5:32">
      <c r="E18" s="5" t="s">
        <v>10</v>
      </c>
      <c r="F18" s="50" t="s">
        <v>36</v>
      </c>
      <c r="G18" s="52"/>
      <c r="H18" s="50" t="s">
        <v>37</v>
      </c>
      <c r="I18" s="51"/>
      <c r="M18" s="23" t="s">
        <v>6</v>
      </c>
      <c r="N18" s="18" t="s">
        <v>38</v>
      </c>
      <c r="O18" s="30"/>
      <c r="P18" s="30"/>
      <c r="Q18" s="30"/>
      <c r="R18" s="30"/>
      <c r="S18" s="6" t="s">
        <v>39</v>
      </c>
      <c r="T18" s="17" t="s">
        <v>40</v>
      </c>
      <c r="U18" s="29"/>
      <c r="V18" s="29"/>
      <c r="W18" s="29"/>
      <c r="X18" s="19"/>
      <c r="Z18" s="62"/>
      <c r="AA18" s="63"/>
      <c r="AB18" s="63"/>
      <c r="AC18" s="63"/>
      <c r="AD18" s="63"/>
      <c r="AE18" s="63"/>
      <c r="AF18" s="63"/>
    </row>
    <row r="19" spans="5:32">
      <c r="E19" s="5" t="s">
        <v>9</v>
      </c>
      <c r="F19" s="50" t="s">
        <v>41</v>
      </c>
      <c r="G19" s="52"/>
      <c r="H19" s="50" t="s">
        <v>42</v>
      </c>
      <c r="I19" s="51"/>
      <c r="M19" s="31" t="s">
        <v>16</v>
      </c>
      <c r="N19" s="17" t="s">
        <v>43</v>
      </c>
      <c r="O19" s="29"/>
      <c r="P19" s="29"/>
      <c r="Q19" s="29"/>
      <c r="R19" s="29"/>
      <c r="S19" s="6" t="s">
        <v>44</v>
      </c>
      <c r="T19" s="17" t="s">
        <v>40</v>
      </c>
      <c r="U19" s="29"/>
      <c r="V19" s="29"/>
      <c r="W19" s="29"/>
      <c r="X19" s="19"/>
    </row>
    <row r="20" spans="5:32">
      <c r="E20" s="7" t="s">
        <v>15</v>
      </c>
      <c r="F20" s="50" t="s">
        <v>45</v>
      </c>
      <c r="G20" s="52"/>
      <c r="H20" s="50" t="s">
        <v>46</v>
      </c>
      <c r="I20" s="51"/>
      <c r="M20" s="31" t="s">
        <v>7</v>
      </c>
      <c r="N20" s="17" t="s">
        <v>47</v>
      </c>
      <c r="O20" s="29"/>
      <c r="P20" s="29"/>
      <c r="Q20" s="29"/>
      <c r="R20" s="19"/>
      <c r="S20" s="6" t="s">
        <v>48</v>
      </c>
      <c r="T20" s="17" t="s">
        <v>40</v>
      </c>
      <c r="U20" s="29"/>
      <c r="V20" s="29"/>
      <c r="W20" s="29"/>
      <c r="X20" s="19"/>
    </row>
    <row r="21" spans="5:32">
      <c r="E21" s="8" t="s">
        <v>49</v>
      </c>
      <c r="F21" s="53" t="s">
        <v>50</v>
      </c>
      <c r="G21" s="54"/>
      <c r="H21" s="53" t="s">
        <v>51</v>
      </c>
      <c r="I21" s="55"/>
      <c r="M21" s="32" t="s">
        <v>6</v>
      </c>
      <c r="N21" s="17" t="s">
        <v>52</v>
      </c>
      <c r="O21" s="29"/>
      <c r="P21" s="29"/>
      <c r="Q21" s="29"/>
      <c r="R21" s="29"/>
      <c r="S21" s="20" t="s">
        <v>53</v>
      </c>
      <c r="T21" s="17" t="s">
        <v>54</v>
      </c>
      <c r="U21" s="29"/>
      <c r="V21" s="29"/>
      <c r="W21" s="29"/>
      <c r="X21" s="19"/>
    </row>
    <row r="22" spans="5:32">
      <c r="M22" s="32" t="s">
        <v>16</v>
      </c>
      <c r="N22" s="17" t="s">
        <v>55</v>
      </c>
      <c r="O22" s="29"/>
      <c r="P22" s="29"/>
      <c r="Q22" s="29"/>
      <c r="R22" s="29"/>
      <c r="S22" s="9" t="s">
        <v>56</v>
      </c>
      <c r="T22" s="17" t="s">
        <v>54</v>
      </c>
      <c r="U22" s="29"/>
      <c r="V22" s="29"/>
      <c r="W22" s="29"/>
      <c r="X22" s="19"/>
    </row>
    <row r="23" spans="5:32">
      <c r="M23" s="33" t="s">
        <v>18</v>
      </c>
      <c r="N23" s="17" t="s">
        <v>57</v>
      </c>
      <c r="O23" s="29"/>
      <c r="P23" s="29"/>
      <c r="Q23" s="29"/>
      <c r="R23" s="29"/>
      <c r="S23" s="9" t="s">
        <v>58</v>
      </c>
      <c r="T23" s="17" t="s">
        <v>54</v>
      </c>
      <c r="U23" s="29"/>
      <c r="V23" s="29"/>
      <c r="W23" s="29"/>
      <c r="X23" s="19"/>
    </row>
    <row r="24" spans="5:32">
      <c r="M24" s="33" t="s">
        <v>59</v>
      </c>
      <c r="N24" s="17" t="s">
        <v>60</v>
      </c>
      <c r="O24" s="29"/>
      <c r="P24" s="29"/>
      <c r="Q24" s="29"/>
      <c r="R24" s="29"/>
      <c r="S24" s="9" t="s">
        <v>61</v>
      </c>
      <c r="T24" s="17" t="s">
        <v>54</v>
      </c>
      <c r="U24" s="29"/>
      <c r="V24" s="29"/>
      <c r="W24" s="29"/>
      <c r="X24" s="19"/>
    </row>
    <row r="25" spans="5:32">
      <c r="M25" s="34" t="s">
        <v>62</v>
      </c>
      <c r="N25" s="17" t="s">
        <v>63</v>
      </c>
      <c r="O25" s="29"/>
      <c r="P25" s="29"/>
      <c r="Q25" s="29"/>
      <c r="R25" s="29"/>
      <c r="S25" s="10" t="s">
        <v>64</v>
      </c>
      <c r="T25" s="17" t="s">
        <v>54</v>
      </c>
      <c r="U25" s="29"/>
      <c r="V25" s="29"/>
      <c r="W25" s="29"/>
      <c r="X25" s="19"/>
    </row>
    <row r="26" spans="5:32">
      <c r="M26" s="35" t="s">
        <v>65</v>
      </c>
      <c r="N26" s="17" t="s">
        <v>66</v>
      </c>
      <c r="O26" s="29"/>
      <c r="P26" s="29"/>
      <c r="Q26" s="29"/>
      <c r="R26" s="29"/>
      <c r="S26" s="6" t="s">
        <v>67</v>
      </c>
      <c r="T26" s="17" t="s">
        <v>54</v>
      </c>
      <c r="U26" s="29"/>
      <c r="V26" s="29"/>
      <c r="W26" s="29"/>
      <c r="X26" s="19"/>
    </row>
    <row r="27" spans="5:32">
      <c r="M27" s="36" t="s">
        <v>68</v>
      </c>
      <c r="N27" s="17" t="s">
        <v>69</v>
      </c>
      <c r="O27" s="29"/>
      <c r="P27" s="29"/>
      <c r="Q27" s="29"/>
      <c r="R27" s="29"/>
      <c r="S27" s="6" t="s">
        <v>70</v>
      </c>
      <c r="T27" s="17" t="s">
        <v>54</v>
      </c>
      <c r="U27" s="29"/>
      <c r="V27" s="29"/>
      <c r="W27" s="29"/>
      <c r="X27" s="19"/>
    </row>
    <row r="28" spans="5:32">
      <c r="M28" s="37" t="s">
        <v>71</v>
      </c>
      <c r="N28" s="18" t="s">
        <v>72</v>
      </c>
      <c r="O28" s="30"/>
      <c r="P28" s="30"/>
      <c r="Q28" s="30"/>
      <c r="R28" s="30"/>
      <c r="S28" s="11" t="s">
        <v>73</v>
      </c>
      <c r="T28" s="17" t="s">
        <v>54</v>
      </c>
      <c r="U28" s="29"/>
      <c r="V28" s="29"/>
      <c r="W28" s="29"/>
      <c r="X28" s="19"/>
    </row>
    <row r="29" spans="5:32">
      <c r="M29" s="10" t="s">
        <v>74</v>
      </c>
      <c r="N29" s="17" t="s">
        <v>75</v>
      </c>
      <c r="O29" s="29"/>
      <c r="P29" s="29"/>
      <c r="Q29" s="29"/>
      <c r="R29" s="29"/>
      <c r="S29" s="6" t="s">
        <v>76</v>
      </c>
      <c r="T29" s="17" t="s">
        <v>54</v>
      </c>
      <c r="U29" s="29"/>
      <c r="V29" s="29"/>
      <c r="W29" s="29"/>
      <c r="X29" s="19"/>
    </row>
    <row r="30" spans="5:32">
      <c r="M30" s="37" t="s">
        <v>77</v>
      </c>
      <c r="N30" s="38" t="s">
        <v>78</v>
      </c>
      <c r="O30" s="39"/>
      <c r="P30" s="39"/>
      <c r="Q30" s="39"/>
      <c r="R30" s="39"/>
      <c r="S30" s="40" t="s">
        <v>79</v>
      </c>
      <c r="T30" s="38" t="s">
        <v>80</v>
      </c>
      <c r="U30" s="39"/>
      <c r="V30" s="39"/>
      <c r="W30" s="39"/>
      <c r="X30" s="41"/>
    </row>
  </sheetData>
  <mergeCells count="16">
    <mergeCell ref="F20:G20"/>
    <mergeCell ref="H20:I20"/>
    <mergeCell ref="F21:G21"/>
    <mergeCell ref="H21:I21"/>
    <mergeCell ref="F17:G17"/>
    <mergeCell ref="H17:I17"/>
    <mergeCell ref="F18:G18"/>
    <mergeCell ref="H18:I18"/>
    <mergeCell ref="F19:G19"/>
    <mergeCell ref="H19:I19"/>
    <mergeCell ref="A1:AF1"/>
    <mergeCell ref="A2:A3"/>
    <mergeCell ref="AH2:AJ2"/>
    <mergeCell ref="F16:G16"/>
    <mergeCell ref="H16:I16"/>
    <mergeCell ref="Z16:AF18"/>
  </mergeCells>
  <conditionalFormatting sqref="B2:AF3">
    <cfRule type="expression" dxfId="17" priority="3">
      <formula>WEEKDAY(DATE(YEAR($A$2),MONTH($A$2),B$2),2)&gt;5</formula>
    </cfRule>
  </conditionalFormatting>
  <conditionalFormatting sqref="B13:AF14">
    <cfRule type="cellIs" dxfId="16" priority="1" operator="equal">
      <formula>0</formula>
    </cfRule>
    <cfRule type="cellIs" dxfId="15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EAB3-631D-4EF6-BC51-2393221BAB2E}">
  <dimension ref="A1:AJ30"/>
  <sheetViews>
    <sheetView zoomScale="85" zoomScaleNormal="85" workbookViewId="0">
      <pane xSplit="1" ySplit="3" topLeftCell="B4" activePane="bottomRight" state="frozen"/>
      <selection pane="bottomRight" activeCell="AI12" sqref="AI12"/>
      <selection pane="bottomLeft"/>
      <selection pane="topRight"/>
    </sheetView>
  </sheetViews>
  <sheetFormatPr defaultColWidth="9.140625" defaultRowHeight="12.95"/>
  <cols>
    <col min="1" max="1" width="30.7109375" style="13" customWidth="1"/>
    <col min="2" max="36" width="6.7109375" style="13" customWidth="1"/>
    <col min="37" max="16384" width="9.140625" style="13"/>
  </cols>
  <sheetData>
    <row r="1" spans="1:36" ht="1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12"/>
      <c r="AH1" s="12"/>
      <c r="AI1" s="12"/>
      <c r="AJ1" s="12"/>
    </row>
    <row r="2" spans="1:36" ht="15" customHeight="1">
      <c r="A2" s="57">
        <v>46235</v>
      </c>
      <c r="B2" s="21">
        <f>IF(COLUMN(A1)&lt;=DAY(EOMONTH($A$2,0)),COLUMN(A1),"")</f>
        <v>1</v>
      </c>
      <c r="C2" s="21">
        <f t="shared" ref="C2:AF2" si="0">IF(COLUMN(B1)&lt;=DAY(EOMONTH($A$2,0)),COLUMN(B1),"")</f>
        <v>2</v>
      </c>
      <c r="D2" s="21">
        <f t="shared" si="0"/>
        <v>3</v>
      </c>
      <c r="E2" s="21">
        <f t="shared" si="0"/>
        <v>4</v>
      </c>
      <c r="F2" s="21">
        <f t="shared" si="0"/>
        <v>5</v>
      </c>
      <c r="G2" s="21">
        <f t="shared" si="0"/>
        <v>6</v>
      </c>
      <c r="H2" s="21">
        <f t="shared" si="0"/>
        <v>7</v>
      </c>
      <c r="I2" s="21">
        <f t="shared" si="0"/>
        <v>8</v>
      </c>
      <c r="J2" s="21">
        <f t="shared" si="0"/>
        <v>9</v>
      </c>
      <c r="K2" s="21">
        <f t="shared" si="0"/>
        <v>10</v>
      </c>
      <c r="L2" s="21">
        <f t="shared" si="0"/>
        <v>11</v>
      </c>
      <c r="M2" s="21">
        <f t="shared" si="0"/>
        <v>12</v>
      </c>
      <c r="N2" s="21">
        <f t="shared" si="0"/>
        <v>13</v>
      </c>
      <c r="O2" s="21">
        <f t="shared" si="0"/>
        <v>14</v>
      </c>
      <c r="P2" s="23">
        <f t="shared" si="0"/>
        <v>15</v>
      </c>
      <c r="Q2" s="21">
        <f t="shared" si="0"/>
        <v>16</v>
      </c>
      <c r="R2" s="21">
        <f t="shared" si="0"/>
        <v>17</v>
      </c>
      <c r="S2" s="21">
        <f t="shared" si="0"/>
        <v>18</v>
      </c>
      <c r="T2" s="21">
        <f t="shared" si="0"/>
        <v>19</v>
      </c>
      <c r="U2" s="21">
        <f t="shared" si="0"/>
        <v>20</v>
      </c>
      <c r="V2" s="21">
        <f t="shared" si="0"/>
        <v>21</v>
      </c>
      <c r="W2" s="21">
        <f t="shared" si="0"/>
        <v>22</v>
      </c>
      <c r="X2" s="21">
        <f t="shared" si="0"/>
        <v>23</v>
      </c>
      <c r="Y2" s="21">
        <f t="shared" si="0"/>
        <v>24</v>
      </c>
      <c r="Z2" s="21">
        <f t="shared" si="0"/>
        <v>25</v>
      </c>
      <c r="AA2" s="21">
        <f t="shared" si="0"/>
        <v>26</v>
      </c>
      <c r="AB2" s="21">
        <f t="shared" si="0"/>
        <v>27</v>
      </c>
      <c r="AC2" s="21">
        <f t="shared" si="0"/>
        <v>28</v>
      </c>
      <c r="AD2" s="21">
        <f t="shared" si="0"/>
        <v>29</v>
      </c>
      <c r="AE2" s="21">
        <f t="shared" si="0"/>
        <v>30</v>
      </c>
      <c r="AF2" s="21">
        <f t="shared" si="0"/>
        <v>31</v>
      </c>
      <c r="AH2" s="44" t="s">
        <v>2</v>
      </c>
      <c r="AI2" s="45"/>
      <c r="AJ2" s="45"/>
    </row>
    <row r="3" spans="1:36" ht="15" customHeight="1">
      <c r="A3" s="57"/>
      <c r="B3" s="21" t="str">
        <f>UPPER(LEFT(TEXT(DATE(YEAR($A$2),MONTH($A$2),B2),"DDD"),2))</f>
        <v>SA</v>
      </c>
      <c r="C3" s="21" t="str">
        <f t="shared" ref="C3:AF3" si="1">UPPER(LEFT(TEXT(DATE(YEAR($A$2),MONTH($A$2),C2),"DDD"),2))</f>
        <v>SU</v>
      </c>
      <c r="D3" s="21" t="str">
        <f t="shared" si="1"/>
        <v>MO</v>
      </c>
      <c r="E3" s="21" t="str">
        <f t="shared" si="1"/>
        <v>TU</v>
      </c>
      <c r="F3" s="21" t="str">
        <f t="shared" si="1"/>
        <v>WE</v>
      </c>
      <c r="G3" s="21" t="str">
        <f t="shared" si="1"/>
        <v>TH</v>
      </c>
      <c r="H3" s="21" t="str">
        <f t="shared" si="1"/>
        <v>FR</v>
      </c>
      <c r="I3" s="21" t="str">
        <f t="shared" si="1"/>
        <v>SA</v>
      </c>
      <c r="J3" s="21" t="str">
        <f t="shared" si="1"/>
        <v>SU</v>
      </c>
      <c r="K3" s="21" t="str">
        <f t="shared" si="1"/>
        <v>MO</v>
      </c>
      <c r="L3" s="21" t="str">
        <f t="shared" si="1"/>
        <v>TU</v>
      </c>
      <c r="M3" s="21" t="str">
        <f t="shared" si="1"/>
        <v>WE</v>
      </c>
      <c r="N3" s="21" t="str">
        <f t="shared" si="1"/>
        <v>TH</v>
      </c>
      <c r="O3" s="21" t="str">
        <f t="shared" si="1"/>
        <v>FR</v>
      </c>
      <c r="P3" s="23" t="str">
        <f t="shared" si="1"/>
        <v>SA</v>
      </c>
      <c r="Q3" s="21" t="str">
        <f t="shared" si="1"/>
        <v>SU</v>
      </c>
      <c r="R3" s="21" t="str">
        <f t="shared" si="1"/>
        <v>MO</v>
      </c>
      <c r="S3" s="21" t="str">
        <f t="shared" si="1"/>
        <v>TU</v>
      </c>
      <c r="T3" s="21" t="str">
        <f t="shared" si="1"/>
        <v>WE</v>
      </c>
      <c r="U3" s="21" t="str">
        <f t="shared" si="1"/>
        <v>TH</v>
      </c>
      <c r="V3" s="21" t="str">
        <f t="shared" si="1"/>
        <v>FR</v>
      </c>
      <c r="W3" s="21" t="str">
        <f t="shared" si="1"/>
        <v>SA</v>
      </c>
      <c r="X3" s="21" t="str">
        <f t="shared" si="1"/>
        <v>SU</v>
      </c>
      <c r="Y3" s="21" t="str">
        <f t="shared" si="1"/>
        <v>MO</v>
      </c>
      <c r="Z3" s="21" t="str">
        <f t="shared" si="1"/>
        <v>TU</v>
      </c>
      <c r="AA3" s="21" t="str">
        <f t="shared" si="1"/>
        <v>WE</v>
      </c>
      <c r="AB3" s="21" t="str">
        <f t="shared" si="1"/>
        <v>TH</v>
      </c>
      <c r="AC3" s="21" t="str">
        <f t="shared" si="1"/>
        <v>FR</v>
      </c>
      <c r="AD3" s="21" t="str">
        <f t="shared" si="1"/>
        <v>SA</v>
      </c>
      <c r="AE3" s="21" t="str">
        <f t="shared" si="1"/>
        <v>SU</v>
      </c>
      <c r="AF3" s="21" t="str">
        <f t="shared" si="1"/>
        <v>MO</v>
      </c>
      <c r="AH3" s="1">
        <v>2026</v>
      </c>
      <c r="AI3" s="2" t="s">
        <v>3</v>
      </c>
      <c r="AJ3" s="2" t="s">
        <v>4</v>
      </c>
    </row>
    <row r="4" spans="1:36" ht="15" customHeight="1">
      <c r="A4" s="22" t="s">
        <v>5</v>
      </c>
      <c r="B4" s="14" t="s">
        <v>8</v>
      </c>
      <c r="C4" s="14" t="s">
        <v>8</v>
      </c>
      <c r="D4" s="5" t="s">
        <v>10</v>
      </c>
      <c r="E4" s="5" t="s">
        <v>10</v>
      </c>
      <c r="F4" s="5" t="s">
        <v>10</v>
      </c>
      <c r="G4" s="5" t="s">
        <v>10</v>
      </c>
      <c r="H4" s="5" t="s">
        <v>10</v>
      </c>
      <c r="I4" s="14" t="s">
        <v>8</v>
      </c>
      <c r="J4" s="14" t="s">
        <v>8</v>
      </c>
      <c r="K4" s="5" t="s">
        <v>10</v>
      </c>
      <c r="L4" s="5" t="s">
        <v>10</v>
      </c>
      <c r="M4" s="5" t="s">
        <v>10</v>
      </c>
      <c r="N4" s="5" t="s">
        <v>10</v>
      </c>
      <c r="O4" s="5" t="s">
        <v>10</v>
      </c>
      <c r="P4" s="14" t="s">
        <v>8</v>
      </c>
      <c r="Q4" s="14" t="s">
        <v>8</v>
      </c>
      <c r="R4" s="5" t="s">
        <v>10</v>
      </c>
      <c r="S4" s="5" t="s">
        <v>10</v>
      </c>
      <c r="T4" s="5" t="s">
        <v>10</v>
      </c>
      <c r="U4" s="5" t="s">
        <v>10</v>
      </c>
      <c r="V4" s="5" t="s">
        <v>10</v>
      </c>
      <c r="W4" s="14" t="s">
        <v>8</v>
      </c>
      <c r="X4" s="14" t="s">
        <v>8</v>
      </c>
      <c r="Y4" s="5" t="s">
        <v>10</v>
      </c>
      <c r="Z4" s="5" t="s">
        <v>10</v>
      </c>
      <c r="AA4" s="5" t="s">
        <v>10</v>
      </c>
      <c r="AB4" s="5" t="s">
        <v>10</v>
      </c>
      <c r="AC4" s="5" t="s">
        <v>10</v>
      </c>
      <c r="AD4" s="14" t="s">
        <v>8</v>
      </c>
      <c r="AE4" s="14" t="s">
        <v>8</v>
      </c>
      <c r="AF4" s="5" t="s">
        <v>10</v>
      </c>
      <c r="AH4" s="6">
        <f>JUL!AJ4</f>
        <v>22</v>
      </c>
      <c r="AI4" s="15">
        <f>COUNTIF(B4:AF4,"U")</f>
        <v>0</v>
      </c>
      <c r="AJ4" s="15">
        <f t="shared" ref="AJ4:AJ11" si="2">AH4-AI4</f>
        <v>22</v>
      </c>
    </row>
    <row r="5" spans="1:36" ht="15" customHeight="1">
      <c r="A5" s="22" t="s">
        <v>12</v>
      </c>
      <c r="B5" s="14" t="s">
        <v>8</v>
      </c>
      <c r="C5" s="14" t="s">
        <v>8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14" t="s">
        <v>8</v>
      </c>
      <c r="J5" s="14" t="s">
        <v>8</v>
      </c>
      <c r="K5" s="5" t="s">
        <v>9</v>
      </c>
      <c r="L5" s="5" t="s">
        <v>9</v>
      </c>
      <c r="M5" s="5" t="s">
        <v>9</v>
      </c>
      <c r="N5" s="5" t="s">
        <v>9</v>
      </c>
      <c r="O5" s="5" t="s">
        <v>9</v>
      </c>
      <c r="P5" s="14" t="s">
        <v>8</v>
      </c>
      <c r="Q5" s="14" t="s">
        <v>8</v>
      </c>
      <c r="R5" s="5" t="s">
        <v>9</v>
      </c>
      <c r="S5" s="5" t="s">
        <v>9</v>
      </c>
      <c r="T5" s="5" t="s">
        <v>9</v>
      </c>
      <c r="U5" s="5" t="s">
        <v>9</v>
      </c>
      <c r="V5" s="5" t="s">
        <v>9</v>
      </c>
      <c r="W5" s="14" t="s">
        <v>8</v>
      </c>
      <c r="X5" s="14" t="s">
        <v>8</v>
      </c>
      <c r="Y5" s="5" t="s">
        <v>9</v>
      </c>
      <c r="Z5" s="5" t="s">
        <v>9</v>
      </c>
      <c r="AA5" s="5" t="s">
        <v>9</v>
      </c>
      <c r="AB5" s="5" t="s">
        <v>9</v>
      </c>
      <c r="AC5" s="5" t="s">
        <v>9</v>
      </c>
      <c r="AD5" s="14" t="s">
        <v>8</v>
      </c>
      <c r="AE5" s="14" t="s">
        <v>8</v>
      </c>
      <c r="AF5" s="5" t="s">
        <v>9</v>
      </c>
      <c r="AH5" s="6">
        <f>JUL!AJ5</f>
        <v>22</v>
      </c>
      <c r="AI5" s="15">
        <f t="shared" ref="AI5:AI11" si="3">COUNTIF(B5:AF5,"U")</f>
        <v>0</v>
      </c>
      <c r="AJ5" s="15">
        <f t="shared" si="2"/>
        <v>22</v>
      </c>
    </row>
    <row r="6" spans="1:36" ht="15" customHeight="1">
      <c r="A6" s="22" t="s">
        <v>13</v>
      </c>
      <c r="B6" s="14" t="s">
        <v>8</v>
      </c>
      <c r="C6" s="14" t="s">
        <v>8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14" t="s">
        <v>8</v>
      </c>
      <c r="J6" s="14" t="s">
        <v>8</v>
      </c>
      <c r="K6" s="5" t="s">
        <v>9</v>
      </c>
      <c r="L6" s="5" t="s">
        <v>9</v>
      </c>
      <c r="M6" s="5" t="s">
        <v>9</v>
      </c>
      <c r="N6" s="5" t="s">
        <v>9</v>
      </c>
      <c r="O6" s="5" t="s">
        <v>9</v>
      </c>
      <c r="P6" s="14" t="s">
        <v>8</v>
      </c>
      <c r="Q6" s="14" t="s">
        <v>8</v>
      </c>
      <c r="R6" s="5" t="s">
        <v>9</v>
      </c>
      <c r="S6" s="5" t="s">
        <v>9</v>
      </c>
      <c r="T6" s="5" t="s">
        <v>9</v>
      </c>
      <c r="U6" s="5" t="s">
        <v>9</v>
      </c>
      <c r="V6" s="5" t="s">
        <v>9</v>
      </c>
      <c r="W6" s="14" t="s">
        <v>8</v>
      </c>
      <c r="X6" s="14" t="s">
        <v>8</v>
      </c>
      <c r="Y6" s="5" t="s">
        <v>9</v>
      </c>
      <c r="Z6" s="5" t="s">
        <v>9</v>
      </c>
      <c r="AA6" s="5" t="s">
        <v>9</v>
      </c>
      <c r="AB6" s="5" t="s">
        <v>9</v>
      </c>
      <c r="AC6" s="5" t="s">
        <v>9</v>
      </c>
      <c r="AD6" s="14" t="s">
        <v>8</v>
      </c>
      <c r="AE6" s="14" t="s">
        <v>8</v>
      </c>
      <c r="AF6" s="5" t="s">
        <v>9</v>
      </c>
      <c r="AH6" s="6">
        <f>JUL!AJ6</f>
        <v>19</v>
      </c>
      <c r="AI6" s="15">
        <f t="shared" si="3"/>
        <v>0</v>
      </c>
      <c r="AJ6" s="15">
        <f t="shared" si="2"/>
        <v>19</v>
      </c>
    </row>
    <row r="7" spans="1:36" ht="15" customHeight="1">
      <c r="A7" s="22" t="s">
        <v>14</v>
      </c>
      <c r="B7" s="3" t="s">
        <v>11</v>
      </c>
      <c r="C7" s="3" t="s">
        <v>11</v>
      </c>
      <c r="D7" s="14" t="s">
        <v>8</v>
      </c>
      <c r="E7" s="14" t="s">
        <v>8</v>
      </c>
      <c r="F7" s="7" t="s">
        <v>15</v>
      </c>
      <c r="G7" s="7" t="s">
        <v>15</v>
      </c>
      <c r="H7" s="7" t="s">
        <v>15</v>
      </c>
      <c r="I7" s="7" t="s">
        <v>15</v>
      </c>
      <c r="J7" s="14" t="s">
        <v>8</v>
      </c>
      <c r="K7" s="14" t="s">
        <v>8</v>
      </c>
      <c r="L7" s="3" t="s">
        <v>11</v>
      </c>
      <c r="M7" s="3" t="s">
        <v>11</v>
      </c>
      <c r="N7" s="3" t="s">
        <v>11</v>
      </c>
      <c r="O7" s="3" t="s">
        <v>11</v>
      </c>
      <c r="P7" s="14" t="s">
        <v>8</v>
      </c>
      <c r="Q7" s="14" t="s">
        <v>8</v>
      </c>
      <c r="R7" s="7" t="s">
        <v>15</v>
      </c>
      <c r="S7" s="7" t="s">
        <v>15</v>
      </c>
      <c r="T7" s="7" t="s">
        <v>15</v>
      </c>
      <c r="U7" s="7" t="s">
        <v>15</v>
      </c>
      <c r="V7" s="7" t="s">
        <v>15</v>
      </c>
      <c r="W7" s="14" t="s">
        <v>8</v>
      </c>
      <c r="X7" s="14" t="s">
        <v>8</v>
      </c>
      <c r="Y7" s="3" t="s">
        <v>11</v>
      </c>
      <c r="Z7" s="3" t="s">
        <v>11</v>
      </c>
      <c r="AA7" s="3" t="s">
        <v>11</v>
      </c>
      <c r="AB7" s="3" t="s">
        <v>11</v>
      </c>
      <c r="AC7" s="14" t="s">
        <v>8</v>
      </c>
      <c r="AD7" s="14" t="s">
        <v>8</v>
      </c>
      <c r="AE7" s="7" t="s">
        <v>15</v>
      </c>
      <c r="AF7" s="7" t="s">
        <v>15</v>
      </c>
      <c r="AH7" s="6">
        <f>JUL!AJ7</f>
        <v>18</v>
      </c>
      <c r="AI7" s="15">
        <f t="shared" si="3"/>
        <v>0</v>
      </c>
      <c r="AJ7" s="15">
        <f t="shared" si="2"/>
        <v>18</v>
      </c>
    </row>
    <row r="8" spans="1:36" ht="15" customHeight="1">
      <c r="A8" s="22" t="s">
        <v>17</v>
      </c>
      <c r="B8" s="3" t="s">
        <v>11</v>
      </c>
      <c r="C8" s="3" t="s">
        <v>11</v>
      </c>
      <c r="D8" s="3" t="s">
        <v>11</v>
      </c>
      <c r="E8" s="3" t="s">
        <v>11</v>
      </c>
      <c r="F8" s="14" t="s">
        <v>8</v>
      </c>
      <c r="G8" s="14" t="s">
        <v>8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14" t="s">
        <v>8</v>
      </c>
      <c r="N8" s="14" t="s">
        <v>8</v>
      </c>
      <c r="O8" s="3" t="s">
        <v>11</v>
      </c>
      <c r="P8" s="3" t="s">
        <v>11</v>
      </c>
      <c r="Q8" s="3" t="s">
        <v>11</v>
      </c>
      <c r="R8" s="3" t="s">
        <v>11</v>
      </c>
      <c r="S8" s="14" t="s">
        <v>8</v>
      </c>
      <c r="T8" s="14" t="s">
        <v>8</v>
      </c>
      <c r="U8" s="7" t="s">
        <v>15</v>
      </c>
      <c r="V8" s="7" t="s">
        <v>15</v>
      </c>
      <c r="W8" s="7" t="s">
        <v>15</v>
      </c>
      <c r="X8" s="7" t="s">
        <v>15</v>
      </c>
      <c r="Y8" s="14" t="s">
        <v>8</v>
      </c>
      <c r="Z8" s="14" t="s">
        <v>8</v>
      </c>
      <c r="AA8" s="3" t="s">
        <v>11</v>
      </c>
      <c r="AB8" s="3" t="s">
        <v>11</v>
      </c>
      <c r="AC8" s="3" t="s">
        <v>11</v>
      </c>
      <c r="AD8" s="3" t="s">
        <v>11</v>
      </c>
      <c r="AE8" s="3" t="s">
        <v>11</v>
      </c>
      <c r="AF8" s="14" t="s">
        <v>8</v>
      </c>
      <c r="AH8" s="6">
        <f>JUL!AJ8</f>
        <v>22</v>
      </c>
      <c r="AI8" s="15">
        <f t="shared" si="3"/>
        <v>0</v>
      </c>
      <c r="AJ8" s="15">
        <f t="shared" si="2"/>
        <v>22</v>
      </c>
    </row>
    <row r="9" spans="1:36" ht="15" customHeight="1">
      <c r="A9" s="22" t="s">
        <v>19</v>
      </c>
      <c r="B9" s="7" t="s">
        <v>15</v>
      </c>
      <c r="C9" s="7" t="s">
        <v>15</v>
      </c>
      <c r="D9" s="7" t="s">
        <v>15</v>
      </c>
      <c r="E9" s="7" t="s">
        <v>15</v>
      </c>
      <c r="F9" s="14" t="s">
        <v>8</v>
      </c>
      <c r="G9" s="14" t="s">
        <v>8</v>
      </c>
      <c r="H9" s="3" t="s">
        <v>11</v>
      </c>
      <c r="I9" s="3" t="s">
        <v>11</v>
      </c>
      <c r="J9" s="3" t="s">
        <v>11</v>
      </c>
      <c r="K9" s="3" t="s">
        <v>11</v>
      </c>
      <c r="L9" s="14" t="s">
        <v>8</v>
      </c>
      <c r="M9" s="14" t="s">
        <v>8</v>
      </c>
      <c r="N9" s="7" t="s">
        <v>15</v>
      </c>
      <c r="O9" s="7" t="s">
        <v>15</v>
      </c>
      <c r="P9" s="7" t="s">
        <v>15</v>
      </c>
      <c r="Q9" s="7" t="s">
        <v>15</v>
      </c>
      <c r="R9" s="14" t="s">
        <v>8</v>
      </c>
      <c r="S9" s="14" t="s">
        <v>8</v>
      </c>
      <c r="T9" s="3" t="s">
        <v>11</v>
      </c>
      <c r="U9" s="3" t="s">
        <v>11</v>
      </c>
      <c r="V9" s="3" t="s">
        <v>11</v>
      </c>
      <c r="W9" s="3" t="s">
        <v>11</v>
      </c>
      <c r="X9" s="3" t="s">
        <v>11</v>
      </c>
      <c r="Y9" s="14" t="s">
        <v>8</v>
      </c>
      <c r="Z9" s="14" t="s">
        <v>8</v>
      </c>
      <c r="AA9" s="7" t="s">
        <v>15</v>
      </c>
      <c r="AB9" s="7" t="s">
        <v>15</v>
      </c>
      <c r="AC9" s="7" t="s">
        <v>15</v>
      </c>
      <c r="AD9" s="7" t="s">
        <v>15</v>
      </c>
      <c r="AE9" s="14" t="s">
        <v>8</v>
      </c>
      <c r="AF9" s="14" t="s">
        <v>8</v>
      </c>
      <c r="AH9" s="6">
        <f>JUL!AJ9</f>
        <v>22</v>
      </c>
      <c r="AI9" s="15">
        <f t="shared" si="3"/>
        <v>0</v>
      </c>
      <c r="AJ9" s="15">
        <f t="shared" si="2"/>
        <v>22</v>
      </c>
    </row>
    <row r="10" spans="1:36" s="16" customFormat="1" ht="15" customHeight="1">
      <c r="A10" s="22" t="s">
        <v>20</v>
      </c>
      <c r="B10" s="7" t="s">
        <v>15</v>
      </c>
      <c r="C10" s="14" t="s">
        <v>8</v>
      </c>
      <c r="D10" s="14" t="s">
        <v>8</v>
      </c>
      <c r="E10" s="3" t="s">
        <v>11</v>
      </c>
      <c r="F10" s="3" t="s">
        <v>11</v>
      </c>
      <c r="G10" s="3" t="s">
        <v>11</v>
      </c>
      <c r="H10" s="3" t="s">
        <v>11</v>
      </c>
      <c r="I10" s="14" t="s">
        <v>8</v>
      </c>
      <c r="J10" s="14" t="s">
        <v>8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14" t="s">
        <v>8</v>
      </c>
      <c r="Q10" s="14" t="s">
        <v>8</v>
      </c>
      <c r="R10" s="3" t="s">
        <v>11</v>
      </c>
      <c r="S10" s="3" t="s">
        <v>11</v>
      </c>
      <c r="T10" s="3" t="s">
        <v>11</v>
      </c>
      <c r="U10" s="3" t="s">
        <v>11</v>
      </c>
      <c r="V10" s="14" t="s">
        <v>8</v>
      </c>
      <c r="W10" s="14" t="s">
        <v>8</v>
      </c>
      <c r="X10" s="7" t="s">
        <v>15</v>
      </c>
      <c r="Y10" s="7" t="s">
        <v>15</v>
      </c>
      <c r="Z10" s="7" t="s">
        <v>15</v>
      </c>
      <c r="AA10" s="7" t="s">
        <v>15</v>
      </c>
      <c r="AB10" s="14" t="s">
        <v>8</v>
      </c>
      <c r="AC10" s="14" t="s">
        <v>8</v>
      </c>
      <c r="AD10" s="3" t="s">
        <v>11</v>
      </c>
      <c r="AE10" s="3" t="s">
        <v>11</v>
      </c>
      <c r="AF10" s="3" t="s">
        <v>11</v>
      </c>
      <c r="AG10" s="13"/>
      <c r="AH10" s="6">
        <f>JUL!AJ10</f>
        <v>22</v>
      </c>
      <c r="AI10" s="15">
        <f t="shared" si="3"/>
        <v>0</v>
      </c>
      <c r="AJ10" s="15">
        <f t="shared" si="2"/>
        <v>22</v>
      </c>
    </row>
    <row r="11" spans="1:36" ht="15" customHeight="1">
      <c r="A11" s="22" t="s">
        <v>21</v>
      </c>
      <c r="B11" s="14" t="s">
        <v>8</v>
      </c>
      <c r="C11" s="14" t="s">
        <v>8</v>
      </c>
      <c r="D11" s="7" t="s">
        <v>15</v>
      </c>
      <c r="E11" s="7" t="s">
        <v>15</v>
      </c>
      <c r="F11" s="7" t="s">
        <v>15</v>
      </c>
      <c r="G11" s="7" t="s">
        <v>15</v>
      </c>
      <c r="H11" s="14" t="s">
        <v>8</v>
      </c>
      <c r="I11" s="14" t="s">
        <v>8</v>
      </c>
      <c r="J11" s="3" t="s">
        <v>11</v>
      </c>
      <c r="K11" s="3" t="s">
        <v>11</v>
      </c>
      <c r="L11" s="3" t="s">
        <v>11</v>
      </c>
      <c r="M11" s="3" t="s">
        <v>11</v>
      </c>
      <c r="N11" s="3" t="s">
        <v>11</v>
      </c>
      <c r="O11" s="14" t="s">
        <v>8</v>
      </c>
      <c r="P11" s="14" t="s">
        <v>8</v>
      </c>
      <c r="Q11" s="7" t="s">
        <v>15</v>
      </c>
      <c r="R11" s="7" t="s">
        <v>15</v>
      </c>
      <c r="S11" s="7" t="s">
        <v>15</v>
      </c>
      <c r="T11" s="7" t="s">
        <v>15</v>
      </c>
      <c r="U11" s="14" t="s">
        <v>8</v>
      </c>
      <c r="V11" s="14" t="s">
        <v>8</v>
      </c>
      <c r="W11" s="3" t="s">
        <v>11</v>
      </c>
      <c r="X11" s="3" t="s">
        <v>11</v>
      </c>
      <c r="Y11" s="3" t="s">
        <v>11</v>
      </c>
      <c r="Z11" s="3" t="s">
        <v>11</v>
      </c>
      <c r="AA11" s="14" t="s">
        <v>8</v>
      </c>
      <c r="AB11" s="14" t="s">
        <v>8</v>
      </c>
      <c r="AC11" s="7" t="s">
        <v>15</v>
      </c>
      <c r="AD11" s="7" t="s">
        <v>15</v>
      </c>
      <c r="AE11" s="7" t="s">
        <v>15</v>
      </c>
      <c r="AF11" s="7" t="s">
        <v>15</v>
      </c>
      <c r="AH11" s="6">
        <f>JUL!AJ11</f>
        <v>22</v>
      </c>
      <c r="AI11" s="15">
        <f>COUNTIF(B11:AF11,"U")</f>
        <v>0</v>
      </c>
      <c r="AJ11" s="15">
        <f t="shared" si="2"/>
        <v>22</v>
      </c>
    </row>
    <row r="13" spans="1:36">
      <c r="A13" s="3" t="s">
        <v>22</v>
      </c>
      <c r="B13" s="14">
        <f>COUNTIF(B4:B11,"P06")</f>
        <v>2</v>
      </c>
      <c r="C13" s="14">
        <f t="shared" ref="C13:AF13" si="4">COUNTIF(C4:C11,"P06")</f>
        <v>2</v>
      </c>
      <c r="D13" s="14">
        <f t="shared" si="4"/>
        <v>1</v>
      </c>
      <c r="E13" s="14">
        <f t="shared" si="4"/>
        <v>2</v>
      </c>
      <c r="F13" s="14">
        <f t="shared" si="4"/>
        <v>1</v>
      </c>
      <c r="G13" s="14">
        <f t="shared" si="4"/>
        <v>1</v>
      </c>
      <c r="H13" s="14">
        <f t="shared" si="4"/>
        <v>2</v>
      </c>
      <c r="I13" s="14">
        <f t="shared" si="4"/>
        <v>1</v>
      </c>
      <c r="J13" s="14">
        <f t="shared" si="4"/>
        <v>2</v>
      </c>
      <c r="K13" s="14">
        <f t="shared" si="4"/>
        <v>2</v>
      </c>
      <c r="L13" s="14">
        <f t="shared" si="4"/>
        <v>2</v>
      </c>
      <c r="M13" s="14">
        <f t="shared" si="4"/>
        <v>2</v>
      </c>
      <c r="N13" s="14">
        <f t="shared" si="4"/>
        <v>2</v>
      </c>
      <c r="O13" s="14">
        <f t="shared" si="4"/>
        <v>2</v>
      </c>
      <c r="P13" s="14">
        <f t="shared" si="4"/>
        <v>1</v>
      </c>
      <c r="Q13" s="14">
        <f t="shared" si="4"/>
        <v>1</v>
      </c>
      <c r="R13" s="14">
        <f t="shared" si="4"/>
        <v>2</v>
      </c>
      <c r="S13" s="14">
        <f t="shared" si="4"/>
        <v>1</v>
      </c>
      <c r="T13" s="14">
        <f t="shared" si="4"/>
        <v>2</v>
      </c>
      <c r="U13" s="14">
        <f t="shared" si="4"/>
        <v>2</v>
      </c>
      <c r="V13" s="14">
        <f t="shared" si="4"/>
        <v>1</v>
      </c>
      <c r="W13" s="14">
        <f t="shared" si="4"/>
        <v>2</v>
      </c>
      <c r="X13" s="14">
        <f t="shared" si="4"/>
        <v>2</v>
      </c>
      <c r="Y13" s="14">
        <f t="shared" si="4"/>
        <v>2</v>
      </c>
      <c r="Z13" s="14">
        <f t="shared" si="4"/>
        <v>2</v>
      </c>
      <c r="AA13" s="14">
        <f t="shared" si="4"/>
        <v>2</v>
      </c>
      <c r="AB13" s="14">
        <f t="shared" si="4"/>
        <v>2</v>
      </c>
      <c r="AC13" s="14">
        <f t="shared" si="4"/>
        <v>1</v>
      </c>
      <c r="AD13" s="14">
        <f t="shared" si="4"/>
        <v>2</v>
      </c>
      <c r="AE13" s="14">
        <f t="shared" si="4"/>
        <v>2</v>
      </c>
      <c r="AF13" s="14">
        <f t="shared" si="4"/>
        <v>1</v>
      </c>
    </row>
    <row r="14" spans="1:36">
      <c r="A14" s="7" t="s">
        <v>23</v>
      </c>
      <c r="B14" s="14">
        <f>COUNTIF(B4:B11,"P14")</f>
        <v>2</v>
      </c>
      <c r="C14" s="14">
        <f t="shared" ref="C14:AF14" si="5">COUNTIF(C4:C11,"P14")</f>
        <v>1</v>
      </c>
      <c r="D14" s="14">
        <f t="shared" si="5"/>
        <v>2</v>
      </c>
      <c r="E14" s="14">
        <f t="shared" si="5"/>
        <v>2</v>
      </c>
      <c r="F14" s="14">
        <f t="shared" si="5"/>
        <v>2</v>
      </c>
      <c r="G14" s="14">
        <f t="shared" si="5"/>
        <v>2</v>
      </c>
      <c r="H14" s="14">
        <f t="shared" si="5"/>
        <v>2</v>
      </c>
      <c r="I14" s="14">
        <f t="shared" si="5"/>
        <v>2</v>
      </c>
      <c r="J14" s="14">
        <f t="shared" si="5"/>
        <v>1</v>
      </c>
      <c r="K14" s="14">
        <f t="shared" si="5"/>
        <v>2</v>
      </c>
      <c r="L14" s="14">
        <f t="shared" si="5"/>
        <v>2</v>
      </c>
      <c r="M14" s="14">
        <f t="shared" si="5"/>
        <v>1</v>
      </c>
      <c r="N14" s="14">
        <f t="shared" si="5"/>
        <v>2</v>
      </c>
      <c r="O14" s="14">
        <f t="shared" si="5"/>
        <v>2</v>
      </c>
      <c r="P14" s="14">
        <f t="shared" si="5"/>
        <v>1</v>
      </c>
      <c r="Q14" s="14">
        <f t="shared" si="5"/>
        <v>2</v>
      </c>
      <c r="R14" s="14">
        <f t="shared" si="5"/>
        <v>2</v>
      </c>
      <c r="S14" s="14">
        <f t="shared" si="5"/>
        <v>2</v>
      </c>
      <c r="T14" s="14">
        <f t="shared" si="5"/>
        <v>2</v>
      </c>
      <c r="U14" s="14">
        <f t="shared" si="5"/>
        <v>2</v>
      </c>
      <c r="V14" s="14">
        <f t="shared" si="5"/>
        <v>2</v>
      </c>
      <c r="W14" s="14">
        <f t="shared" si="5"/>
        <v>1</v>
      </c>
      <c r="X14" s="14">
        <f t="shared" si="5"/>
        <v>2</v>
      </c>
      <c r="Y14" s="14">
        <f t="shared" si="5"/>
        <v>1</v>
      </c>
      <c r="Z14" s="14">
        <f t="shared" si="5"/>
        <v>1</v>
      </c>
      <c r="AA14" s="14">
        <f t="shared" si="5"/>
        <v>2</v>
      </c>
      <c r="AB14" s="14">
        <f t="shared" si="5"/>
        <v>1</v>
      </c>
      <c r="AC14" s="14">
        <f t="shared" si="5"/>
        <v>2</v>
      </c>
      <c r="AD14" s="14">
        <f t="shared" si="5"/>
        <v>2</v>
      </c>
      <c r="AE14" s="14">
        <f t="shared" si="5"/>
        <v>2</v>
      </c>
      <c r="AF14" s="14">
        <f t="shared" si="5"/>
        <v>2</v>
      </c>
    </row>
    <row r="15" spans="1:36" ht="13.5" thickBot="1"/>
    <row r="16" spans="1:36">
      <c r="E16" s="42"/>
      <c r="F16" s="46" t="s">
        <v>24</v>
      </c>
      <c r="G16" s="59"/>
      <c r="H16" s="46" t="s">
        <v>25</v>
      </c>
      <c r="I16" s="47"/>
      <c r="M16" s="6" t="s">
        <v>8</v>
      </c>
      <c r="N16" s="24" t="s">
        <v>26</v>
      </c>
      <c r="O16" s="25"/>
      <c r="P16" s="25"/>
      <c r="Q16" s="25"/>
      <c r="R16" s="25"/>
      <c r="S16" s="4" t="s">
        <v>27</v>
      </c>
      <c r="T16" s="26" t="s">
        <v>28</v>
      </c>
      <c r="U16" s="27"/>
      <c r="V16" s="27"/>
      <c r="W16" s="27"/>
      <c r="X16" s="28"/>
      <c r="Z16" s="60" t="s">
        <v>29</v>
      </c>
      <c r="AA16" s="61"/>
      <c r="AB16" s="61"/>
      <c r="AC16" s="61"/>
      <c r="AD16" s="61"/>
      <c r="AE16" s="61"/>
      <c r="AF16" s="61"/>
    </row>
    <row r="17" spans="5:32">
      <c r="E17" s="3" t="s">
        <v>11</v>
      </c>
      <c r="F17" s="48" t="s">
        <v>30</v>
      </c>
      <c r="G17" s="58"/>
      <c r="H17" s="48" t="s">
        <v>31</v>
      </c>
      <c r="I17" s="49"/>
      <c r="M17" s="11" t="s">
        <v>32</v>
      </c>
      <c r="N17" s="17" t="s">
        <v>33</v>
      </c>
      <c r="O17" s="29"/>
      <c r="P17" s="29"/>
      <c r="Q17" s="29"/>
      <c r="R17" s="29"/>
      <c r="S17" s="4" t="s">
        <v>34</v>
      </c>
      <c r="T17" s="17" t="s">
        <v>35</v>
      </c>
      <c r="U17" s="29"/>
      <c r="V17" s="29"/>
      <c r="W17" s="29"/>
      <c r="X17" s="19"/>
      <c r="Z17" s="62"/>
      <c r="AA17" s="63"/>
      <c r="AB17" s="63"/>
      <c r="AC17" s="63"/>
      <c r="AD17" s="63"/>
      <c r="AE17" s="63"/>
      <c r="AF17" s="63"/>
    </row>
    <row r="18" spans="5:32">
      <c r="E18" s="5" t="s">
        <v>10</v>
      </c>
      <c r="F18" s="50" t="s">
        <v>36</v>
      </c>
      <c r="G18" s="52"/>
      <c r="H18" s="50" t="s">
        <v>37</v>
      </c>
      <c r="I18" s="51"/>
      <c r="M18" s="23" t="s">
        <v>6</v>
      </c>
      <c r="N18" s="18" t="s">
        <v>38</v>
      </c>
      <c r="O18" s="30"/>
      <c r="P18" s="30"/>
      <c r="Q18" s="30"/>
      <c r="R18" s="30"/>
      <c r="S18" s="6" t="s">
        <v>39</v>
      </c>
      <c r="T18" s="17" t="s">
        <v>40</v>
      </c>
      <c r="U18" s="29"/>
      <c r="V18" s="29"/>
      <c r="W18" s="29"/>
      <c r="X18" s="19"/>
      <c r="Z18" s="62"/>
      <c r="AA18" s="63"/>
      <c r="AB18" s="63"/>
      <c r="AC18" s="63"/>
      <c r="AD18" s="63"/>
      <c r="AE18" s="63"/>
      <c r="AF18" s="63"/>
    </row>
    <row r="19" spans="5:32">
      <c r="E19" s="5" t="s">
        <v>9</v>
      </c>
      <c r="F19" s="50" t="s">
        <v>41</v>
      </c>
      <c r="G19" s="52"/>
      <c r="H19" s="50" t="s">
        <v>42</v>
      </c>
      <c r="I19" s="51"/>
      <c r="M19" s="31" t="s">
        <v>16</v>
      </c>
      <c r="N19" s="17" t="s">
        <v>43</v>
      </c>
      <c r="O19" s="29"/>
      <c r="P19" s="29"/>
      <c r="Q19" s="29"/>
      <c r="R19" s="29"/>
      <c r="S19" s="6" t="s">
        <v>44</v>
      </c>
      <c r="T19" s="17" t="s">
        <v>40</v>
      </c>
      <c r="U19" s="29"/>
      <c r="V19" s="29"/>
      <c r="W19" s="29"/>
      <c r="X19" s="19"/>
    </row>
    <row r="20" spans="5:32">
      <c r="E20" s="7" t="s">
        <v>15</v>
      </c>
      <c r="F20" s="50" t="s">
        <v>45</v>
      </c>
      <c r="G20" s="52"/>
      <c r="H20" s="50" t="s">
        <v>46</v>
      </c>
      <c r="I20" s="51"/>
      <c r="M20" s="31" t="s">
        <v>7</v>
      </c>
      <c r="N20" s="17" t="s">
        <v>47</v>
      </c>
      <c r="O20" s="29"/>
      <c r="P20" s="29"/>
      <c r="Q20" s="29"/>
      <c r="R20" s="19"/>
      <c r="S20" s="6" t="s">
        <v>48</v>
      </c>
      <c r="T20" s="17" t="s">
        <v>40</v>
      </c>
      <c r="U20" s="29"/>
      <c r="V20" s="29"/>
      <c r="W20" s="29"/>
      <c r="X20" s="19"/>
    </row>
    <row r="21" spans="5:32">
      <c r="E21" s="8" t="s">
        <v>49</v>
      </c>
      <c r="F21" s="53" t="s">
        <v>50</v>
      </c>
      <c r="G21" s="54"/>
      <c r="H21" s="53" t="s">
        <v>51</v>
      </c>
      <c r="I21" s="55"/>
      <c r="M21" s="32" t="s">
        <v>6</v>
      </c>
      <c r="N21" s="17" t="s">
        <v>52</v>
      </c>
      <c r="O21" s="29"/>
      <c r="P21" s="29"/>
      <c r="Q21" s="29"/>
      <c r="R21" s="29"/>
      <c r="S21" s="20" t="s">
        <v>53</v>
      </c>
      <c r="T21" s="17" t="s">
        <v>54</v>
      </c>
      <c r="U21" s="29"/>
      <c r="V21" s="29"/>
      <c r="W21" s="29"/>
      <c r="X21" s="19"/>
    </row>
    <row r="22" spans="5:32">
      <c r="M22" s="32" t="s">
        <v>16</v>
      </c>
      <c r="N22" s="17" t="s">
        <v>55</v>
      </c>
      <c r="O22" s="29"/>
      <c r="P22" s="29"/>
      <c r="Q22" s="29"/>
      <c r="R22" s="29"/>
      <c r="S22" s="9" t="s">
        <v>56</v>
      </c>
      <c r="T22" s="17" t="s">
        <v>54</v>
      </c>
      <c r="U22" s="29"/>
      <c r="V22" s="29"/>
      <c r="W22" s="29"/>
      <c r="X22" s="19"/>
    </row>
    <row r="23" spans="5:32">
      <c r="M23" s="33" t="s">
        <v>18</v>
      </c>
      <c r="N23" s="17" t="s">
        <v>57</v>
      </c>
      <c r="O23" s="29"/>
      <c r="P23" s="29"/>
      <c r="Q23" s="29"/>
      <c r="R23" s="29"/>
      <c r="S23" s="9" t="s">
        <v>58</v>
      </c>
      <c r="T23" s="17" t="s">
        <v>54</v>
      </c>
      <c r="U23" s="29"/>
      <c r="V23" s="29"/>
      <c r="W23" s="29"/>
      <c r="X23" s="19"/>
    </row>
    <row r="24" spans="5:32">
      <c r="M24" s="33" t="s">
        <v>59</v>
      </c>
      <c r="N24" s="17" t="s">
        <v>60</v>
      </c>
      <c r="O24" s="29"/>
      <c r="P24" s="29"/>
      <c r="Q24" s="29"/>
      <c r="R24" s="29"/>
      <c r="S24" s="9" t="s">
        <v>61</v>
      </c>
      <c r="T24" s="17" t="s">
        <v>54</v>
      </c>
      <c r="U24" s="29"/>
      <c r="V24" s="29"/>
      <c r="W24" s="29"/>
      <c r="X24" s="19"/>
    </row>
    <row r="25" spans="5:32">
      <c r="M25" s="34" t="s">
        <v>62</v>
      </c>
      <c r="N25" s="17" t="s">
        <v>63</v>
      </c>
      <c r="O25" s="29"/>
      <c r="P25" s="29"/>
      <c r="Q25" s="29"/>
      <c r="R25" s="29"/>
      <c r="S25" s="10" t="s">
        <v>64</v>
      </c>
      <c r="T25" s="17" t="s">
        <v>54</v>
      </c>
      <c r="U25" s="29"/>
      <c r="V25" s="29"/>
      <c r="W25" s="29"/>
      <c r="X25" s="19"/>
    </row>
    <row r="26" spans="5:32">
      <c r="M26" s="35" t="s">
        <v>65</v>
      </c>
      <c r="N26" s="17" t="s">
        <v>66</v>
      </c>
      <c r="O26" s="29"/>
      <c r="P26" s="29"/>
      <c r="Q26" s="29"/>
      <c r="R26" s="29"/>
      <c r="S26" s="6" t="s">
        <v>67</v>
      </c>
      <c r="T26" s="17" t="s">
        <v>54</v>
      </c>
      <c r="U26" s="29"/>
      <c r="V26" s="29"/>
      <c r="W26" s="29"/>
      <c r="X26" s="19"/>
    </row>
    <row r="27" spans="5:32">
      <c r="M27" s="36" t="s">
        <v>68</v>
      </c>
      <c r="N27" s="17" t="s">
        <v>69</v>
      </c>
      <c r="O27" s="29"/>
      <c r="P27" s="29"/>
      <c r="Q27" s="29"/>
      <c r="R27" s="29"/>
      <c r="S27" s="6" t="s">
        <v>70</v>
      </c>
      <c r="T27" s="17" t="s">
        <v>54</v>
      </c>
      <c r="U27" s="29"/>
      <c r="V27" s="29"/>
      <c r="W27" s="29"/>
      <c r="X27" s="19"/>
    </row>
    <row r="28" spans="5:32">
      <c r="M28" s="37" t="s">
        <v>71</v>
      </c>
      <c r="N28" s="18" t="s">
        <v>72</v>
      </c>
      <c r="O28" s="30"/>
      <c r="P28" s="30"/>
      <c r="Q28" s="30"/>
      <c r="R28" s="30"/>
      <c r="S28" s="11" t="s">
        <v>73</v>
      </c>
      <c r="T28" s="17" t="s">
        <v>54</v>
      </c>
      <c r="U28" s="29"/>
      <c r="V28" s="29"/>
      <c r="W28" s="29"/>
      <c r="X28" s="19"/>
    </row>
    <row r="29" spans="5:32">
      <c r="M29" s="10" t="s">
        <v>74</v>
      </c>
      <c r="N29" s="17" t="s">
        <v>75</v>
      </c>
      <c r="O29" s="29"/>
      <c r="P29" s="29"/>
      <c r="Q29" s="29"/>
      <c r="R29" s="29"/>
      <c r="S29" s="6" t="s">
        <v>76</v>
      </c>
      <c r="T29" s="17" t="s">
        <v>54</v>
      </c>
      <c r="U29" s="29"/>
      <c r="V29" s="29"/>
      <c r="W29" s="29"/>
      <c r="X29" s="19"/>
    </row>
    <row r="30" spans="5:32">
      <c r="M30" s="37" t="s">
        <v>77</v>
      </c>
      <c r="N30" s="38" t="s">
        <v>78</v>
      </c>
      <c r="O30" s="39"/>
      <c r="P30" s="39"/>
      <c r="Q30" s="39"/>
      <c r="R30" s="39"/>
      <c r="S30" s="40" t="s">
        <v>79</v>
      </c>
      <c r="T30" s="38" t="s">
        <v>80</v>
      </c>
      <c r="U30" s="39"/>
      <c r="V30" s="39"/>
      <c r="W30" s="39"/>
      <c r="X30" s="41"/>
    </row>
  </sheetData>
  <mergeCells count="16">
    <mergeCell ref="F20:G20"/>
    <mergeCell ref="H20:I20"/>
    <mergeCell ref="F21:G21"/>
    <mergeCell ref="H21:I21"/>
    <mergeCell ref="F17:G17"/>
    <mergeCell ref="H17:I17"/>
    <mergeCell ref="F18:G18"/>
    <mergeCell ref="H18:I18"/>
    <mergeCell ref="F19:G19"/>
    <mergeCell ref="H19:I19"/>
    <mergeCell ref="A1:AF1"/>
    <mergeCell ref="A2:A3"/>
    <mergeCell ref="AH2:AJ2"/>
    <mergeCell ref="F16:G16"/>
    <mergeCell ref="H16:I16"/>
    <mergeCell ref="Z16:AF18"/>
  </mergeCells>
  <conditionalFormatting sqref="B2:O3 Q2:AF3">
    <cfRule type="expression" dxfId="14" priority="3">
      <formula>WEEKDAY(DATE(YEAR($A$2),MONTH($A$2),B$2),2)&gt;5</formula>
    </cfRule>
  </conditionalFormatting>
  <conditionalFormatting sqref="B13:AF14">
    <cfRule type="cellIs" dxfId="13" priority="1" operator="equal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C6C5-F84E-4CF6-A87A-4433E4E4EF4C}">
  <dimension ref="A1:AI30"/>
  <sheetViews>
    <sheetView zoomScale="85" zoomScaleNormal="85" workbookViewId="0">
      <pane xSplit="1" ySplit="3" topLeftCell="B4" activePane="bottomRight" state="frozen"/>
      <selection pane="bottomRight" activeCell="AH12" sqref="AH12"/>
      <selection pane="bottomLeft"/>
      <selection pane="topRight"/>
    </sheetView>
  </sheetViews>
  <sheetFormatPr defaultColWidth="9.140625" defaultRowHeight="12.95"/>
  <cols>
    <col min="1" max="1" width="30.7109375" style="13" customWidth="1"/>
    <col min="2" max="35" width="6.7109375" style="13" customWidth="1"/>
    <col min="36" max="16384" width="9.140625" style="13"/>
  </cols>
  <sheetData>
    <row r="1" spans="1:35" ht="1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12"/>
      <c r="AG1" s="12"/>
      <c r="AH1" s="12"/>
      <c r="AI1" s="12"/>
    </row>
    <row r="2" spans="1:35" ht="15" customHeight="1">
      <c r="A2" s="57">
        <v>46266</v>
      </c>
      <c r="B2" s="21">
        <f>IF(COLUMN(A1)&lt;=DAY(EOMONTH($A$2,0)),COLUMN(A1),"")</f>
        <v>1</v>
      </c>
      <c r="C2" s="21">
        <f t="shared" ref="C2:AE2" si="0">IF(COLUMN(B1)&lt;=DAY(EOMONTH($A$2,0)),COLUMN(B1),"")</f>
        <v>2</v>
      </c>
      <c r="D2" s="21">
        <f t="shared" si="0"/>
        <v>3</v>
      </c>
      <c r="E2" s="21">
        <f t="shared" si="0"/>
        <v>4</v>
      </c>
      <c r="F2" s="21">
        <f t="shared" si="0"/>
        <v>5</v>
      </c>
      <c r="G2" s="21">
        <f t="shared" si="0"/>
        <v>6</v>
      </c>
      <c r="H2" s="21">
        <f t="shared" si="0"/>
        <v>7</v>
      </c>
      <c r="I2" s="21">
        <f t="shared" si="0"/>
        <v>8</v>
      </c>
      <c r="J2" s="21">
        <f t="shared" si="0"/>
        <v>9</v>
      </c>
      <c r="K2" s="21">
        <f t="shared" si="0"/>
        <v>10</v>
      </c>
      <c r="L2" s="21">
        <f t="shared" si="0"/>
        <v>11</v>
      </c>
      <c r="M2" s="21">
        <f t="shared" si="0"/>
        <v>12</v>
      </c>
      <c r="N2" s="21">
        <f t="shared" si="0"/>
        <v>13</v>
      </c>
      <c r="O2" s="21">
        <f t="shared" si="0"/>
        <v>14</v>
      </c>
      <c r="P2" s="21">
        <f t="shared" si="0"/>
        <v>15</v>
      </c>
      <c r="Q2" s="21">
        <f t="shared" si="0"/>
        <v>16</v>
      </c>
      <c r="R2" s="21">
        <f t="shared" si="0"/>
        <v>17</v>
      </c>
      <c r="S2" s="21">
        <f t="shared" si="0"/>
        <v>18</v>
      </c>
      <c r="T2" s="21">
        <f t="shared" si="0"/>
        <v>19</v>
      </c>
      <c r="U2" s="21">
        <f t="shared" si="0"/>
        <v>20</v>
      </c>
      <c r="V2" s="21">
        <f t="shared" si="0"/>
        <v>21</v>
      </c>
      <c r="W2" s="21">
        <f t="shared" si="0"/>
        <v>22</v>
      </c>
      <c r="X2" s="21">
        <f t="shared" si="0"/>
        <v>23</v>
      </c>
      <c r="Y2" s="21">
        <f t="shared" si="0"/>
        <v>24</v>
      </c>
      <c r="Z2" s="21">
        <f t="shared" si="0"/>
        <v>25</v>
      </c>
      <c r="AA2" s="21">
        <f t="shared" si="0"/>
        <v>26</v>
      </c>
      <c r="AB2" s="21">
        <f t="shared" si="0"/>
        <v>27</v>
      </c>
      <c r="AC2" s="21">
        <f t="shared" si="0"/>
        <v>28</v>
      </c>
      <c r="AD2" s="21">
        <f t="shared" si="0"/>
        <v>29</v>
      </c>
      <c r="AE2" s="21">
        <f t="shared" si="0"/>
        <v>30</v>
      </c>
      <c r="AG2" s="44" t="s">
        <v>2</v>
      </c>
      <c r="AH2" s="45"/>
      <c r="AI2" s="45"/>
    </row>
    <row r="3" spans="1:35" ht="15" customHeight="1">
      <c r="A3" s="57"/>
      <c r="B3" s="21" t="str">
        <f>UPPER(LEFT(TEXT(DATE(YEAR($A$2),MONTH($A$2),B2),"DDD"),2))</f>
        <v>TU</v>
      </c>
      <c r="C3" s="21" t="str">
        <f t="shared" ref="C3:AE3" si="1">UPPER(LEFT(TEXT(DATE(YEAR($A$2),MONTH($A$2),C2),"DDD"),2))</f>
        <v>WE</v>
      </c>
      <c r="D3" s="21" t="str">
        <f t="shared" si="1"/>
        <v>TH</v>
      </c>
      <c r="E3" s="21" t="str">
        <f t="shared" si="1"/>
        <v>FR</v>
      </c>
      <c r="F3" s="21" t="str">
        <f t="shared" si="1"/>
        <v>SA</v>
      </c>
      <c r="G3" s="21" t="str">
        <f t="shared" si="1"/>
        <v>SU</v>
      </c>
      <c r="H3" s="21" t="str">
        <f t="shared" si="1"/>
        <v>MO</v>
      </c>
      <c r="I3" s="21" t="str">
        <f t="shared" si="1"/>
        <v>TU</v>
      </c>
      <c r="J3" s="21" t="str">
        <f t="shared" si="1"/>
        <v>WE</v>
      </c>
      <c r="K3" s="21" t="str">
        <f t="shared" si="1"/>
        <v>TH</v>
      </c>
      <c r="L3" s="21" t="str">
        <f t="shared" si="1"/>
        <v>FR</v>
      </c>
      <c r="M3" s="21" t="str">
        <f t="shared" si="1"/>
        <v>SA</v>
      </c>
      <c r="N3" s="21" t="str">
        <f t="shared" si="1"/>
        <v>SU</v>
      </c>
      <c r="O3" s="21" t="str">
        <f t="shared" si="1"/>
        <v>MO</v>
      </c>
      <c r="P3" s="21" t="str">
        <f t="shared" si="1"/>
        <v>TU</v>
      </c>
      <c r="Q3" s="21" t="str">
        <f t="shared" si="1"/>
        <v>WE</v>
      </c>
      <c r="R3" s="21" t="str">
        <f t="shared" si="1"/>
        <v>TH</v>
      </c>
      <c r="S3" s="21" t="str">
        <f t="shared" si="1"/>
        <v>FR</v>
      </c>
      <c r="T3" s="21" t="str">
        <f t="shared" si="1"/>
        <v>SA</v>
      </c>
      <c r="U3" s="21" t="str">
        <f t="shared" si="1"/>
        <v>SU</v>
      </c>
      <c r="V3" s="21" t="str">
        <f t="shared" si="1"/>
        <v>MO</v>
      </c>
      <c r="W3" s="21" t="str">
        <f t="shared" si="1"/>
        <v>TU</v>
      </c>
      <c r="X3" s="21" t="str">
        <f t="shared" si="1"/>
        <v>WE</v>
      </c>
      <c r="Y3" s="21" t="str">
        <f t="shared" si="1"/>
        <v>TH</v>
      </c>
      <c r="Z3" s="21" t="str">
        <f t="shared" si="1"/>
        <v>FR</v>
      </c>
      <c r="AA3" s="21" t="str">
        <f t="shared" si="1"/>
        <v>SA</v>
      </c>
      <c r="AB3" s="21" t="str">
        <f t="shared" si="1"/>
        <v>SU</v>
      </c>
      <c r="AC3" s="21" t="str">
        <f t="shared" si="1"/>
        <v>MO</v>
      </c>
      <c r="AD3" s="21" t="str">
        <f t="shared" si="1"/>
        <v>TU</v>
      </c>
      <c r="AE3" s="21" t="str">
        <f t="shared" si="1"/>
        <v>WE</v>
      </c>
      <c r="AG3" s="1">
        <v>2026</v>
      </c>
      <c r="AH3" s="2" t="s">
        <v>3</v>
      </c>
      <c r="AI3" s="2" t="s">
        <v>4</v>
      </c>
    </row>
    <row r="4" spans="1:35" ht="15" customHeight="1">
      <c r="A4" s="22" t="s">
        <v>5</v>
      </c>
      <c r="B4" s="5" t="s">
        <v>10</v>
      </c>
      <c r="C4" s="5" t="s">
        <v>10</v>
      </c>
      <c r="D4" s="5" t="s">
        <v>10</v>
      </c>
      <c r="E4" s="5" t="s">
        <v>10</v>
      </c>
      <c r="F4" s="14" t="s">
        <v>8</v>
      </c>
      <c r="G4" s="14" t="s">
        <v>8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14" t="s">
        <v>8</v>
      </c>
      <c r="N4" s="14" t="s">
        <v>8</v>
      </c>
      <c r="O4" s="5" t="s">
        <v>10</v>
      </c>
      <c r="P4" s="5" t="s">
        <v>10</v>
      </c>
      <c r="Q4" s="5" t="s">
        <v>10</v>
      </c>
      <c r="R4" s="5" t="s">
        <v>10</v>
      </c>
      <c r="S4" s="5" t="s">
        <v>10</v>
      </c>
      <c r="T4" s="14" t="s">
        <v>8</v>
      </c>
      <c r="U4" s="14" t="s">
        <v>8</v>
      </c>
      <c r="V4" s="5" t="s">
        <v>10</v>
      </c>
      <c r="W4" s="5" t="s">
        <v>10</v>
      </c>
      <c r="X4" s="5" t="s">
        <v>10</v>
      </c>
      <c r="Y4" s="5" t="s">
        <v>10</v>
      </c>
      <c r="Z4" s="5" t="s">
        <v>10</v>
      </c>
      <c r="AA4" s="14" t="s">
        <v>8</v>
      </c>
      <c r="AB4" s="14" t="s">
        <v>8</v>
      </c>
      <c r="AC4" s="5" t="s">
        <v>10</v>
      </c>
      <c r="AD4" s="5" t="s">
        <v>10</v>
      </c>
      <c r="AE4" s="5" t="s">
        <v>10</v>
      </c>
      <c r="AG4" s="6">
        <f>AUG!AJ4</f>
        <v>22</v>
      </c>
      <c r="AH4" s="15">
        <f>COUNTIF(B4:AE4,"U")</f>
        <v>0</v>
      </c>
      <c r="AI4" s="15">
        <f t="shared" ref="AI4:AI11" si="2">AG4-AH4</f>
        <v>22</v>
      </c>
    </row>
    <row r="5" spans="1:35" ht="15" customHeight="1">
      <c r="A5" s="22" t="s">
        <v>12</v>
      </c>
      <c r="B5" s="5" t="s">
        <v>9</v>
      </c>
      <c r="C5" s="5" t="s">
        <v>9</v>
      </c>
      <c r="D5" s="5" t="s">
        <v>9</v>
      </c>
      <c r="E5" s="5" t="s">
        <v>9</v>
      </c>
      <c r="F5" s="14" t="s">
        <v>8</v>
      </c>
      <c r="G5" s="14" t="s">
        <v>8</v>
      </c>
      <c r="H5" s="5" t="s">
        <v>9</v>
      </c>
      <c r="I5" s="5" t="s">
        <v>9</v>
      </c>
      <c r="J5" s="5" t="s">
        <v>9</v>
      </c>
      <c r="K5" s="5" t="s">
        <v>9</v>
      </c>
      <c r="L5" s="5" t="s">
        <v>9</v>
      </c>
      <c r="M5" s="14" t="s">
        <v>8</v>
      </c>
      <c r="N5" s="14" t="s">
        <v>8</v>
      </c>
      <c r="O5" s="5" t="s">
        <v>9</v>
      </c>
      <c r="P5" s="5" t="s">
        <v>9</v>
      </c>
      <c r="Q5" s="5" t="s">
        <v>9</v>
      </c>
      <c r="R5" s="33" t="s">
        <v>18</v>
      </c>
      <c r="S5" s="5" t="s">
        <v>9</v>
      </c>
      <c r="T5" s="14" t="s">
        <v>8</v>
      </c>
      <c r="U5" s="14" t="s">
        <v>8</v>
      </c>
      <c r="V5" s="5" t="s">
        <v>9</v>
      </c>
      <c r="W5" s="5" t="s">
        <v>9</v>
      </c>
      <c r="X5" s="5" t="s">
        <v>9</v>
      </c>
      <c r="Y5" s="5" t="s">
        <v>9</v>
      </c>
      <c r="Z5" s="5" t="s">
        <v>9</v>
      </c>
      <c r="AA5" s="14" t="s">
        <v>8</v>
      </c>
      <c r="AB5" s="14" t="s">
        <v>8</v>
      </c>
      <c r="AC5" s="5" t="s">
        <v>9</v>
      </c>
      <c r="AD5" s="5" t="s">
        <v>9</v>
      </c>
      <c r="AE5" s="5" t="s">
        <v>9</v>
      </c>
      <c r="AG5" s="6">
        <f>AUG!AJ5</f>
        <v>22</v>
      </c>
      <c r="AH5" s="15">
        <f t="shared" ref="AH5:AH11" si="3">COUNTIF(B5:AE5,"U")</f>
        <v>0</v>
      </c>
      <c r="AI5" s="15">
        <f t="shared" si="2"/>
        <v>22</v>
      </c>
    </row>
    <row r="6" spans="1:35" ht="15" customHeight="1">
      <c r="A6" s="22" t="s">
        <v>13</v>
      </c>
      <c r="B6" s="5" t="s">
        <v>9</v>
      </c>
      <c r="C6" s="5" t="s">
        <v>9</v>
      </c>
      <c r="D6" s="5" t="s">
        <v>9</v>
      </c>
      <c r="E6" s="5" t="s">
        <v>9</v>
      </c>
      <c r="F6" s="14" t="s">
        <v>8</v>
      </c>
      <c r="G6" s="14" t="s">
        <v>8</v>
      </c>
      <c r="H6" s="5" t="s">
        <v>9</v>
      </c>
      <c r="I6" s="5" t="s">
        <v>9</v>
      </c>
      <c r="J6" s="5" t="s">
        <v>9</v>
      </c>
      <c r="K6" s="5" t="s">
        <v>9</v>
      </c>
      <c r="L6" s="5" t="s">
        <v>9</v>
      </c>
      <c r="M6" s="14" t="s">
        <v>8</v>
      </c>
      <c r="N6" s="14" t="s">
        <v>8</v>
      </c>
      <c r="O6" s="5" t="s">
        <v>9</v>
      </c>
      <c r="P6" s="5" t="s">
        <v>9</v>
      </c>
      <c r="Q6" s="5" t="s">
        <v>9</v>
      </c>
      <c r="R6" s="5" t="s">
        <v>9</v>
      </c>
      <c r="S6" s="5" t="s">
        <v>9</v>
      </c>
      <c r="T6" s="14" t="s">
        <v>8</v>
      </c>
      <c r="U6" s="14" t="s">
        <v>8</v>
      </c>
      <c r="V6" s="5" t="s">
        <v>9</v>
      </c>
      <c r="W6" s="5" t="s">
        <v>9</v>
      </c>
      <c r="X6" s="5" t="s">
        <v>9</v>
      </c>
      <c r="Y6" s="5" t="s">
        <v>9</v>
      </c>
      <c r="Z6" s="5" t="s">
        <v>9</v>
      </c>
      <c r="AA6" s="14" t="s">
        <v>8</v>
      </c>
      <c r="AB6" s="14" t="s">
        <v>8</v>
      </c>
      <c r="AC6" s="5" t="s">
        <v>9</v>
      </c>
      <c r="AD6" s="5" t="s">
        <v>9</v>
      </c>
      <c r="AE6" s="5" t="s">
        <v>9</v>
      </c>
      <c r="AG6" s="6">
        <f>AUG!AJ6</f>
        <v>19</v>
      </c>
      <c r="AH6" s="15">
        <f t="shared" si="3"/>
        <v>0</v>
      </c>
      <c r="AI6" s="15">
        <f t="shared" si="2"/>
        <v>19</v>
      </c>
    </row>
    <row r="7" spans="1:35" ht="15" customHeight="1">
      <c r="A7" s="22" t="s">
        <v>14</v>
      </c>
      <c r="B7" s="7" t="s">
        <v>15</v>
      </c>
      <c r="C7" s="7" t="s">
        <v>15</v>
      </c>
      <c r="D7" s="14" t="s">
        <v>8</v>
      </c>
      <c r="E7" s="14" t="s">
        <v>8</v>
      </c>
      <c r="F7" s="7" t="s">
        <v>15</v>
      </c>
      <c r="G7" s="7" t="s">
        <v>15</v>
      </c>
      <c r="H7" s="7" t="s">
        <v>15</v>
      </c>
      <c r="I7" s="7" t="s">
        <v>15</v>
      </c>
      <c r="J7" s="14" t="s">
        <v>8</v>
      </c>
      <c r="K7" s="14" t="s">
        <v>8</v>
      </c>
      <c r="L7" s="3" t="s">
        <v>11</v>
      </c>
      <c r="M7" s="3" t="s">
        <v>11</v>
      </c>
      <c r="N7" s="3" t="s">
        <v>11</v>
      </c>
      <c r="O7" s="3" t="s">
        <v>11</v>
      </c>
      <c r="P7" s="14" t="s">
        <v>8</v>
      </c>
      <c r="Q7" s="14" t="s">
        <v>8</v>
      </c>
      <c r="R7" s="7" t="s">
        <v>15</v>
      </c>
      <c r="S7" s="7" t="s">
        <v>15</v>
      </c>
      <c r="T7" s="7" t="s">
        <v>15</v>
      </c>
      <c r="U7" s="7" t="s">
        <v>15</v>
      </c>
      <c r="V7" s="14" t="s">
        <v>8</v>
      </c>
      <c r="W7" s="14" t="s">
        <v>8</v>
      </c>
      <c r="X7" s="3" t="s">
        <v>11</v>
      </c>
      <c r="Y7" s="3" t="s">
        <v>11</v>
      </c>
      <c r="Z7" s="3" t="s">
        <v>11</v>
      </c>
      <c r="AA7" s="3" t="s">
        <v>11</v>
      </c>
      <c r="AB7" s="3" t="s">
        <v>11</v>
      </c>
      <c r="AC7" s="14" t="s">
        <v>8</v>
      </c>
      <c r="AD7" s="14" t="s">
        <v>8</v>
      </c>
      <c r="AE7" s="7" t="s">
        <v>15</v>
      </c>
      <c r="AG7" s="6">
        <f>AUG!AJ7</f>
        <v>18</v>
      </c>
      <c r="AH7" s="15">
        <f t="shared" si="3"/>
        <v>0</v>
      </c>
      <c r="AI7" s="15">
        <f t="shared" si="2"/>
        <v>18</v>
      </c>
    </row>
    <row r="8" spans="1:35" ht="15" customHeight="1">
      <c r="A8" s="22" t="s">
        <v>17</v>
      </c>
      <c r="B8" s="14" t="s">
        <v>8</v>
      </c>
      <c r="C8" s="7" t="s">
        <v>15</v>
      </c>
      <c r="D8" s="7" t="s">
        <v>15</v>
      </c>
      <c r="E8" s="7" t="s">
        <v>15</v>
      </c>
      <c r="F8" s="7" t="s">
        <v>15</v>
      </c>
      <c r="G8" s="14" t="s">
        <v>8</v>
      </c>
      <c r="H8" s="14" t="s">
        <v>8</v>
      </c>
      <c r="I8" s="3" t="s">
        <v>11</v>
      </c>
      <c r="J8" s="3" t="s">
        <v>11</v>
      </c>
      <c r="K8" s="3" t="s">
        <v>11</v>
      </c>
      <c r="L8" s="3" t="s">
        <v>11</v>
      </c>
      <c r="M8" s="3" t="s">
        <v>11</v>
      </c>
      <c r="N8" s="14" t="s">
        <v>8</v>
      </c>
      <c r="O8" s="14" t="s">
        <v>8</v>
      </c>
      <c r="P8" s="7" t="s">
        <v>15</v>
      </c>
      <c r="Q8" s="7" t="s">
        <v>15</v>
      </c>
      <c r="R8" s="7" t="s">
        <v>15</v>
      </c>
      <c r="S8" s="7" t="s">
        <v>15</v>
      </c>
      <c r="T8" s="14" t="s">
        <v>8</v>
      </c>
      <c r="U8" s="14" t="s">
        <v>8</v>
      </c>
      <c r="V8" s="3" t="s">
        <v>11</v>
      </c>
      <c r="W8" s="3" t="s">
        <v>11</v>
      </c>
      <c r="X8" s="3" t="s">
        <v>11</v>
      </c>
      <c r="Y8" s="3" t="s">
        <v>11</v>
      </c>
      <c r="Z8" s="3" t="s">
        <v>11</v>
      </c>
      <c r="AA8" s="14" t="s">
        <v>8</v>
      </c>
      <c r="AB8" s="14" t="s">
        <v>8</v>
      </c>
      <c r="AC8" s="7" t="s">
        <v>15</v>
      </c>
      <c r="AD8" s="7" t="s">
        <v>15</v>
      </c>
      <c r="AE8" s="7" t="s">
        <v>15</v>
      </c>
      <c r="AG8" s="6">
        <f>AUG!AJ8</f>
        <v>22</v>
      </c>
      <c r="AH8" s="15">
        <f t="shared" si="3"/>
        <v>0</v>
      </c>
      <c r="AI8" s="15">
        <f t="shared" si="2"/>
        <v>22</v>
      </c>
    </row>
    <row r="9" spans="1:35" ht="15" customHeight="1">
      <c r="A9" s="22" t="s">
        <v>19</v>
      </c>
      <c r="B9" s="3" t="s">
        <v>11</v>
      </c>
      <c r="C9" s="3" t="s">
        <v>11</v>
      </c>
      <c r="D9" s="3" t="s">
        <v>11</v>
      </c>
      <c r="E9" s="3" t="s">
        <v>11</v>
      </c>
      <c r="F9" s="14" t="s">
        <v>8</v>
      </c>
      <c r="G9" s="14" t="s">
        <v>8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14" t="s">
        <v>8</v>
      </c>
      <c r="N9" s="14" t="s">
        <v>8</v>
      </c>
      <c r="O9" s="3" t="s">
        <v>11</v>
      </c>
      <c r="P9" s="3" t="s">
        <v>11</v>
      </c>
      <c r="Q9" s="3" t="s">
        <v>11</v>
      </c>
      <c r="R9" s="3" t="s">
        <v>11</v>
      </c>
      <c r="S9" s="14" t="s">
        <v>8</v>
      </c>
      <c r="T9" s="14" t="s">
        <v>8</v>
      </c>
      <c r="U9" s="7" t="s">
        <v>15</v>
      </c>
      <c r="V9" s="7" t="s">
        <v>15</v>
      </c>
      <c r="W9" s="7" t="s">
        <v>15</v>
      </c>
      <c r="X9" s="7" t="s">
        <v>15</v>
      </c>
      <c r="Y9" s="14" t="s">
        <v>8</v>
      </c>
      <c r="Z9" s="14" t="s">
        <v>8</v>
      </c>
      <c r="AA9" s="3" t="s">
        <v>11</v>
      </c>
      <c r="AB9" s="3" t="s">
        <v>11</v>
      </c>
      <c r="AC9" s="3" t="s">
        <v>11</v>
      </c>
      <c r="AD9" s="3" t="s">
        <v>11</v>
      </c>
      <c r="AE9" s="3" t="s">
        <v>11</v>
      </c>
      <c r="AG9" s="6">
        <f>AUG!AJ9</f>
        <v>22</v>
      </c>
      <c r="AH9" s="15">
        <f t="shared" si="3"/>
        <v>0</v>
      </c>
      <c r="AI9" s="15">
        <f t="shared" si="2"/>
        <v>22</v>
      </c>
    </row>
    <row r="10" spans="1:35" s="16" customFormat="1" ht="15" customHeight="1">
      <c r="A10" s="22" t="s">
        <v>20</v>
      </c>
      <c r="B10" s="3" t="s">
        <v>11</v>
      </c>
      <c r="C10" s="3" t="s">
        <v>11</v>
      </c>
      <c r="D10" s="14" t="s">
        <v>8</v>
      </c>
      <c r="E10" s="14" t="s">
        <v>8</v>
      </c>
      <c r="F10" s="3" t="s">
        <v>11</v>
      </c>
      <c r="G10" s="3" t="s">
        <v>11</v>
      </c>
      <c r="H10" s="3" t="s">
        <v>11</v>
      </c>
      <c r="I10" s="3" t="s">
        <v>11</v>
      </c>
      <c r="J10" s="14" t="s">
        <v>8</v>
      </c>
      <c r="K10" s="14" t="s">
        <v>8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14" t="s">
        <v>8</v>
      </c>
      <c r="R10" s="14" t="s">
        <v>8</v>
      </c>
      <c r="S10" s="3" t="s">
        <v>11</v>
      </c>
      <c r="T10" s="3" t="s">
        <v>11</v>
      </c>
      <c r="U10" s="3" t="s">
        <v>11</v>
      </c>
      <c r="V10" s="3" t="s">
        <v>11</v>
      </c>
      <c r="W10" s="14" t="s">
        <v>8</v>
      </c>
      <c r="X10" s="14" t="s">
        <v>8</v>
      </c>
      <c r="Y10" s="7" t="s">
        <v>15</v>
      </c>
      <c r="Z10" s="7" t="s">
        <v>15</v>
      </c>
      <c r="AA10" s="7" t="s">
        <v>15</v>
      </c>
      <c r="AB10" s="7" t="s">
        <v>15</v>
      </c>
      <c r="AC10" s="7" t="s">
        <v>15</v>
      </c>
      <c r="AD10" s="14" t="s">
        <v>8</v>
      </c>
      <c r="AE10" s="14" t="s">
        <v>8</v>
      </c>
      <c r="AF10" s="13"/>
      <c r="AG10" s="6">
        <f>AUG!AJ10</f>
        <v>22</v>
      </c>
      <c r="AH10" s="15">
        <f t="shared" si="3"/>
        <v>0</v>
      </c>
      <c r="AI10" s="15">
        <f t="shared" si="2"/>
        <v>22</v>
      </c>
    </row>
    <row r="11" spans="1:35" ht="15" customHeight="1">
      <c r="A11" s="22" t="s">
        <v>21</v>
      </c>
      <c r="B11" s="14" t="s">
        <v>8</v>
      </c>
      <c r="C11" s="14" t="s">
        <v>8</v>
      </c>
      <c r="D11" s="3" t="s">
        <v>11</v>
      </c>
      <c r="E11" s="3" t="s">
        <v>11</v>
      </c>
      <c r="F11" s="3" t="s">
        <v>11</v>
      </c>
      <c r="G11" s="3" t="s">
        <v>11</v>
      </c>
      <c r="H11" s="3" t="s">
        <v>11</v>
      </c>
      <c r="I11" s="14" t="s">
        <v>8</v>
      </c>
      <c r="J11" s="14" t="s">
        <v>8</v>
      </c>
      <c r="K11" s="7" t="s">
        <v>15</v>
      </c>
      <c r="L11" s="7" t="s">
        <v>15</v>
      </c>
      <c r="M11" s="7" t="s">
        <v>15</v>
      </c>
      <c r="N11" s="7" t="s">
        <v>15</v>
      </c>
      <c r="O11" s="14" t="s">
        <v>8</v>
      </c>
      <c r="P11" s="14" t="s">
        <v>8</v>
      </c>
      <c r="Q11" s="3" t="s">
        <v>11</v>
      </c>
      <c r="R11" s="3" t="s">
        <v>11</v>
      </c>
      <c r="S11" s="3" t="s">
        <v>11</v>
      </c>
      <c r="T11" s="3" t="s">
        <v>11</v>
      </c>
      <c r="U11" s="14" t="s">
        <v>8</v>
      </c>
      <c r="V11" s="14" t="s">
        <v>8</v>
      </c>
      <c r="W11" s="7" t="s">
        <v>15</v>
      </c>
      <c r="X11" s="7" t="s">
        <v>15</v>
      </c>
      <c r="Y11" s="7" t="s">
        <v>15</v>
      </c>
      <c r="Z11" s="7" t="s">
        <v>15</v>
      </c>
      <c r="AA11" s="7" t="s">
        <v>15</v>
      </c>
      <c r="AB11" s="14" t="s">
        <v>8</v>
      </c>
      <c r="AC11" s="14" t="s">
        <v>8</v>
      </c>
      <c r="AD11" s="3" t="s">
        <v>11</v>
      </c>
      <c r="AE11" s="3" t="s">
        <v>11</v>
      </c>
      <c r="AG11" s="6">
        <f>AUG!AJ11</f>
        <v>22</v>
      </c>
      <c r="AH11" s="15">
        <f>COUNTIF(B11:AE11,"U")</f>
        <v>0</v>
      </c>
      <c r="AI11" s="15">
        <f t="shared" si="2"/>
        <v>22</v>
      </c>
    </row>
    <row r="13" spans="1:35">
      <c r="A13" s="3" t="s">
        <v>22</v>
      </c>
      <c r="B13" s="14">
        <f>COUNTIF(B4:B11,"P06")</f>
        <v>2</v>
      </c>
      <c r="C13" s="14">
        <f t="shared" ref="C13:AE13" si="4">COUNTIF(C4:C11,"P06")</f>
        <v>2</v>
      </c>
      <c r="D13" s="14">
        <f t="shared" si="4"/>
        <v>2</v>
      </c>
      <c r="E13" s="14">
        <f t="shared" si="4"/>
        <v>2</v>
      </c>
      <c r="F13" s="14">
        <f t="shared" si="4"/>
        <v>2</v>
      </c>
      <c r="G13" s="14">
        <f t="shared" si="4"/>
        <v>2</v>
      </c>
      <c r="H13" s="14">
        <f t="shared" si="4"/>
        <v>2</v>
      </c>
      <c r="I13" s="14">
        <f t="shared" si="4"/>
        <v>2</v>
      </c>
      <c r="J13" s="14">
        <f t="shared" si="4"/>
        <v>1</v>
      </c>
      <c r="K13" s="14">
        <f t="shared" si="4"/>
        <v>1</v>
      </c>
      <c r="L13" s="14">
        <f t="shared" si="4"/>
        <v>2</v>
      </c>
      <c r="M13" s="14">
        <f t="shared" si="4"/>
        <v>2</v>
      </c>
      <c r="N13" s="14">
        <f t="shared" si="4"/>
        <v>1</v>
      </c>
      <c r="O13" s="14">
        <f t="shared" si="4"/>
        <v>2</v>
      </c>
      <c r="P13" s="14">
        <f t="shared" si="4"/>
        <v>1</v>
      </c>
      <c r="Q13" s="14">
        <f t="shared" si="4"/>
        <v>2</v>
      </c>
      <c r="R13" s="14">
        <f t="shared" si="4"/>
        <v>2</v>
      </c>
      <c r="S13" s="14">
        <f t="shared" si="4"/>
        <v>2</v>
      </c>
      <c r="T13" s="14">
        <f t="shared" si="4"/>
        <v>2</v>
      </c>
      <c r="U13" s="14">
        <f t="shared" si="4"/>
        <v>1</v>
      </c>
      <c r="V13" s="14">
        <f t="shared" si="4"/>
        <v>2</v>
      </c>
      <c r="W13" s="14">
        <f t="shared" si="4"/>
        <v>1</v>
      </c>
      <c r="X13" s="14">
        <f t="shared" si="4"/>
        <v>2</v>
      </c>
      <c r="Y13" s="14">
        <f t="shared" si="4"/>
        <v>2</v>
      </c>
      <c r="Z13" s="14">
        <f t="shared" si="4"/>
        <v>2</v>
      </c>
      <c r="AA13" s="14">
        <f t="shared" si="4"/>
        <v>2</v>
      </c>
      <c r="AB13" s="14">
        <f t="shared" si="4"/>
        <v>2</v>
      </c>
      <c r="AC13" s="14">
        <f t="shared" si="4"/>
        <v>1</v>
      </c>
      <c r="AD13" s="14">
        <f t="shared" si="4"/>
        <v>2</v>
      </c>
      <c r="AE13" s="14">
        <f t="shared" si="4"/>
        <v>2</v>
      </c>
    </row>
    <row r="14" spans="1:35">
      <c r="A14" s="7" t="s">
        <v>23</v>
      </c>
      <c r="B14" s="14">
        <f>COUNTIF(B4:B11,"P14")</f>
        <v>1</v>
      </c>
      <c r="C14" s="14">
        <f t="shared" ref="C14:AE14" si="5">COUNTIF(C4:C11,"P14")</f>
        <v>2</v>
      </c>
      <c r="D14" s="14">
        <f t="shared" si="5"/>
        <v>1</v>
      </c>
      <c r="E14" s="14">
        <f t="shared" si="5"/>
        <v>1</v>
      </c>
      <c r="F14" s="14">
        <f t="shared" si="5"/>
        <v>2</v>
      </c>
      <c r="G14" s="14">
        <f t="shared" si="5"/>
        <v>1</v>
      </c>
      <c r="H14" s="14">
        <f t="shared" si="5"/>
        <v>2</v>
      </c>
      <c r="I14" s="14">
        <f t="shared" si="5"/>
        <v>2</v>
      </c>
      <c r="J14" s="14">
        <f t="shared" si="5"/>
        <v>1</v>
      </c>
      <c r="K14" s="14">
        <f t="shared" si="5"/>
        <v>2</v>
      </c>
      <c r="L14" s="14">
        <f t="shared" si="5"/>
        <v>3</v>
      </c>
      <c r="M14" s="14">
        <f t="shared" si="5"/>
        <v>2</v>
      </c>
      <c r="N14" s="14">
        <f t="shared" si="5"/>
        <v>2</v>
      </c>
      <c r="O14" s="14">
        <f t="shared" si="5"/>
        <v>1</v>
      </c>
      <c r="P14" s="14">
        <f t="shared" si="5"/>
        <v>2</v>
      </c>
      <c r="Q14" s="14">
        <f t="shared" si="5"/>
        <v>1</v>
      </c>
      <c r="R14" s="14">
        <f t="shared" si="5"/>
        <v>2</v>
      </c>
      <c r="S14" s="14">
        <f t="shared" si="5"/>
        <v>2</v>
      </c>
      <c r="T14" s="14">
        <f t="shared" si="5"/>
        <v>1</v>
      </c>
      <c r="U14" s="14">
        <f t="shared" si="5"/>
        <v>2</v>
      </c>
      <c r="V14" s="14">
        <f t="shared" si="5"/>
        <v>1</v>
      </c>
      <c r="W14" s="14">
        <f t="shared" si="5"/>
        <v>2</v>
      </c>
      <c r="X14" s="14">
        <f t="shared" si="5"/>
        <v>2</v>
      </c>
      <c r="Y14" s="14">
        <f t="shared" si="5"/>
        <v>2</v>
      </c>
      <c r="Z14" s="14">
        <f t="shared" si="5"/>
        <v>2</v>
      </c>
      <c r="AA14" s="14">
        <f t="shared" si="5"/>
        <v>2</v>
      </c>
      <c r="AB14" s="14">
        <f t="shared" si="5"/>
        <v>1</v>
      </c>
      <c r="AC14" s="14">
        <f t="shared" si="5"/>
        <v>2</v>
      </c>
      <c r="AD14" s="14">
        <f t="shared" si="5"/>
        <v>1</v>
      </c>
      <c r="AE14" s="14">
        <f t="shared" si="5"/>
        <v>2</v>
      </c>
    </row>
    <row r="15" spans="1:35" ht="13.5" thickBot="1"/>
    <row r="16" spans="1:35">
      <c r="E16" s="42"/>
      <c r="F16" s="46" t="s">
        <v>24</v>
      </c>
      <c r="G16" s="59"/>
      <c r="H16" s="46" t="s">
        <v>25</v>
      </c>
      <c r="I16" s="47"/>
      <c r="M16" s="6" t="s">
        <v>8</v>
      </c>
      <c r="N16" s="24" t="s">
        <v>26</v>
      </c>
      <c r="O16" s="25"/>
      <c r="P16" s="25"/>
      <c r="Q16" s="25"/>
      <c r="R16" s="25"/>
      <c r="S16" s="4" t="s">
        <v>27</v>
      </c>
      <c r="T16" s="26" t="s">
        <v>28</v>
      </c>
      <c r="U16" s="27"/>
      <c r="V16" s="27"/>
      <c r="W16" s="27"/>
      <c r="X16" s="28"/>
      <c r="Z16" s="60" t="s">
        <v>29</v>
      </c>
      <c r="AA16" s="61"/>
      <c r="AB16" s="61"/>
      <c r="AC16" s="61"/>
      <c r="AD16" s="61"/>
      <c r="AE16" s="61"/>
      <c r="AF16" s="61"/>
    </row>
    <row r="17" spans="5:32">
      <c r="E17" s="3" t="s">
        <v>11</v>
      </c>
      <c r="F17" s="48" t="s">
        <v>30</v>
      </c>
      <c r="G17" s="58"/>
      <c r="H17" s="48" t="s">
        <v>31</v>
      </c>
      <c r="I17" s="49"/>
      <c r="M17" s="11" t="s">
        <v>32</v>
      </c>
      <c r="N17" s="17" t="s">
        <v>33</v>
      </c>
      <c r="O17" s="29"/>
      <c r="P17" s="29"/>
      <c r="Q17" s="29"/>
      <c r="R17" s="29"/>
      <c r="S17" s="4" t="s">
        <v>34</v>
      </c>
      <c r="T17" s="17" t="s">
        <v>35</v>
      </c>
      <c r="U17" s="29"/>
      <c r="V17" s="29"/>
      <c r="W17" s="29"/>
      <c r="X17" s="19"/>
      <c r="Z17" s="62"/>
      <c r="AA17" s="63"/>
      <c r="AB17" s="63"/>
      <c r="AC17" s="63"/>
      <c r="AD17" s="63"/>
      <c r="AE17" s="63"/>
      <c r="AF17" s="63"/>
    </row>
    <row r="18" spans="5:32">
      <c r="E18" s="5" t="s">
        <v>10</v>
      </c>
      <c r="F18" s="50" t="s">
        <v>36</v>
      </c>
      <c r="G18" s="52"/>
      <c r="H18" s="50" t="s">
        <v>37</v>
      </c>
      <c r="I18" s="51"/>
      <c r="M18" s="23" t="s">
        <v>6</v>
      </c>
      <c r="N18" s="18" t="s">
        <v>38</v>
      </c>
      <c r="O18" s="30"/>
      <c r="P18" s="30"/>
      <c r="Q18" s="30"/>
      <c r="R18" s="30"/>
      <c r="S18" s="6" t="s">
        <v>39</v>
      </c>
      <c r="T18" s="17" t="s">
        <v>40</v>
      </c>
      <c r="U18" s="29"/>
      <c r="V18" s="29"/>
      <c r="W18" s="29"/>
      <c r="X18" s="19"/>
      <c r="Z18" s="62"/>
      <c r="AA18" s="63"/>
      <c r="AB18" s="63"/>
      <c r="AC18" s="63"/>
      <c r="AD18" s="63"/>
      <c r="AE18" s="63"/>
      <c r="AF18" s="63"/>
    </row>
    <row r="19" spans="5:32">
      <c r="E19" s="5" t="s">
        <v>9</v>
      </c>
      <c r="F19" s="50" t="s">
        <v>41</v>
      </c>
      <c r="G19" s="52"/>
      <c r="H19" s="50" t="s">
        <v>42</v>
      </c>
      <c r="I19" s="51"/>
      <c r="M19" s="31" t="s">
        <v>16</v>
      </c>
      <c r="N19" s="17" t="s">
        <v>43</v>
      </c>
      <c r="O19" s="29"/>
      <c r="P19" s="29"/>
      <c r="Q19" s="29"/>
      <c r="R19" s="29"/>
      <c r="S19" s="6" t="s">
        <v>44</v>
      </c>
      <c r="T19" s="17" t="s">
        <v>40</v>
      </c>
      <c r="U19" s="29"/>
      <c r="V19" s="29"/>
      <c r="W19" s="29"/>
      <c r="X19" s="19"/>
    </row>
    <row r="20" spans="5:32">
      <c r="E20" s="7" t="s">
        <v>15</v>
      </c>
      <c r="F20" s="50" t="s">
        <v>45</v>
      </c>
      <c r="G20" s="52"/>
      <c r="H20" s="50" t="s">
        <v>46</v>
      </c>
      <c r="I20" s="51"/>
      <c r="M20" s="31" t="s">
        <v>7</v>
      </c>
      <c r="N20" s="17" t="s">
        <v>47</v>
      </c>
      <c r="O20" s="29"/>
      <c r="P20" s="29"/>
      <c r="Q20" s="29"/>
      <c r="R20" s="19"/>
      <c r="S20" s="6" t="s">
        <v>48</v>
      </c>
      <c r="T20" s="17" t="s">
        <v>40</v>
      </c>
      <c r="U20" s="29"/>
      <c r="V20" s="29"/>
      <c r="W20" s="29"/>
      <c r="X20" s="19"/>
    </row>
    <row r="21" spans="5:32">
      <c r="E21" s="8" t="s">
        <v>49</v>
      </c>
      <c r="F21" s="53" t="s">
        <v>50</v>
      </c>
      <c r="G21" s="54"/>
      <c r="H21" s="53" t="s">
        <v>51</v>
      </c>
      <c r="I21" s="55"/>
      <c r="M21" s="32" t="s">
        <v>6</v>
      </c>
      <c r="N21" s="17" t="s">
        <v>52</v>
      </c>
      <c r="O21" s="29"/>
      <c r="P21" s="29"/>
      <c r="Q21" s="29"/>
      <c r="R21" s="29"/>
      <c r="S21" s="20" t="s">
        <v>53</v>
      </c>
      <c r="T21" s="17" t="s">
        <v>54</v>
      </c>
      <c r="U21" s="29"/>
      <c r="V21" s="29"/>
      <c r="W21" s="29"/>
      <c r="X21" s="19"/>
    </row>
    <row r="22" spans="5:32">
      <c r="M22" s="32" t="s">
        <v>16</v>
      </c>
      <c r="N22" s="17" t="s">
        <v>55</v>
      </c>
      <c r="O22" s="29"/>
      <c r="P22" s="29"/>
      <c r="Q22" s="29"/>
      <c r="R22" s="29"/>
      <c r="S22" s="9" t="s">
        <v>56</v>
      </c>
      <c r="T22" s="17" t="s">
        <v>54</v>
      </c>
      <c r="U22" s="29"/>
      <c r="V22" s="29"/>
      <c r="W22" s="29"/>
      <c r="X22" s="19"/>
    </row>
    <row r="23" spans="5:32">
      <c r="M23" s="33" t="s">
        <v>18</v>
      </c>
      <c r="N23" s="17" t="s">
        <v>57</v>
      </c>
      <c r="O23" s="29"/>
      <c r="P23" s="29"/>
      <c r="Q23" s="29"/>
      <c r="R23" s="29"/>
      <c r="S23" s="9" t="s">
        <v>58</v>
      </c>
      <c r="T23" s="17" t="s">
        <v>54</v>
      </c>
      <c r="U23" s="29"/>
      <c r="V23" s="29"/>
      <c r="W23" s="29"/>
      <c r="X23" s="19"/>
    </row>
    <row r="24" spans="5:32">
      <c r="M24" s="33" t="s">
        <v>59</v>
      </c>
      <c r="N24" s="17" t="s">
        <v>60</v>
      </c>
      <c r="O24" s="29"/>
      <c r="P24" s="29"/>
      <c r="Q24" s="29"/>
      <c r="R24" s="29"/>
      <c r="S24" s="9" t="s">
        <v>61</v>
      </c>
      <c r="T24" s="17" t="s">
        <v>54</v>
      </c>
      <c r="U24" s="29"/>
      <c r="V24" s="29"/>
      <c r="W24" s="29"/>
      <c r="X24" s="19"/>
    </row>
    <row r="25" spans="5:32">
      <c r="M25" s="34" t="s">
        <v>62</v>
      </c>
      <c r="N25" s="17" t="s">
        <v>63</v>
      </c>
      <c r="O25" s="29"/>
      <c r="P25" s="29"/>
      <c r="Q25" s="29"/>
      <c r="R25" s="29"/>
      <c r="S25" s="10" t="s">
        <v>64</v>
      </c>
      <c r="T25" s="17" t="s">
        <v>54</v>
      </c>
      <c r="U25" s="29"/>
      <c r="V25" s="29"/>
      <c r="W25" s="29"/>
      <c r="X25" s="19"/>
    </row>
    <row r="26" spans="5:32">
      <c r="M26" s="35" t="s">
        <v>65</v>
      </c>
      <c r="N26" s="17" t="s">
        <v>66</v>
      </c>
      <c r="O26" s="29"/>
      <c r="P26" s="29"/>
      <c r="Q26" s="29"/>
      <c r="R26" s="29"/>
      <c r="S26" s="6" t="s">
        <v>67</v>
      </c>
      <c r="T26" s="17" t="s">
        <v>54</v>
      </c>
      <c r="U26" s="29"/>
      <c r="V26" s="29"/>
      <c r="W26" s="29"/>
      <c r="X26" s="19"/>
    </row>
    <row r="27" spans="5:32">
      <c r="M27" s="36" t="s">
        <v>68</v>
      </c>
      <c r="N27" s="17" t="s">
        <v>69</v>
      </c>
      <c r="O27" s="29"/>
      <c r="P27" s="29"/>
      <c r="Q27" s="29"/>
      <c r="R27" s="29"/>
      <c r="S27" s="6" t="s">
        <v>70</v>
      </c>
      <c r="T27" s="17" t="s">
        <v>54</v>
      </c>
      <c r="U27" s="29"/>
      <c r="V27" s="29"/>
      <c r="W27" s="29"/>
      <c r="X27" s="19"/>
    </row>
    <row r="28" spans="5:32">
      <c r="M28" s="37" t="s">
        <v>71</v>
      </c>
      <c r="N28" s="18" t="s">
        <v>72</v>
      </c>
      <c r="O28" s="30"/>
      <c r="P28" s="30"/>
      <c r="Q28" s="30"/>
      <c r="R28" s="30"/>
      <c r="S28" s="11" t="s">
        <v>73</v>
      </c>
      <c r="T28" s="17" t="s">
        <v>54</v>
      </c>
      <c r="U28" s="29"/>
      <c r="V28" s="29"/>
      <c r="W28" s="29"/>
      <c r="X28" s="19"/>
    </row>
    <row r="29" spans="5:32">
      <c r="M29" s="10" t="s">
        <v>74</v>
      </c>
      <c r="N29" s="17" t="s">
        <v>75</v>
      </c>
      <c r="O29" s="29"/>
      <c r="P29" s="29"/>
      <c r="Q29" s="29"/>
      <c r="R29" s="29"/>
      <c r="S29" s="6" t="s">
        <v>76</v>
      </c>
      <c r="T29" s="17" t="s">
        <v>54</v>
      </c>
      <c r="U29" s="29"/>
      <c r="V29" s="29"/>
      <c r="W29" s="29"/>
      <c r="X29" s="19"/>
    </row>
    <row r="30" spans="5:32">
      <c r="M30" s="37" t="s">
        <v>77</v>
      </c>
      <c r="N30" s="38" t="s">
        <v>78</v>
      </c>
      <c r="O30" s="39"/>
      <c r="P30" s="39"/>
      <c r="Q30" s="39"/>
      <c r="R30" s="39"/>
      <c r="S30" s="40" t="s">
        <v>79</v>
      </c>
      <c r="T30" s="38" t="s">
        <v>80</v>
      </c>
      <c r="U30" s="39"/>
      <c r="V30" s="39"/>
      <c r="W30" s="39"/>
      <c r="X30" s="41"/>
    </row>
  </sheetData>
  <mergeCells count="16">
    <mergeCell ref="F20:G20"/>
    <mergeCell ref="H20:I20"/>
    <mergeCell ref="F21:G21"/>
    <mergeCell ref="H21:I21"/>
    <mergeCell ref="F17:G17"/>
    <mergeCell ref="H17:I17"/>
    <mergeCell ref="F18:G18"/>
    <mergeCell ref="H18:I18"/>
    <mergeCell ref="F19:G19"/>
    <mergeCell ref="H19:I19"/>
    <mergeCell ref="A1:AE1"/>
    <mergeCell ref="A2:A3"/>
    <mergeCell ref="AG2:AI2"/>
    <mergeCell ref="F16:G16"/>
    <mergeCell ref="H16:I16"/>
    <mergeCell ref="Z16:AF18"/>
  </mergeCells>
  <conditionalFormatting sqref="B2:AE3">
    <cfRule type="expression" dxfId="11" priority="3">
      <formula>WEEKDAY(DATE(YEAR($A$2),MONTH($A$2),B$2),2)&gt;5</formula>
    </cfRule>
  </conditionalFormatting>
  <conditionalFormatting sqref="B13:AE14">
    <cfRule type="cellIs" dxfId="10" priority="1" operator="equal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1EE7-E951-4CE3-89F9-97FEAFB309A2}">
  <dimension ref="A1:AJ30"/>
  <sheetViews>
    <sheetView zoomScale="85" zoomScaleNormal="85" workbookViewId="0">
      <pane xSplit="1" ySplit="3" topLeftCell="B4" activePane="bottomRight" state="frozen"/>
      <selection pane="bottomRight" activeCell="AI12" sqref="AI12"/>
      <selection pane="bottomLeft"/>
      <selection pane="topRight"/>
    </sheetView>
  </sheetViews>
  <sheetFormatPr defaultColWidth="9.140625" defaultRowHeight="12.95"/>
  <cols>
    <col min="1" max="1" width="30.7109375" style="13" customWidth="1"/>
    <col min="2" max="36" width="6.7109375" style="13" customWidth="1"/>
    <col min="37" max="16384" width="9.140625" style="13"/>
  </cols>
  <sheetData>
    <row r="1" spans="1:36" ht="1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12"/>
      <c r="AH1" s="12"/>
      <c r="AI1" s="12"/>
      <c r="AJ1" s="12"/>
    </row>
    <row r="2" spans="1:36" ht="15" customHeight="1">
      <c r="A2" s="57">
        <v>46296</v>
      </c>
      <c r="B2" s="21">
        <f>IF(COLUMN(A1)&lt;=DAY(EOMONTH($A$2,0)),COLUMN(A1),"")</f>
        <v>1</v>
      </c>
      <c r="C2" s="21">
        <f t="shared" ref="C2:AF2" si="0">IF(COLUMN(B1)&lt;=DAY(EOMONTH($A$2,0)),COLUMN(B1),"")</f>
        <v>2</v>
      </c>
      <c r="D2" s="21">
        <f t="shared" si="0"/>
        <v>3</v>
      </c>
      <c r="E2" s="21">
        <f t="shared" si="0"/>
        <v>4</v>
      </c>
      <c r="F2" s="23">
        <f t="shared" si="0"/>
        <v>5</v>
      </c>
      <c r="G2" s="21">
        <f t="shared" si="0"/>
        <v>6</v>
      </c>
      <c r="H2" s="21">
        <f t="shared" si="0"/>
        <v>7</v>
      </c>
      <c r="I2" s="21">
        <f t="shared" si="0"/>
        <v>8</v>
      </c>
      <c r="J2" s="21">
        <f t="shared" si="0"/>
        <v>9</v>
      </c>
      <c r="K2" s="21">
        <f t="shared" si="0"/>
        <v>10</v>
      </c>
      <c r="L2" s="21">
        <f t="shared" si="0"/>
        <v>11</v>
      </c>
      <c r="M2" s="21">
        <f t="shared" si="0"/>
        <v>12</v>
      </c>
      <c r="N2" s="21">
        <f t="shared" si="0"/>
        <v>13</v>
      </c>
      <c r="O2" s="21">
        <f t="shared" si="0"/>
        <v>14</v>
      </c>
      <c r="P2" s="21">
        <f t="shared" si="0"/>
        <v>15</v>
      </c>
      <c r="Q2" s="21">
        <f t="shared" si="0"/>
        <v>16</v>
      </c>
      <c r="R2" s="21">
        <f t="shared" si="0"/>
        <v>17</v>
      </c>
      <c r="S2" s="21">
        <f t="shared" si="0"/>
        <v>18</v>
      </c>
      <c r="T2" s="21">
        <f t="shared" si="0"/>
        <v>19</v>
      </c>
      <c r="U2" s="21">
        <f t="shared" si="0"/>
        <v>20</v>
      </c>
      <c r="V2" s="21">
        <f t="shared" si="0"/>
        <v>21</v>
      </c>
      <c r="W2" s="21">
        <f t="shared" si="0"/>
        <v>22</v>
      </c>
      <c r="X2" s="21">
        <f t="shared" si="0"/>
        <v>23</v>
      </c>
      <c r="Y2" s="21">
        <f t="shared" si="0"/>
        <v>24</v>
      </c>
      <c r="Z2" s="21">
        <f t="shared" si="0"/>
        <v>25</v>
      </c>
      <c r="AA2" s="21">
        <f t="shared" si="0"/>
        <v>26</v>
      </c>
      <c r="AB2" s="21">
        <f t="shared" si="0"/>
        <v>27</v>
      </c>
      <c r="AC2" s="21">
        <f t="shared" si="0"/>
        <v>28</v>
      </c>
      <c r="AD2" s="21">
        <f t="shared" si="0"/>
        <v>29</v>
      </c>
      <c r="AE2" s="21">
        <f t="shared" si="0"/>
        <v>30</v>
      </c>
      <c r="AF2" s="21">
        <f t="shared" si="0"/>
        <v>31</v>
      </c>
      <c r="AH2" s="44" t="s">
        <v>2</v>
      </c>
      <c r="AI2" s="45"/>
      <c r="AJ2" s="45"/>
    </row>
    <row r="3" spans="1:36" ht="15" customHeight="1">
      <c r="A3" s="57"/>
      <c r="B3" s="21" t="str">
        <f>UPPER(LEFT(TEXT(DATE(YEAR($A$2),MONTH($A$2),B2),"DDD"),2))</f>
        <v>TH</v>
      </c>
      <c r="C3" s="21" t="str">
        <f t="shared" ref="C3:AF3" si="1">UPPER(LEFT(TEXT(DATE(YEAR($A$2),MONTH($A$2),C2),"DDD"),2))</f>
        <v>FR</v>
      </c>
      <c r="D3" s="21" t="str">
        <f t="shared" si="1"/>
        <v>SA</v>
      </c>
      <c r="E3" s="21" t="str">
        <f t="shared" si="1"/>
        <v>SU</v>
      </c>
      <c r="F3" s="23" t="str">
        <f t="shared" si="1"/>
        <v>MO</v>
      </c>
      <c r="G3" s="21" t="str">
        <f t="shared" si="1"/>
        <v>TU</v>
      </c>
      <c r="H3" s="21" t="str">
        <f t="shared" si="1"/>
        <v>WE</v>
      </c>
      <c r="I3" s="21" t="str">
        <f t="shared" si="1"/>
        <v>TH</v>
      </c>
      <c r="J3" s="21" t="str">
        <f t="shared" si="1"/>
        <v>FR</v>
      </c>
      <c r="K3" s="21" t="str">
        <f t="shared" si="1"/>
        <v>SA</v>
      </c>
      <c r="L3" s="21" t="str">
        <f t="shared" si="1"/>
        <v>SU</v>
      </c>
      <c r="M3" s="21" t="str">
        <f t="shared" si="1"/>
        <v>MO</v>
      </c>
      <c r="N3" s="21" t="str">
        <f t="shared" si="1"/>
        <v>TU</v>
      </c>
      <c r="O3" s="21" t="str">
        <f t="shared" si="1"/>
        <v>WE</v>
      </c>
      <c r="P3" s="21" t="str">
        <f t="shared" si="1"/>
        <v>TH</v>
      </c>
      <c r="Q3" s="21" t="str">
        <f t="shared" si="1"/>
        <v>FR</v>
      </c>
      <c r="R3" s="21" t="str">
        <f t="shared" si="1"/>
        <v>SA</v>
      </c>
      <c r="S3" s="21" t="str">
        <f t="shared" si="1"/>
        <v>SU</v>
      </c>
      <c r="T3" s="21" t="str">
        <f t="shared" si="1"/>
        <v>MO</v>
      </c>
      <c r="U3" s="21" t="str">
        <f t="shared" si="1"/>
        <v>TU</v>
      </c>
      <c r="V3" s="21" t="str">
        <f t="shared" si="1"/>
        <v>WE</v>
      </c>
      <c r="W3" s="21" t="str">
        <f t="shared" si="1"/>
        <v>TH</v>
      </c>
      <c r="X3" s="21" t="str">
        <f t="shared" si="1"/>
        <v>FR</v>
      </c>
      <c r="Y3" s="21" t="str">
        <f t="shared" si="1"/>
        <v>SA</v>
      </c>
      <c r="Z3" s="21" t="str">
        <f t="shared" si="1"/>
        <v>SU</v>
      </c>
      <c r="AA3" s="21" t="str">
        <f t="shared" si="1"/>
        <v>MO</v>
      </c>
      <c r="AB3" s="21" t="str">
        <f t="shared" si="1"/>
        <v>TU</v>
      </c>
      <c r="AC3" s="21" t="str">
        <f t="shared" si="1"/>
        <v>WE</v>
      </c>
      <c r="AD3" s="21" t="str">
        <f t="shared" si="1"/>
        <v>TH</v>
      </c>
      <c r="AE3" s="21" t="str">
        <f t="shared" si="1"/>
        <v>FR</v>
      </c>
      <c r="AF3" s="21" t="str">
        <f t="shared" si="1"/>
        <v>SA</v>
      </c>
      <c r="AH3" s="1">
        <v>2026</v>
      </c>
      <c r="AI3" s="2" t="s">
        <v>3</v>
      </c>
      <c r="AJ3" s="2" t="s">
        <v>4</v>
      </c>
    </row>
    <row r="4" spans="1:36" ht="15" customHeight="1">
      <c r="A4" s="22" t="s">
        <v>5</v>
      </c>
      <c r="B4" s="5" t="s">
        <v>10</v>
      </c>
      <c r="C4" s="5" t="s">
        <v>10</v>
      </c>
      <c r="D4" s="14" t="s">
        <v>8</v>
      </c>
      <c r="E4" s="14" t="s">
        <v>8</v>
      </c>
      <c r="F4" s="23" t="s">
        <v>6</v>
      </c>
      <c r="G4" s="5" t="s">
        <v>10</v>
      </c>
      <c r="H4" s="5" t="s">
        <v>10</v>
      </c>
      <c r="I4" s="5" t="s">
        <v>10</v>
      </c>
      <c r="J4" s="5" t="s">
        <v>10</v>
      </c>
      <c r="K4" s="14" t="s">
        <v>8</v>
      </c>
      <c r="L4" s="14" t="s">
        <v>8</v>
      </c>
      <c r="M4" s="5" t="s">
        <v>10</v>
      </c>
      <c r="N4" s="5" t="s">
        <v>10</v>
      </c>
      <c r="O4" s="5" t="s">
        <v>10</v>
      </c>
      <c r="P4" s="5" t="s">
        <v>10</v>
      </c>
      <c r="Q4" s="5" t="s">
        <v>10</v>
      </c>
      <c r="R4" s="14" t="s">
        <v>8</v>
      </c>
      <c r="S4" s="14" t="s">
        <v>8</v>
      </c>
      <c r="T4" s="5" t="s">
        <v>10</v>
      </c>
      <c r="U4" s="5" t="s">
        <v>10</v>
      </c>
      <c r="V4" s="5" t="s">
        <v>10</v>
      </c>
      <c r="W4" s="5" t="s">
        <v>10</v>
      </c>
      <c r="X4" s="5" t="s">
        <v>10</v>
      </c>
      <c r="Y4" s="14" t="s">
        <v>8</v>
      </c>
      <c r="Z4" s="14" t="s">
        <v>8</v>
      </c>
      <c r="AA4" s="5" t="s">
        <v>10</v>
      </c>
      <c r="AB4" s="5" t="s">
        <v>10</v>
      </c>
      <c r="AC4" s="5" t="s">
        <v>10</v>
      </c>
      <c r="AD4" s="5" t="s">
        <v>10</v>
      </c>
      <c r="AE4" s="5" t="s">
        <v>10</v>
      </c>
      <c r="AF4" s="14" t="s">
        <v>8</v>
      </c>
      <c r="AH4" s="6">
        <f>SEP!AI4</f>
        <v>22</v>
      </c>
      <c r="AI4" s="15">
        <f>COUNTIF(B4:AF4,"U")</f>
        <v>0</v>
      </c>
      <c r="AJ4" s="15">
        <f t="shared" ref="AJ4:AJ11" si="2">AH4-AI4</f>
        <v>22</v>
      </c>
    </row>
    <row r="5" spans="1:36" ht="15" customHeight="1">
      <c r="A5" s="22" t="s">
        <v>12</v>
      </c>
      <c r="B5" s="5" t="s">
        <v>9</v>
      </c>
      <c r="C5" s="5" t="s">
        <v>9</v>
      </c>
      <c r="D5" s="14" t="s">
        <v>8</v>
      </c>
      <c r="E5" s="14" t="s">
        <v>8</v>
      </c>
      <c r="F5" s="23" t="s">
        <v>6</v>
      </c>
      <c r="G5" s="5" t="s">
        <v>9</v>
      </c>
      <c r="H5" s="5" t="s">
        <v>9</v>
      </c>
      <c r="I5" s="5" t="s">
        <v>9</v>
      </c>
      <c r="J5" s="5" t="s">
        <v>9</v>
      </c>
      <c r="K5" s="14" t="s">
        <v>8</v>
      </c>
      <c r="L5" s="14" t="s">
        <v>8</v>
      </c>
      <c r="M5" s="5" t="s">
        <v>9</v>
      </c>
      <c r="N5" s="5" t="s">
        <v>9</v>
      </c>
      <c r="O5" s="5" t="s">
        <v>9</v>
      </c>
      <c r="P5" s="5" t="s">
        <v>9</v>
      </c>
      <c r="Q5" s="5" t="s">
        <v>9</v>
      </c>
      <c r="R5" s="14" t="s">
        <v>8</v>
      </c>
      <c r="S5" s="14" t="s">
        <v>8</v>
      </c>
      <c r="T5" s="5" t="s">
        <v>9</v>
      </c>
      <c r="U5" s="5" t="s">
        <v>9</v>
      </c>
      <c r="V5" s="5" t="s">
        <v>9</v>
      </c>
      <c r="W5" s="5" t="s">
        <v>9</v>
      </c>
      <c r="X5" s="5" t="s">
        <v>9</v>
      </c>
      <c r="Y5" s="14" t="s">
        <v>8</v>
      </c>
      <c r="Z5" s="14" t="s">
        <v>8</v>
      </c>
      <c r="AA5" s="5" t="s">
        <v>9</v>
      </c>
      <c r="AB5" s="5" t="s">
        <v>9</v>
      </c>
      <c r="AC5" s="5" t="s">
        <v>9</v>
      </c>
      <c r="AD5" s="5" t="s">
        <v>9</v>
      </c>
      <c r="AE5" s="5" t="s">
        <v>9</v>
      </c>
      <c r="AF5" s="14" t="s">
        <v>8</v>
      </c>
      <c r="AH5" s="6">
        <f>SEP!AI5</f>
        <v>22</v>
      </c>
      <c r="AI5" s="15">
        <f t="shared" ref="AI5:AI11" si="3">COUNTIF(B5:AF5,"U")</f>
        <v>0</v>
      </c>
      <c r="AJ5" s="15">
        <f t="shared" si="2"/>
        <v>22</v>
      </c>
    </row>
    <row r="6" spans="1:36" ht="15" customHeight="1">
      <c r="A6" s="22" t="s">
        <v>13</v>
      </c>
      <c r="B6" s="5" t="s">
        <v>9</v>
      </c>
      <c r="C6" s="5" t="s">
        <v>9</v>
      </c>
      <c r="D6" s="14" t="s">
        <v>8</v>
      </c>
      <c r="E6" s="14" t="s">
        <v>8</v>
      </c>
      <c r="F6" s="23" t="s">
        <v>6</v>
      </c>
      <c r="G6" s="5" t="s">
        <v>9</v>
      </c>
      <c r="H6" s="5" t="s">
        <v>9</v>
      </c>
      <c r="I6" s="5" t="s">
        <v>9</v>
      </c>
      <c r="J6" s="5" t="s">
        <v>9</v>
      </c>
      <c r="K6" s="14" t="s">
        <v>8</v>
      </c>
      <c r="L6" s="14" t="s">
        <v>8</v>
      </c>
      <c r="M6" s="5" t="s">
        <v>9</v>
      </c>
      <c r="N6" s="5" t="s">
        <v>9</v>
      </c>
      <c r="O6" s="5" t="s">
        <v>9</v>
      </c>
      <c r="P6" s="5" t="s">
        <v>9</v>
      </c>
      <c r="Q6" s="5" t="s">
        <v>9</v>
      </c>
      <c r="R6" s="14" t="s">
        <v>8</v>
      </c>
      <c r="S6" s="14" t="s">
        <v>8</v>
      </c>
      <c r="T6" s="5" t="s">
        <v>9</v>
      </c>
      <c r="U6" s="5" t="s">
        <v>9</v>
      </c>
      <c r="V6" s="5" t="s">
        <v>9</v>
      </c>
      <c r="W6" s="5" t="s">
        <v>9</v>
      </c>
      <c r="X6" s="5" t="s">
        <v>9</v>
      </c>
      <c r="Y6" s="14" t="s">
        <v>8</v>
      </c>
      <c r="Z6" s="14" t="s">
        <v>8</v>
      </c>
      <c r="AA6" s="5" t="s">
        <v>9</v>
      </c>
      <c r="AB6" s="5" t="s">
        <v>9</v>
      </c>
      <c r="AC6" s="5" t="s">
        <v>9</v>
      </c>
      <c r="AD6" s="5" t="s">
        <v>9</v>
      </c>
      <c r="AE6" s="5" t="s">
        <v>9</v>
      </c>
      <c r="AF6" s="14" t="s">
        <v>8</v>
      </c>
      <c r="AH6" s="6">
        <f>SEP!AI6</f>
        <v>19</v>
      </c>
      <c r="AI6" s="15">
        <f t="shared" si="3"/>
        <v>0</v>
      </c>
      <c r="AJ6" s="15">
        <f t="shared" si="2"/>
        <v>19</v>
      </c>
    </row>
    <row r="7" spans="1:36" ht="15" customHeight="1">
      <c r="A7" s="22" t="s">
        <v>14</v>
      </c>
      <c r="B7" s="7" t="s">
        <v>15</v>
      </c>
      <c r="C7" s="7" t="s">
        <v>15</v>
      </c>
      <c r="D7" s="7" t="s">
        <v>15</v>
      </c>
      <c r="E7" s="14" t="s">
        <v>8</v>
      </c>
      <c r="F7" s="14" t="s">
        <v>8</v>
      </c>
      <c r="G7" s="3" t="s">
        <v>11</v>
      </c>
      <c r="H7" s="3" t="s">
        <v>11</v>
      </c>
      <c r="I7" s="3" t="s">
        <v>11</v>
      </c>
      <c r="J7" s="3" t="s">
        <v>11</v>
      </c>
      <c r="K7" s="14" t="s">
        <v>8</v>
      </c>
      <c r="L7" s="14" t="s">
        <v>8</v>
      </c>
      <c r="M7" s="7" t="s">
        <v>15</v>
      </c>
      <c r="N7" s="7" t="s">
        <v>15</v>
      </c>
      <c r="O7" s="7" t="s">
        <v>15</v>
      </c>
      <c r="P7" s="7" t="s">
        <v>15</v>
      </c>
      <c r="Q7" s="7" t="s">
        <v>15</v>
      </c>
      <c r="R7" s="14" t="s">
        <v>8</v>
      </c>
      <c r="S7" s="14" t="s">
        <v>8</v>
      </c>
      <c r="T7" s="3" t="s">
        <v>11</v>
      </c>
      <c r="U7" s="3" t="s">
        <v>11</v>
      </c>
      <c r="V7" s="3" t="s">
        <v>11</v>
      </c>
      <c r="W7" s="3" t="s">
        <v>11</v>
      </c>
      <c r="X7" s="14" t="s">
        <v>8</v>
      </c>
      <c r="Y7" s="14" t="s">
        <v>8</v>
      </c>
      <c r="Z7" s="7" t="s">
        <v>15</v>
      </c>
      <c r="AA7" s="7" t="s">
        <v>15</v>
      </c>
      <c r="AB7" s="7" t="s">
        <v>15</v>
      </c>
      <c r="AC7" s="7" t="s">
        <v>15</v>
      </c>
      <c r="AD7" s="14" t="s">
        <v>8</v>
      </c>
      <c r="AE7" s="14" t="s">
        <v>8</v>
      </c>
      <c r="AF7" s="3" t="s">
        <v>11</v>
      </c>
      <c r="AH7" s="6">
        <f>SEP!AI7</f>
        <v>18</v>
      </c>
      <c r="AI7" s="15">
        <f t="shared" si="3"/>
        <v>0</v>
      </c>
      <c r="AJ7" s="15">
        <f t="shared" si="2"/>
        <v>18</v>
      </c>
    </row>
    <row r="8" spans="1:36" ht="15" customHeight="1">
      <c r="A8" s="22" t="s">
        <v>17</v>
      </c>
      <c r="B8" s="7" t="s">
        <v>15</v>
      </c>
      <c r="C8" s="14" t="s">
        <v>8</v>
      </c>
      <c r="D8" s="14" t="s">
        <v>8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  <c r="J8" s="14" t="s">
        <v>8</v>
      </c>
      <c r="K8" s="14" t="s">
        <v>8</v>
      </c>
      <c r="L8" s="7" t="s">
        <v>15</v>
      </c>
      <c r="M8" s="7" t="s">
        <v>15</v>
      </c>
      <c r="N8" s="7" t="s">
        <v>15</v>
      </c>
      <c r="O8" s="7" t="s">
        <v>15</v>
      </c>
      <c r="P8" s="14" t="s">
        <v>8</v>
      </c>
      <c r="Q8" s="14" t="s">
        <v>8</v>
      </c>
      <c r="R8" s="3" t="s">
        <v>11</v>
      </c>
      <c r="S8" s="3" t="s">
        <v>11</v>
      </c>
      <c r="T8" s="3" t="s">
        <v>11</v>
      </c>
      <c r="U8" s="3" t="s">
        <v>11</v>
      </c>
      <c r="V8" s="14" t="s">
        <v>8</v>
      </c>
      <c r="W8" s="14" t="s">
        <v>8</v>
      </c>
      <c r="X8" s="7" t="s">
        <v>15</v>
      </c>
      <c r="Y8" s="7" t="s">
        <v>15</v>
      </c>
      <c r="Z8" s="7" t="s">
        <v>15</v>
      </c>
      <c r="AA8" s="7" t="s">
        <v>15</v>
      </c>
      <c r="AB8" s="14" t="s">
        <v>8</v>
      </c>
      <c r="AC8" s="14" t="s">
        <v>8</v>
      </c>
      <c r="AD8" s="3" t="s">
        <v>11</v>
      </c>
      <c r="AE8" s="3" t="s">
        <v>11</v>
      </c>
      <c r="AF8" s="3" t="s">
        <v>11</v>
      </c>
      <c r="AH8" s="6">
        <f>SEP!AI8</f>
        <v>22</v>
      </c>
      <c r="AI8" s="15">
        <f t="shared" si="3"/>
        <v>0</v>
      </c>
      <c r="AJ8" s="15">
        <f t="shared" si="2"/>
        <v>22</v>
      </c>
    </row>
    <row r="9" spans="1:36" ht="15" customHeight="1">
      <c r="A9" s="22" t="s">
        <v>19</v>
      </c>
      <c r="B9" s="14" t="s">
        <v>8</v>
      </c>
      <c r="C9" s="14" t="s">
        <v>8</v>
      </c>
      <c r="D9" s="7" t="s">
        <v>15</v>
      </c>
      <c r="E9" s="7" t="s">
        <v>15</v>
      </c>
      <c r="F9" s="23" t="s">
        <v>6</v>
      </c>
      <c r="G9" s="7" t="s">
        <v>15</v>
      </c>
      <c r="H9" s="14" t="s">
        <v>8</v>
      </c>
      <c r="I9" s="14" t="s">
        <v>8</v>
      </c>
      <c r="J9" s="3" t="s">
        <v>11</v>
      </c>
      <c r="K9" s="3" t="s">
        <v>11</v>
      </c>
      <c r="L9" s="3" t="s">
        <v>11</v>
      </c>
      <c r="M9" s="3" t="s">
        <v>11</v>
      </c>
      <c r="N9" s="14" t="s">
        <v>8</v>
      </c>
      <c r="O9" s="14" t="s">
        <v>8</v>
      </c>
      <c r="P9" s="7" t="s">
        <v>15</v>
      </c>
      <c r="Q9" s="33" t="s">
        <v>18</v>
      </c>
      <c r="R9" s="7" t="s">
        <v>15</v>
      </c>
      <c r="S9" s="7" t="s">
        <v>15</v>
      </c>
      <c r="T9" s="7" t="s">
        <v>15</v>
      </c>
      <c r="U9" s="14" t="s">
        <v>8</v>
      </c>
      <c r="V9" s="14" t="s">
        <v>8</v>
      </c>
      <c r="W9" s="3" t="s">
        <v>11</v>
      </c>
      <c r="X9" s="3" t="s">
        <v>11</v>
      </c>
      <c r="Y9" s="3" t="s">
        <v>11</v>
      </c>
      <c r="Z9" s="3" t="s">
        <v>11</v>
      </c>
      <c r="AA9" s="14" t="s">
        <v>8</v>
      </c>
      <c r="AB9" s="14" t="s">
        <v>8</v>
      </c>
      <c r="AC9" s="7" t="s">
        <v>15</v>
      </c>
      <c r="AD9" s="7" t="s">
        <v>15</v>
      </c>
      <c r="AE9" s="7" t="s">
        <v>15</v>
      </c>
      <c r="AF9" s="7" t="s">
        <v>15</v>
      </c>
      <c r="AH9" s="6">
        <f>SEP!AI9</f>
        <v>22</v>
      </c>
      <c r="AI9" s="15">
        <f t="shared" si="3"/>
        <v>0</v>
      </c>
      <c r="AJ9" s="15">
        <f t="shared" si="2"/>
        <v>22</v>
      </c>
    </row>
    <row r="10" spans="1:36" s="16" customFormat="1" ht="15" customHeight="1">
      <c r="A10" s="22" t="s">
        <v>20</v>
      </c>
      <c r="B10" s="3" t="s">
        <v>11</v>
      </c>
      <c r="C10" s="3" t="s">
        <v>11</v>
      </c>
      <c r="D10" s="3" t="s">
        <v>11</v>
      </c>
      <c r="E10" s="3" t="s">
        <v>11</v>
      </c>
      <c r="F10" s="14" t="s">
        <v>8</v>
      </c>
      <c r="G10" s="14" t="s">
        <v>8</v>
      </c>
      <c r="H10" s="7" t="s">
        <v>15</v>
      </c>
      <c r="I10" s="7" t="s">
        <v>15</v>
      </c>
      <c r="J10" s="7" t="s">
        <v>15</v>
      </c>
      <c r="K10" s="7" t="s">
        <v>15</v>
      </c>
      <c r="L10" s="14" t="s">
        <v>8</v>
      </c>
      <c r="M10" s="14" t="s">
        <v>8</v>
      </c>
      <c r="N10" s="3" t="s">
        <v>11</v>
      </c>
      <c r="O10" s="3" t="s">
        <v>11</v>
      </c>
      <c r="P10" s="3" t="s">
        <v>11</v>
      </c>
      <c r="Q10" s="3" t="s">
        <v>11</v>
      </c>
      <c r="R10" s="3" t="s">
        <v>11</v>
      </c>
      <c r="S10" s="14" t="s">
        <v>8</v>
      </c>
      <c r="T10" s="14" t="s">
        <v>8</v>
      </c>
      <c r="U10" s="7" t="s">
        <v>15</v>
      </c>
      <c r="V10" s="7" t="s">
        <v>15</v>
      </c>
      <c r="W10" s="7" t="s">
        <v>15</v>
      </c>
      <c r="X10" s="7" t="s">
        <v>15</v>
      </c>
      <c r="Y10" s="14" t="s">
        <v>8</v>
      </c>
      <c r="Z10" s="14" t="s">
        <v>8</v>
      </c>
      <c r="AA10" s="3" t="s">
        <v>11</v>
      </c>
      <c r="AB10" s="3" t="s">
        <v>11</v>
      </c>
      <c r="AC10" s="3" t="s">
        <v>11</v>
      </c>
      <c r="AD10" s="3" t="s">
        <v>11</v>
      </c>
      <c r="AE10" s="14" t="s">
        <v>8</v>
      </c>
      <c r="AF10" s="14" t="s">
        <v>8</v>
      </c>
      <c r="AG10" s="13"/>
      <c r="AH10" s="6">
        <f>SEP!AI10</f>
        <v>22</v>
      </c>
      <c r="AI10" s="15">
        <f t="shared" si="3"/>
        <v>0</v>
      </c>
      <c r="AJ10" s="15">
        <f t="shared" si="2"/>
        <v>22</v>
      </c>
    </row>
    <row r="11" spans="1:36" ht="15" customHeight="1">
      <c r="A11" s="22" t="s">
        <v>21</v>
      </c>
      <c r="B11" s="3" t="s">
        <v>11</v>
      </c>
      <c r="C11" s="3" t="s">
        <v>11</v>
      </c>
      <c r="D11" s="14" t="s">
        <v>8</v>
      </c>
      <c r="E11" s="14" t="s">
        <v>8</v>
      </c>
      <c r="F11" s="7" t="s">
        <v>15</v>
      </c>
      <c r="G11" s="7" t="s">
        <v>15</v>
      </c>
      <c r="H11" s="7" t="s">
        <v>15</v>
      </c>
      <c r="I11" s="7" t="s">
        <v>15</v>
      </c>
      <c r="J11" s="14" t="s">
        <v>8</v>
      </c>
      <c r="K11" s="14" t="s">
        <v>8</v>
      </c>
      <c r="L11" s="3" t="s">
        <v>11</v>
      </c>
      <c r="M11" s="3" t="s">
        <v>11</v>
      </c>
      <c r="N11" s="3" t="s">
        <v>11</v>
      </c>
      <c r="O11" s="3" t="s">
        <v>11</v>
      </c>
      <c r="P11" s="3" t="s">
        <v>11</v>
      </c>
      <c r="Q11" s="14" t="s">
        <v>8</v>
      </c>
      <c r="R11" s="14" t="s">
        <v>8</v>
      </c>
      <c r="S11" s="7" t="s">
        <v>15</v>
      </c>
      <c r="T11" s="7" t="s">
        <v>15</v>
      </c>
      <c r="U11" s="7" t="s">
        <v>15</v>
      </c>
      <c r="V11" s="7" t="s">
        <v>15</v>
      </c>
      <c r="W11" s="14" t="s">
        <v>8</v>
      </c>
      <c r="X11" s="14" t="s">
        <v>8</v>
      </c>
      <c r="Y11" s="3" t="s">
        <v>11</v>
      </c>
      <c r="Z11" s="3" t="s">
        <v>11</v>
      </c>
      <c r="AA11" s="3" t="s">
        <v>11</v>
      </c>
      <c r="AB11" s="3" t="s">
        <v>11</v>
      </c>
      <c r="AC11" s="14" t="s">
        <v>8</v>
      </c>
      <c r="AD11" s="14" t="s">
        <v>8</v>
      </c>
      <c r="AE11" s="7" t="s">
        <v>15</v>
      </c>
      <c r="AF11" s="7" t="s">
        <v>15</v>
      </c>
      <c r="AH11" s="6">
        <f>SEP!AI11</f>
        <v>22</v>
      </c>
      <c r="AI11" s="15">
        <f>COUNTIF(B11:AF11,"U")</f>
        <v>0</v>
      </c>
      <c r="AJ11" s="15">
        <f t="shared" si="2"/>
        <v>22</v>
      </c>
    </row>
    <row r="13" spans="1:36">
      <c r="A13" s="3" t="s">
        <v>22</v>
      </c>
      <c r="B13" s="14">
        <f>COUNTIF(B4:B11,"P06")</f>
        <v>2</v>
      </c>
      <c r="C13" s="14">
        <f t="shared" ref="C13:AF13" si="4">COUNTIF(C4:C11,"P06")</f>
        <v>2</v>
      </c>
      <c r="D13" s="14">
        <f t="shared" si="4"/>
        <v>1</v>
      </c>
      <c r="E13" s="14">
        <f t="shared" si="4"/>
        <v>2</v>
      </c>
      <c r="F13" s="14">
        <f t="shared" si="4"/>
        <v>1</v>
      </c>
      <c r="G13" s="14">
        <f t="shared" si="4"/>
        <v>2</v>
      </c>
      <c r="H13" s="14">
        <f t="shared" si="4"/>
        <v>2</v>
      </c>
      <c r="I13" s="14">
        <f t="shared" si="4"/>
        <v>2</v>
      </c>
      <c r="J13" s="14">
        <f t="shared" si="4"/>
        <v>2</v>
      </c>
      <c r="K13" s="14">
        <f t="shared" si="4"/>
        <v>1</v>
      </c>
      <c r="L13" s="14">
        <f t="shared" si="4"/>
        <v>2</v>
      </c>
      <c r="M13" s="14">
        <f t="shared" si="4"/>
        <v>2</v>
      </c>
      <c r="N13" s="14">
        <f t="shared" si="4"/>
        <v>2</v>
      </c>
      <c r="O13" s="14">
        <f t="shared" si="4"/>
        <v>2</v>
      </c>
      <c r="P13" s="14">
        <f t="shared" si="4"/>
        <v>2</v>
      </c>
      <c r="Q13" s="14">
        <f t="shared" si="4"/>
        <v>1</v>
      </c>
      <c r="R13" s="14">
        <f t="shared" si="4"/>
        <v>2</v>
      </c>
      <c r="S13" s="14">
        <f t="shared" si="4"/>
        <v>1</v>
      </c>
      <c r="T13" s="14">
        <f t="shared" si="4"/>
        <v>2</v>
      </c>
      <c r="U13" s="14">
        <f t="shared" si="4"/>
        <v>2</v>
      </c>
      <c r="V13" s="14">
        <f t="shared" si="4"/>
        <v>1</v>
      </c>
      <c r="W13" s="14">
        <f t="shared" si="4"/>
        <v>2</v>
      </c>
      <c r="X13" s="14">
        <f t="shared" si="4"/>
        <v>1</v>
      </c>
      <c r="Y13" s="14">
        <f t="shared" si="4"/>
        <v>2</v>
      </c>
      <c r="Z13" s="14">
        <f t="shared" si="4"/>
        <v>2</v>
      </c>
      <c r="AA13" s="14">
        <f t="shared" si="4"/>
        <v>2</v>
      </c>
      <c r="AB13" s="14">
        <f t="shared" si="4"/>
        <v>2</v>
      </c>
      <c r="AC13" s="14">
        <f t="shared" si="4"/>
        <v>1</v>
      </c>
      <c r="AD13" s="14">
        <f t="shared" si="4"/>
        <v>2</v>
      </c>
      <c r="AE13" s="14">
        <f t="shared" si="4"/>
        <v>1</v>
      </c>
      <c r="AF13" s="14">
        <f t="shared" si="4"/>
        <v>2</v>
      </c>
    </row>
    <row r="14" spans="1:36">
      <c r="A14" s="7" t="s">
        <v>23</v>
      </c>
      <c r="B14" s="14">
        <f>COUNTIF(B4:B11,"P14")</f>
        <v>2</v>
      </c>
      <c r="C14" s="14">
        <f t="shared" ref="C14:AF14" si="5">COUNTIF(C4:C11,"P14")</f>
        <v>1</v>
      </c>
      <c r="D14" s="14">
        <f t="shared" si="5"/>
        <v>2</v>
      </c>
      <c r="E14" s="14">
        <f t="shared" si="5"/>
        <v>1</v>
      </c>
      <c r="F14" s="14">
        <f t="shared" si="5"/>
        <v>1</v>
      </c>
      <c r="G14" s="14">
        <f t="shared" si="5"/>
        <v>2</v>
      </c>
      <c r="H14" s="14">
        <f t="shared" si="5"/>
        <v>2</v>
      </c>
      <c r="I14" s="14">
        <f t="shared" si="5"/>
        <v>2</v>
      </c>
      <c r="J14" s="14">
        <f t="shared" si="5"/>
        <v>1</v>
      </c>
      <c r="K14" s="14">
        <f t="shared" si="5"/>
        <v>1</v>
      </c>
      <c r="L14" s="14">
        <f t="shared" si="5"/>
        <v>1</v>
      </c>
      <c r="M14" s="14">
        <f t="shared" si="5"/>
        <v>2</v>
      </c>
      <c r="N14" s="14">
        <f t="shared" si="5"/>
        <v>2</v>
      </c>
      <c r="O14" s="14">
        <f t="shared" si="5"/>
        <v>2</v>
      </c>
      <c r="P14" s="14">
        <f t="shared" si="5"/>
        <v>2</v>
      </c>
      <c r="Q14" s="14">
        <f t="shared" si="5"/>
        <v>1</v>
      </c>
      <c r="R14" s="14">
        <f t="shared" si="5"/>
        <v>1</v>
      </c>
      <c r="S14" s="14">
        <f t="shared" si="5"/>
        <v>2</v>
      </c>
      <c r="T14" s="14">
        <f t="shared" si="5"/>
        <v>2</v>
      </c>
      <c r="U14" s="14">
        <f t="shared" si="5"/>
        <v>2</v>
      </c>
      <c r="V14" s="14">
        <f t="shared" si="5"/>
        <v>2</v>
      </c>
      <c r="W14" s="14">
        <f t="shared" si="5"/>
        <v>1</v>
      </c>
      <c r="X14" s="14">
        <f t="shared" si="5"/>
        <v>2</v>
      </c>
      <c r="Y14" s="14">
        <f t="shared" si="5"/>
        <v>1</v>
      </c>
      <c r="Z14" s="14">
        <f t="shared" si="5"/>
        <v>2</v>
      </c>
      <c r="AA14" s="14">
        <f t="shared" si="5"/>
        <v>2</v>
      </c>
      <c r="AB14" s="14">
        <f t="shared" si="5"/>
        <v>1</v>
      </c>
      <c r="AC14" s="14">
        <f t="shared" si="5"/>
        <v>2</v>
      </c>
      <c r="AD14" s="14">
        <f t="shared" si="5"/>
        <v>1</v>
      </c>
      <c r="AE14" s="14">
        <f t="shared" si="5"/>
        <v>2</v>
      </c>
      <c r="AF14" s="14">
        <f t="shared" si="5"/>
        <v>2</v>
      </c>
    </row>
    <row r="15" spans="1:36" ht="13.5" thickBot="1"/>
    <row r="16" spans="1:36">
      <c r="E16" s="42"/>
      <c r="F16" s="46" t="s">
        <v>24</v>
      </c>
      <c r="G16" s="59"/>
      <c r="H16" s="46" t="s">
        <v>25</v>
      </c>
      <c r="I16" s="47"/>
      <c r="M16" s="6" t="s">
        <v>8</v>
      </c>
      <c r="N16" s="24" t="s">
        <v>26</v>
      </c>
      <c r="O16" s="25"/>
      <c r="P16" s="25"/>
      <c r="Q16" s="25"/>
      <c r="R16" s="25"/>
      <c r="S16" s="4" t="s">
        <v>27</v>
      </c>
      <c r="T16" s="26" t="s">
        <v>28</v>
      </c>
      <c r="U16" s="27"/>
      <c r="V16" s="27"/>
      <c r="W16" s="27"/>
      <c r="X16" s="28"/>
      <c r="Z16" s="60" t="s">
        <v>29</v>
      </c>
      <c r="AA16" s="61"/>
      <c r="AB16" s="61"/>
      <c r="AC16" s="61"/>
      <c r="AD16" s="61"/>
      <c r="AE16" s="61"/>
      <c r="AF16" s="61"/>
    </row>
    <row r="17" spans="5:32">
      <c r="E17" s="3" t="s">
        <v>11</v>
      </c>
      <c r="F17" s="48" t="s">
        <v>30</v>
      </c>
      <c r="G17" s="58"/>
      <c r="H17" s="48" t="s">
        <v>31</v>
      </c>
      <c r="I17" s="49"/>
      <c r="M17" s="11" t="s">
        <v>32</v>
      </c>
      <c r="N17" s="17" t="s">
        <v>33</v>
      </c>
      <c r="O17" s="29"/>
      <c r="P17" s="29"/>
      <c r="Q17" s="29"/>
      <c r="R17" s="29"/>
      <c r="S17" s="4" t="s">
        <v>34</v>
      </c>
      <c r="T17" s="17" t="s">
        <v>35</v>
      </c>
      <c r="U17" s="29"/>
      <c r="V17" s="29"/>
      <c r="W17" s="29"/>
      <c r="X17" s="19"/>
      <c r="Z17" s="62"/>
      <c r="AA17" s="63"/>
      <c r="AB17" s="63"/>
      <c r="AC17" s="63"/>
      <c r="AD17" s="63"/>
      <c r="AE17" s="63"/>
      <c r="AF17" s="63"/>
    </row>
    <row r="18" spans="5:32">
      <c r="E18" s="5" t="s">
        <v>10</v>
      </c>
      <c r="F18" s="50" t="s">
        <v>36</v>
      </c>
      <c r="G18" s="52"/>
      <c r="H18" s="50" t="s">
        <v>37</v>
      </c>
      <c r="I18" s="51"/>
      <c r="M18" s="23" t="s">
        <v>6</v>
      </c>
      <c r="N18" s="18" t="s">
        <v>38</v>
      </c>
      <c r="O18" s="30"/>
      <c r="P18" s="30"/>
      <c r="Q18" s="30"/>
      <c r="R18" s="30"/>
      <c r="S18" s="6" t="s">
        <v>39</v>
      </c>
      <c r="T18" s="17" t="s">
        <v>40</v>
      </c>
      <c r="U18" s="29"/>
      <c r="V18" s="29"/>
      <c r="W18" s="29"/>
      <c r="X18" s="19"/>
      <c r="Z18" s="62"/>
      <c r="AA18" s="63"/>
      <c r="AB18" s="63"/>
      <c r="AC18" s="63"/>
      <c r="AD18" s="63"/>
      <c r="AE18" s="63"/>
      <c r="AF18" s="63"/>
    </row>
    <row r="19" spans="5:32">
      <c r="E19" s="5" t="s">
        <v>9</v>
      </c>
      <c r="F19" s="50" t="s">
        <v>41</v>
      </c>
      <c r="G19" s="52"/>
      <c r="H19" s="50" t="s">
        <v>42</v>
      </c>
      <c r="I19" s="51"/>
      <c r="M19" s="31" t="s">
        <v>16</v>
      </c>
      <c r="N19" s="17" t="s">
        <v>43</v>
      </c>
      <c r="O19" s="29"/>
      <c r="P19" s="29"/>
      <c r="Q19" s="29"/>
      <c r="R19" s="29"/>
      <c r="S19" s="6" t="s">
        <v>44</v>
      </c>
      <c r="T19" s="17" t="s">
        <v>40</v>
      </c>
      <c r="U19" s="29"/>
      <c r="V19" s="29"/>
      <c r="W19" s="29"/>
      <c r="X19" s="19"/>
    </row>
    <row r="20" spans="5:32">
      <c r="E20" s="7" t="s">
        <v>15</v>
      </c>
      <c r="F20" s="50" t="s">
        <v>45</v>
      </c>
      <c r="G20" s="52"/>
      <c r="H20" s="50" t="s">
        <v>46</v>
      </c>
      <c r="I20" s="51"/>
      <c r="M20" s="31" t="s">
        <v>7</v>
      </c>
      <c r="N20" s="17" t="s">
        <v>47</v>
      </c>
      <c r="O20" s="29"/>
      <c r="P20" s="29"/>
      <c r="Q20" s="29"/>
      <c r="R20" s="19"/>
      <c r="S20" s="6" t="s">
        <v>48</v>
      </c>
      <c r="T20" s="17" t="s">
        <v>40</v>
      </c>
      <c r="U20" s="29"/>
      <c r="V20" s="29"/>
      <c r="W20" s="29"/>
      <c r="X20" s="19"/>
    </row>
    <row r="21" spans="5:32">
      <c r="E21" s="8" t="s">
        <v>49</v>
      </c>
      <c r="F21" s="53" t="s">
        <v>50</v>
      </c>
      <c r="G21" s="54"/>
      <c r="H21" s="53" t="s">
        <v>51</v>
      </c>
      <c r="I21" s="55"/>
      <c r="M21" s="32" t="s">
        <v>6</v>
      </c>
      <c r="N21" s="17" t="s">
        <v>52</v>
      </c>
      <c r="O21" s="29"/>
      <c r="P21" s="29"/>
      <c r="Q21" s="29"/>
      <c r="R21" s="29"/>
      <c r="S21" s="20" t="s">
        <v>53</v>
      </c>
      <c r="T21" s="17" t="s">
        <v>54</v>
      </c>
      <c r="U21" s="29"/>
      <c r="V21" s="29"/>
      <c r="W21" s="29"/>
      <c r="X21" s="19"/>
    </row>
    <row r="22" spans="5:32">
      <c r="M22" s="32" t="s">
        <v>16</v>
      </c>
      <c r="N22" s="17" t="s">
        <v>55</v>
      </c>
      <c r="O22" s="29"/>
      <c r="P22" s="29"/>
      <c r="Q22" s="29"/>
      <c r="R22" s="29"/>
      <c r="S22" s="9" t="s">
        <v>56</v>
      </c>
      <c r="T22" s="17" t="s">
        <v>54</v>
      </c>
      <c r="U22" s="29"/>
      <c r="V22" s="29"/>
      <c r="W22" s="29"/>
      <c r="X22" s="19"/>
    </row>
    <row r="23" spans="5:32">
      <c r="M23" s="33" t="s">
        <v>18</v>
      </c>
      <c r="N23" s="17" t="s">
        <v>57</v>
      </c>
      <c r="O23" s="29"/>
      <c r="P23" s="29"/>
      <c r="Q23" s="29"/>
      <c r="R23" s="29"/>
      <c r="S23" s="9" t="s">
        <v>58</v>
      </c>
      <c r="T23" s="17" t="s">
        <v>54</v>
      </c>
      <c r="U23" s="29"/>
      <c r="V23" s="29"/>
      <c r="W23" s="29"/>
      <c r="X23" s="19"/>
    </row>
    <row r="24" spans="5:32">
      <c r="M24" s="33" t="s">
        <v>59</v>
      </c>
      <c r="N24" s="17" t="s">
        <v>60</v>
      </c>
      <c r="O24" s="29"/>
      <c r="P24" s="29"/>
      <c r="Q24" s="29"/>
      <c r="R24" s="29"/>
      <c r="S24" s="9" t="s">
        <v>61</v>
      </c>
      <c r="T24" s="17" t="s">
        <v>54</v>
      </c>
      <c r="U24" s="29"/>
      <c r="V24" s="29"/>
      <c r="W24" s="29"/>
      <c r="X24" s="19"/>
    </row>
    <row r="25" spans="5:32">
      <c r="M25" s="34" t="s">
        <v>62</v>
      </c>
      <c r="N25" s="17" t="s">
        <v>63</v>
      </c>
      <c r="O25" s="29"/>
      <c r="P25" s="29"/>
      <c r="Q25" s="29"/>
      <c r="R25" s="29"/>
      <c r="S25" s="10" t="s">
        <v>64</v>
      </c>
      <c r="T25" s="17" t="s">
        <v>54</v>
      </c>
      <c r="U25" s="29"/>
      <c r="V25" s="29"/>
      <c r="W25" s="29"/>
      <c r="X25" s="19"/>
    </row>
    <row r="26" spans="5:32">
      <c r="M26" s="35" t="s">
        <v>65</v>
      </c>
      <c r="N26" s="17" t="s">
        <v>66</v>
      </c>
      <c r="O26" s="29"/>
      <c r="P26" s="29"/>
      <c r="Q26" s="29"/>
      <c r="R26" s="29"/>
      <c r="S26" s="6" t="s">
        <v>67</v>
      </c>
      <c r="T26" s="17" t="s">
        <v>54</v>
      </c>
      <c r="U26" s="29"/>
      <c r="V26" s="29"/>
      <c r="W26" s="29"/>
      <c r="X26" s="19"/>
    </row>
    <row r="27" spans="5:32">
      <c r="M27" s="36" t="s">
        <v>68</v>
      </c>
      <c r="N27" s="17" t="s">
        <v>69</v>
      </c>
      <c r="O27" s="29"/>
      <c r="P27" s="29"/>
      <c r="Q27" s="29"/>
      <c r="R27" s="29"/>
      <c r="S27" s="6" t="s">
        <v>70</v>
      </c>
      <c r="T27" s="17" t="s">
        <v>54</v>
      </c>
      <c r="U27" s="29"/>
      <c r="V27" s="29"/>
      <c r="W27" s="29"/>
      <c r="X27" s="19"/>
    </row>
    <row r="28" spans="5:32">
      <c r="M28" s="37" t="s">
        <v>71</v>
      </c>
      <c r="N28" s="18" t="s">
        <v>72</v>
      </c>
      <c r="O28" s="30"/>
      <c r="P28" s="30"/>
      <c r="Q28" s="30"/>
      <c r="R28" s="30"/>
      <c r="S28" s="11" t="s">
        <v>73</v>
      </c>
      <c r="T28" s="17" t="s">
        <v>54</v>
      </c>
      <c r="U28" s="29"/>
      <c r="V28" s="29"/>
      <c r="W28" s="29"/>
      <c r="X28" s="19"/>
    </row>
    <row r="29" spans="5:32">
      <c r="M29" s="10" t="s">
        <v>74</v>
      </c>
      <c r="N29" s="17" t="s">
        <v>75</v>
      </c>
      <c r="O29" s="29"/>
      <c r="P29" s="29"/>
      <c r="Q29" s="29"/>
      <c r="R29" s="29"/>
      <c r="S29" s="6" t="s">
        <v>76</v>
      </c>
      <c r="T29" s="17" t="s">
        <v>54</v>
      </c>
      <c r="U29" s="29"/>
      <c r="V29" s="29"/>
      <c r="W29" s="29"/>
      <c r="X29" s="19"/>
    </row>
    <row r="30" spans="5:32">
      <c r="M30" s="37" t="s">
        <v>77</v>
      </c>
      <c r="N30" s="38" t="s">
        <v>78</v>
      </c>
      <c r="O30" s="39"/>
      <c r="P30" s="39"/>
      <c r="Q30" s="39"/>
      <c r="R30" s="39"/>
      <c r="S30" s="40" t="s">
        <v>79</v>
      </c>
      <c r="T30" s="38" t="s">
        <v>80</v>
      </c>
      <c r="U30" s="39"/>
      <c r="V30" s="39"/>
      <c r="W30" s="39"/>
      <c r="X30" s="41"/>
    </row>
  </sheetData>
  <mergeCells count="16">
    <mergeCell ref="F20:G20"/>
    <mergeCell ref="H20:I20"/>
    <mergeCell ref="F21:G21"/>
    <mergeCell ref="H21:I21"/>
    <mergeCell ref="F17:G17"/>
    <mergeCell ref="H17:I17"/>
    <mergeCell ref="F18:G18"/>
    <mergeCell ref="H18:I18"/>
    <mergeCell ref="F19:G19"/>
    <mergeCell ref="H19:I19"/>
    <mergeCell ref="A1:AF1"/>
    <mergeCell ref="A2:A3"/>
    <mergeCell ref="AH2:AJ2"/>
    <mergeCell ref="F16:G16"/>
    <mergeCell ref="H16:I16"/>
    <mergeCell ref="Z16:AF18"/>
  </mergeCells>
  <conditionalFormatting sqref="B2:E3 G2:AF3">
    <cfRule type="expression" dxfId="8" priority="3">
      <formula>WEEKDAY(DATE(YEAR($A$2),MONTH($A$2),B$2),2)&gt;5</formula>
    </cfRule>
  </conditionalFormatting>
  <conditionalFormatting sqref="B13:AF14">
    <cfRule type="cellIs" dxfId="7" priority="1" operator="equal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CCAA-14CE-416A-8EFC-30F81681E895}">
  <dimension ref="A1:AI30"/>
  <sheetViews>
    <sheetView zoomScale="85" zoomScaleNormal="85" workbookViewId="0">
      <pane xSplit="1" ySplit="3" topLeftCell="B4" activePane="bottomRight" state="frozen"/>
      <selection pane="bottomRight" activeCell="AF25" sqref="AF25"/>
      <selection pane="bottomLeft"/>
      <selection pane="topRight"/>
    </sheetView>
  </sheetViews>
  <sheetFormatPr defaultColWidth="9.140625" defaultRowHeight="12.95"/>
  <cols>
    <col min="1" max="1" width="30.7109375" style="13" customWidth="1"/>
    <col min="2" max="35" width="6.7109375" style="13" customWidth="1"/>
    <col min="36" max="16384" width="9.140625" style="13"/>
  </cols>
  <sheetData>
    <row r="1" spans="1:35" ht="1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12"/>
      <c r="AG1" s="12"/>
      <c r="AH1" s="12"/>
      <c r="AI1" s="12"/>
    </row>
    <row r="2" spans="1:35" ht="15" customHeight="1">
      <c r="A2" s="57">
        <v>46327</v>
      </c>
      <c r="B2" s="23">
        <f>IF(COLUMN(A1)&lt;=DAY(EOMONTH($A$2,0)),COLUMN(A1),"")</f>
        <v>1</v>
      </c>
      <c r="C2" s="21">
        <f t="shared" ref="C2:AE2" si="0">IF(COLUMN(B1)&lt;=DAY(EOMONTH($A$2,0)),COLUMN(B1),"")</f>
        <v>2</v>
      </c>
      <c r="D2" s="21">
        <f t="shared" si="0"/>
        <v>3</v>
      </c>
      <c r="E2" s="21">
        <f t="shared" si="0"/>
        <v>4</v>
      </c>
      <c r="F2" s="21">
        <f t="shared" si="0"/>
        <v>5</v>
      </c>
      <c r="G2" s="21">
        <f t="shared" si="0"/>
        <v>6</v>
      </c>
      <c r="H2" s="21">
        <f t="shared" si="0"/>
        <v>7</v>
      </c>
      <c r="I2" s="21">
        <f t="shared" si="0"/>
        <v>8</v>
      </c>
      <c r="J2" s="21">
        <f t="shared" si="0"/>
        <v>9</v>
      </c>
      <c r="K2" s="21">
        <f t="shared" si="0"/>
        <v>10</v>
      </c>
      <c r="L2" s="21">
        <f t="shared" si="0"/>
        <v>11</v>
      </c>
      <c r="M2" s="21">
        <f t="shared" si="0"/>
        <v>12</v>
      </c>
      <c r="N2" s="21">
        <f t="shared" si="0"/>
        <v>13</v>
      </c>
      <c r="O2" s="21">
        <f t="shared" si="0"/>
        <v>14</v>
      </c>
      <c r="P2" s="21">
        <f t="shared" si="0"/>
        <v>15</v>
      </c>
      <c r="Q2" s="21">
        <f t="shared" si="0"/>
        <v>16</v>
      </c>
      <c r="R2" s="21">
        <f t="shared" si="0"/>
        <v>17</v>
      </c>
      <c r="S2" s="21">
        <f t="shared" si="0"/>
        <v>18</v>
      </c>
      <c r="T2" s="21">
        <f t="shared" si="0"/>
        <v>19</v>
      </c>
      <c r="U2" s="21">
        <f t="shared" si="0"/>
        <v>20</v>
      </c>
      <c r="V2" s="21">
        <f t="shared" si="0"/>
        <v>21</v>
      </c>
      <c r="W2" s="21">
        <f t="shared" si="0"/>
        <v>22</v>
      </c>
      <c r="X2" s="21">
        <f t="shared" si="0"/>
        <v>23</v>
      </c>
      <c r="Y2" s="21">
        <f t="shared" si="0"/>
        <v>24</v>
      </c>
      <c r="Z2" s="21">
        <f t="shared" si="0"/>
        <v>25</v>
      </c>
      <c r="AA2" s="21">
        <f t="shared" si="0"/>
        <v>26</v>
      </c>
      <c r="AB2" s="21">
        <f t="shared" si="0"/>
        <v>27</v>
      </c>
      <c r="AC2" s="21">
        <f t="shared" si="0"/>
        <v>28</v>
      </c>
      <c r="AD2" s="21">
        <f t="shared" si="0"/>
        <v>29</v>
      </c>
      <c r="AE2" s="21">
        <f t="shared" si="0"/>
        <v>30</v>
      </c>
      <c r="AG2" s="44" t="s">
        <v>2</v>
      </c>
      <c r="AH2" s="45"/>
      <c r="AI2" s="45"/>
    </row>
    <row r="3" spans="1:35" ht="15" customHeight="1">
      <c r="A3" s="57"/>
      <c r="B3" s="23" t="str">
        <f>UPPER(LEFT(TEXT(DATE(YEAR($A$2),MONTH($A$2),B2),"DDD"),2))</f>
        <v>SU</v>
      </c>
      <c r="C3" s="21" t="str">
        <f t="shared" ref="C3:AE3" si="1">UPPER(LEFT(TEXT(DATE(YEAR($A$2),MONTH($A$2),C2),"DDD"),2))</f>
        <v>MO</v>
      </c>
      <c r="D3" s="21" t="str">
        <f t="shared" si="1"/>
        <v>TU</v>
      </c>
      <c r="E3" s="21" t="str">
        <f t="shared" si="1"/>
        <v>WE</v>
      </c>
      <c r="F3" s="21" t="str">
        <f t="shared" si="1"/>
        <v>TH</v>
      </c>
      <c r="G3" s="21" t="str">
        <f t="shared" si="1"/>
        <v>FR</v>
      </c>
      <c r="H3" s="21" t="str">
        <f t="shared" si="1"/>
        <v>SA</v>
      </c>
      <c r="I3" s="21" t="str">
        <f t="shared" si="1"/>
        <v>SU</v>
      </c>
      <c r="J3" s="21" t="str">
        <f t="shared" si="1"/>
        <v>MO</v>
      </c>
      <c r="K3" s="21" t="str">
        <f t="shared" si="1"/>
        <v>TU</v>
      </c>
      <c r="L3" s="21" t="str">
        <f t="shared" si="1"/>
        <v>WE</v>
      </c>
      <c r="M3" s="21" t="str">
        <f t="shared" si="1"/>
        <v>TH</v>
      </c>
      <c r="N3" s="21" t="str">
        <f t="shared" si="1"/>
        <v>FR</v>
      </c>
      <c r="O3" s="21" t="str">
        <f t="shared" si="1"/>
        <v>SA</v>
      </c>
      <c r="P3" s="21" t="str">
        <f t="shared" si="1"/>
        <v>SU</v>
      </c>
      <c r="Q3" s="21" t="str">
        <f t="shared" si="1"/>
        <v>MO</v>
      </c>
      <c r="R3" s="21" t="str">
        <f t="shared" si="1"/>
        <v>TU</v>
      </c>
      <c r="S3" s="21" t="str">
        <f t="shared" si="1"/>
        <v>WE</v>
      </c>
      <c r="T3" s="21" t="str">
        <f t="shared" si="1"/>
        <v>TH</v>
      </c>
      <c r="U3" s="21" t="str">
        <f t="shared" si="1"/>
        <v>FR</v>
      </c>
      <c r="V3" s="21" t="str">
        <f t="shared" si="1"/>
        <v>SA</v>
      </c>
      <c r="W3" s="21" t="str">
        <f t="shared" si="1"/>
        <v>SU</v>
      </c>
      <c r="X3" s="21" t="str">
        <f t="shared" si="1"/>
        <v>MO</v>
      </c>
      <c r="Y3" s="21" t="str">
        <f t="shared" si="1"/>
        <v>TU</v>
      </c>
      <c r="Z3" s="21" t="str">
        <f t="shared" si="1"/>
        <v>WE</v>
      </c>
      <c r="AA3" s="21" t="str">
        <f t="shared" si="1"/>
        <v>TH</v>
      </c>
      <c r="AB3" s="21" t="str">
        <f t="shared" si="1"/>
        <v>FR</v>
      </c>
      <c r="AC3" s="21" t="str">
        <f t="shared" si="1"/>
        <v>SA</v>
      </c>
      <c r="AD3" s="21" t="str">
        <f t="shared" si="1"/>
        <v>SU</v>
      </c>
      <c r="AE3" s="21" t="str">
        <f t="shared" si="1"/>
        <v>MO</v>
      </c>
      <c r="AG3" s="1">
        <v>2026</v>
      </c>
      <c r="AH3" s="2" t="s">
        <v>3</v>
      </c>
      <c r="AI3" s="2" t="s">
        <v>4</v>
      </c>
    </row>
    <row r="4" spans="1:35" ht="15" customHeight="1">
      <c r="A4" s="22" t="s">
        <v>5</v>
      </c>
      <c r="B4" s="14" t="s">
        <v>8</v>
      </c>
      <c r="C4" s="5" t="s">
        <v>10</v>
      </c>
      <c r="D4" s="5" t="s">
        <v>10</v>
      </c>
      <c r="E4" s="5" t="s">
        <v>10</v>
      </c>
      <c r="F4" s="5" t="s">
        <v>10</v>
      </c>
      <c r="G4" s="5" t="s">
        <v>10</v>
      </c>
      <c r="H4" s="14" t="s">
        <v>8</v>
      </c>
      <c r="I4" s="14" t="s">
        <v>8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10</v>
      </c>
      <c r="O4" s="14" t="s">
        <v>8</v>
      </c>
      <c r="P4" s="14" t="s">
        <v>8</v>
      </c>
      <c r="Q4" s="5" t="s">
        <v>10</v>
      </c>
      <c r="R4" s="5" t="s">
        <v>10</v>
      </c>
      <c r="S4" s="5" t="s">
        <v>10</v>
      </c>
      <c r="T4" s="5" t="s">
        <v>10</v>
      </c>
      <c r="U4" s="5" t="s">
        <v>10</v>
      </c>
      <c r="V4" s="14" t="s">
        <v>8</v>
      </c>
      <c r="W4" s="14" t="s">
        <v>8</v>
      </c>
      <c r="X4" s="5" t="s">
        <v>10</v>
      </c>
      <c r="Y4" s="5" t="s">
        <v>10</v>
      </c>
      <c r="Z4" s="5" t="s">
        <v>10</v>
      </c>
      <c r="AA4" s="5" t="s">
        <v>10</v>
      </c>
      <c r="AB4" s="5" t="s">
        <v>10</v>
      </c>
      <c r="AC4" s="14" t="s">
        <v>8</v>
      </c>
      <c r="AD4" s="14" t="s">
        <v>8</v>
      </c>
      <c r="AE4" s="5" t="s">
        <v>10</v>
      </c>
      <c r="AG4" s="6">
        <f>OCT!AJ4</f>
        <v>22</v>
      </c>
      <c r="AH4" s="15">
        <f>COUNTIF(B4:AE4,"U")</f>
        <v>0</v>
      </c>
      <c r="AI4" s="15">
        <f t="shared" ref="AI4:AI11" si="2">AG4-AH4</f>
        <v>22</v>
      </c>
    </row>
    <row r="5" spans="1:35" ht="15" customHeight="1">
      <c r="A5" s="22" t="s">
        <v>12</v>
      </c>
      <c r="B5" s="14" t="s">
        <v>8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14" t="s">
        <v>8</v>
      </c>
      <c r="I5" s="14" t="s">
        <v>8</v>
      </c>
      <c r="J5" s="5" t="s">
        <v>9</v>
      </c>
      <c r="K5" s="5" t="s">
        <v>9</v>
      </c>
      <c r="L5" s="5" t="s">
        <v>9</v>
      </c>
      <c r="M5" s="5" t="s">
        <v>9</v>
      </c>
      <c r="N5" s="5" t="s">
        <v>9</v>
      </c>
      <c r="O5" s="14" t="s">
        <v>8</v>
      </c>
      <c r="P5" s="14" t="s">
        <v>8</v>
      </c>
      <c r="Q5" s="5" t="s">
        <v>9</v>
      </c>
      <c r="R5" s="5" t="s">
        <v>9</v>
      </c>
      <c r="S5" s="5" t="s">
        <v>9</v>
      </c>
      <c r="T5" s="5" t="s">
        <v>9</v>
      </c>
      <c r="U5" s="5" t="s">
        <v>9</v>
      </c>
      <c r="V5" s="14" t="s">
        <v>8</v>
      </c>
      <c r="W5" s="14" t="s">
        <v>8</v>
      </c>
      <c r="X5" s="5" t="s">
        <v>9</v>
      </c>
      <c r="Y5" s="5" t="s">
        <v>9</v>
      </c>
      <c r="Z5" s="5" t="s">
        <v>9</v>
      </c>
      <c r="AA5" s="5" t="s">
        <v>9</v>
      </c>
      <c r="AB5" s="5" t="s">
        <v>9</v>
      </c>
      <c r="AC5" s="14" t="s">
        <v>8</v>
      </c>
      <c r="AD5" s="14" t="s">
        <v>8</v>
      </c>
      <c r="AE5" s="5" t="s">
        <v>9</v>
      </c>
      <c r="AG5" s="6">
        <f>OCT!AJ5</f>
        <v>22</v>
      </c>
      <c r="AH5" s="15">
        <f t="shared" ref="AH5:AH11" si="3">COUNTIF(B5:AE5,"U")</f>
        <v>0</v>
      </c>
      <c r="AI5" s="15">
        <f t="shared" si="2"/>
        <v>22</v>
      </c>
    </row>
    <row r="6" spans="1:35" ht="15" customHeight="1">
      <c r="A6" s="22" t="s">
        <v>13</v>
      </c>
      <c r="B6" s="14" t="s">
        <v>8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14" t="s">
        <v>8</v>
      </c>
      <c r="I6" s="14" t="s">
        <v>8</v>
      </c>
      <c r="J6" s="5" t="s">
        <v>9</v>
      </c>
      <c r="K6" s="5" t="s">
        <v>9</v>
      </c>
      <c r="L6" s="5" t="s">
        <v>9</v>
      </c>
      <c r="M6" s="5" t="s">
        <v>9</v>
      </c>
      <c r="N6" s="5" t="s">
        <v>9</v>
      </c>
      <c r="O6" s="14" t="s">
        <v>8</v>
      </c>
      <c r="P6" s="14" t="s">
        <v>8</v>
      </c>
      <c r="Q6" s="5" t="s">
        <v>9</v>
      </c>
      <c r="R6" s="5" t="s">
        <v>9</v>
      </c>
      <c r="S6" s="5" t="s">
        <v>9</v>
      </c>
      <c r="T6" s="5" t="s">
        <v>9</v>
      </c>
      <c r="U6" s="5" t="s">
        <v>9</v>
      </c>
      <c r="V6" s="14" t="s">
        <v>8</v>
      </c>
      <c r="W6" s="14" t="s">
        <v>8</v>
      </c>
      <c r="X6" s="5" t="s">
        <v>9</v>
      </c>
      <c r="Y6" s="5" t="s">
        <v>9</v>
      </c>
      <c r="Z6" s="5" t="s">
        <v>9</v>
      </c>
      <c r="AA6" s="5" t="s">
        <v>9</v>
      </c>
      <c r="AB6" s="5" t="s">
        <v>9</v>
      </c>
      <c r="AC6" s="14" t="s">
        <v>8</v>
      </c>
      <c r="AD6" s="14" t="s">
        <v>8</v>
      </c>
      <c r="AE6" s="5" t="s">
        <v>9</v>
      </c>
      <c r="AG6" s="6">
        <f>OCT!AJ6</f>
        <v>19</v>
      </c>
      <c r="AH6" s="15">
        <f t="shared" si="3"/>
        <v>0</v>
      </c>
      <c r="AI6" s="15">
        <f t="shared" si="2"/>
        <v>19</v>
      </c>
    </row>
    <row r="7" spans="1:35" ht="15" customHeight="1">
      <c r="A7" s="22" t="s">
        <v>14</v>
      </c>
      <c r="B7" s="23" t="s">
        <v>6</v>
      </c>
      <c r="C7" s="3" t="s">
        <v>11</v>
      </c>
      <c r="D7" s="3" t="s">
        <v>11</v>
      </c>
      <c r="E7" s="14" t="s">
        <v>8</v>
      </c>
      <c r="F7" s="14" t="s">
        <v>8</v>
      </c>
      <c r="G7" s="7" t="s">
        <v>15</v>
      </c>
      <c r="H7" s="7" t="s">
        <v>15</v>
      </c>
      <c r="I7" s="33" t="s">
        <v>18</v>
      </c>
      <c r="J7" s="7" t="s">
        <v>15</v>
      </c>
      <c r="K7" s="14" t="s">
        <v>8</v>
      </c>
      <c r="L7" s="14" t="s">
        <v>8</v>
      </c>
      <c r="M7" s="3" t="s">
        <v>11</v>
      </c>
      <c r="N7" s="3" t="s">
        <v>11</v>
      </c>
      <c r="O7" s="3" t="s">
        <v>11</v>
      </c>
      <c r="P7" s="3" t="s">
        <v>11</v>
      </c>
      <c r="Q7" s="3" t="s">
        <v>11</v>
      </c>
      <c r="R7" s="14" t="s">
        <v>8</v>
      </c>
      <c r="S7" s="14" t="s">
        <v>8</v>
      </c>
      <c r="T7" s="7" t="s">
        <v>15</v>
      </c>
      <c r="U7" s="7" t="s">
        <v>15</v>
      </c>
      <c r="V7" s="7" t="s">
        <v>15</v>
      </c>
      <c r="W7" s="7" t="s">
        <v>15</v>
      </c>
      <c r="X7" s="14" t="s">
        <v>8</v>
      </c>
      <c r="Y7" s="14" t="s">
        <v>8</v>
      </c>
      <c r="Z7" s="3" t="s">
        <v>11</v>
      </c>
      <c r="AA7" s="3" t="s">
        <v>11</v>
      </c>
      <c r="AB7" s="3" t="s">
        <v>11</v>
      </c>
      <c r="AC7" s="3" t="s">
        <v>11</v>
      </c>
      <c r="AD7" s="14" t="s">
        <v>8</v>
      </c>
      <c r="AE7" s="14" t="s">
        <v>8</v>
      </c>
      <c r="AG7" s="6">
        <f>OCT!AJ7</f>
        <v>18</v>
      </c>
      <c r="AH7" s="15">
        <f t="shared" si="3"/>
        <v>0</v>
      </c>
      <c r="AI7" s="15">
        <f t="shared" si="2"/>
        <v>18</v>
      </c>
    </row>
    <row r="8" spans="1:35" ht="15" customHeight="1">
      <c r="A8" s="22" t="s">
        <v>17</v>
      </c>
      <c r="B8" s="3" t="s">
        <v>11</v>
      </c>
      <c r="C8" s="3" t="s">
        <v>11</v>
      </c>
      <c r="D8" s="14" t="s">
        <v>8</v>
      </c>
      <c r="E8" s="14" t="s">
        <v>8</v>
      </c>
      <c r="F8" s="7" t="s">
        <v>15</v>
      </c>
      <c r="G8" s="7" t="s">
        <v>15</v>
      </c>
      <c r="H8" s="7" t="s">
        <v>15</v>
      </c>
      <c r="I8" s="7" t="s">
        <v>15</v>
      </c>
      <c r="J8" s="14" t="s">
        <v>8</v>
      </c>
      <c r="K8" s="14" t="s">
        <v>8</v>
      </c>
      <c r="L8" s="3" t="s">
        <v>11</v>
      </c>
      <c r="M8" s="3" t="s">
        <v>11</v>
      </c>
      <c r="N8" s="3" t="s">
        <v>11</v>
      </c>
      <c r="O8" s="3" t="s">
        <v>11</v>
      </c>
      <c r="P8" s="14" t="s">
        <v>8</v>
      </c>
      <c r="Q8" s="14" t="s">
        <v>8</v>
      </c>
      <c r="R8" s="7" t="s">
        <v>15</v>
      </c>
      <c r="S8" s="7" t="s">
        <v>15</v>
      </c>
      <c r="T8" s="7" t="s">
        <v>15</v>
      </c>
      <c r="U8" s="7" t="s">
        <v>15</v>
      </c>
      <c r="V8" s="14" t="s">
        <v>8</v>
      </c>
      <c r="W8" s="14" t="s">
        <v>8</v>
      </c>
      <c r="X8" s="3" t="s">
        <v>11</v>
      </c>
      <c r="Y8" s="3" t="s">
        <v>11</v>
      </c>
      <c r="Z8" s="3" t="s">
        <v>11</v>
      </c>
      <c r="AA8" s="3" t="s">
        <v>11</v>
      </c>
      <c r="AB8" s="3" t="s">
        <v>11</v>
      </c>
      <c r="AC8" s="14" t="s">
        <v>8</v>
      </c>
      <c r="AD8" s="14" t="s">
        <v>8</v>
      </c>
      <c r="AE8" s="7" t="s">
        <v>15</v>
      </c>
      <c r="AG8" s="6">
        <f>OCT!AJ8</f>
        <v>22</v>
      </c>
      <c r="AH8" s="15">
        <f t="shared" si="3"/>
        <v>0</v>
      </c>
      <c r="AI8" s="15">
        <f t="shared" si="2"/>
        <v>22</v>
      </c>
    </row>
    <row r="9" spans="1:35" ht="15" customHeight="1">
      <c r="A9" s="22" t="s">
        <v>19</v>
      </c>
      <c r="B9" s="14" t="s">
        <v>8</v>
      </c>
      <c r="C9" s="14" t="s">
        <v>8</v>
      </c>
      <c r="D9" s="3" t="s">
        <v>11</v>
      </c>
      <c r="E9" s="3" t="s">
        <v>11</v>
      </c>
      <c r="F9" s="3" t="s">
        <v>11</v>
      </c>
      <c r="G9" s="3" t="s">
        <v>11</v>
      </c>
      <c r="H9" s="14" t="s">
        <v>8</v>
      </c>
      <c r="I9" s="14" t="s">
        <v>8</v>
      </c>
      <c r="J9" s="7" t="s">
        <v>15</v>
      </c>
      <c r="K9" s="7" t="s">
        <v>15</v>
      </c>
      <c r="L9" s="7" t="s">
        <v>15</v>
      </c>
      <c r="M9" s="7" t="s">
        <v>15</v>
      </c>
      <c r="N9" s="14" t="s">
        <v>8</v>
      </c>
      <c r="O9" s="14" t="s">
        <v>8</v>
      </c>
      <c r="P9" s="3" t="s">
        <v>11</v>
      </c>
      <c r="Q9" s="3" t="s">
        <v>11</v>
      </c>
      <c r="R9" s="3" t="s">
        <v>11</v>
      </c>
      <c r="S9" s="3" t="s">
        <v>11</v>
      </c>
      <c r="T9" s="3" t="s">
        <v>11</v>
      </c>
      <c r="U9" s="14" t="s">
        <v>8</v>
      </c>
      <c r="V9" s="14" t="s">
        <v>8</v>
      </c>
      <c r="W9" s="7" t="s">
        <v>15</v>
      </c>
      <c r="X9" s="7" t="s">
        <v>15</v>
      </c>
      <c r="Y9" s="7" t="s">
        <v>15</v>
      </c>
      <c r="Z9" s="7" t="s">
        <v>15</v>
      </c>
      <c r="AA9" s="14" t="s">
        <v>8</v>
      </c>
      <c r="AB9" s="14" t="s">
        <v>8</v>
      </c>
      <c r="AC9" s="3" t="s">
        <v>11</v>
      </c>
      <c r="AD9" s="3" t="s">
        <v>11</v>
      </c>
      <c r="AE9" s="3" t="s">
        <v>11</v>
      </c>
      <c r="AG9" s="6">
        <f>OCT!AJ9</f>
        <v>22</v>
      </c>
      <c r="AH9" s="15">
        <f t="shared" si="3"/>
        <v>0</v>
      </c>
      <c r="AI9" s="15">
        <f t="shared" si="2"/>
        <v>22</v>
      </c>
    </row>
    <row r="10" spans="1:35" s="16" customFormat="1" ht="15" customHeight="1">
      <c r="A10" s="22" t="s">
        <v>20</v>
      </c>
      <c r="B10" s="23" t="s">
        <v>6</v>
      </c>
      <c r="C10" s="7" t="s">
        <v>15</v>
      </c>
      <c r="D10" s="7" t="s">
        <v>15</v>
      </c>
      <c r="E10" s="7" t="s">
        <v>15</v>
      </c>
      <c r="F10" s="7" t="s">
        <v>15</v>
      </c>
      <c r="G10" s="14" t="s">
        <v>8</v>
      </c>
      <c r="H10" s="14" t="s">
        <v>8</v>
      </c>
      <c r="I10" s="3" t="s">
        <v>11</v>
      </c>
      <c r="J10" s="3" t="s">
        <v>11</v>
      </c>
      <c r="K10" s="3" t="s">
        <v>11</v>
      </c>
      <c r="L10" s="3" t="s">
        <v>11</v>
      </c>
      <c r="M10" s="14" t="s">
        <v>8</v>
      </c>
      <c r="N10" s="14" t="s">
        <v>8</v>
      </c>
      <c r="O10" s="7" t="s">
        <v>15</v>
      </c>
      <c r="P10" s="7" t="s">
        <v>15</v>
      </c>
      <c r="Q10" s="7" t="s">
        <v>15</v>
      </c>
      <c r="R10" s="7" t="s">
        <v>15</v>
      </c>
      <c r="S10" s="14" t="s">
        <v>8</v>
      </c>
      <c r="T10" s="14" t="s">
        <v>8</v>
      </c>
      <c r="U10" s="3" t="s">
        <v>11</v>
      </c>
      <c r="V10" s="3" t="s">
        <v>11</v>
      </c>
      <c r="W10" s="3" t="s">
        <v>11</v>
      </c>
      <c r="X10" s="3" t="s">
        <v>11</v>
      </c>
      <c r="Y10" s="3" t="s">
        <v>11</v>
      </c>
      <c r="Z10" s="14" t="s">
        <v>8</v>
      </c>
      <c r="AA10" s="14" t="s">
        <v>8</v>
      </c>
      <c r="AB10" s="7" t="s">
        <v>15</v>
      </c>
      <c r="AC10" s="7" t="s">
        <v>15</v>
      </c>
      <c r="AD10" s="7" t="s">
        <v>15</v>
      </c>
      <c r="AE10" s="7" t="s">
        <v>15</v>
      </c>
      <c r="AF10" s="13"/>
      <c r="AG10" s="6">
        <f>OCT!AJ10</f>
        <v>22</v>
      </c>
      <c r="AH10" s="15">
        <f t="shared" si="3"/>
        <v>0</v>
      </c>
      <c r="AI10" s="15">
        <f t="shared" si="2"/>
        <v>22</v>
      </c>
    </row>
    <row r="11" spans="1:35" ht="15" customHeight="1">
      <c r="A11" s="22" t="s">
        <v>21</v>
      </c>
      <c r="B11" s="7" t="s">
        <v>15</v>
      </c>
      <c r="C11" s="7" t="s">
        <v>15</v>
      </c>
      <c r="D11" s="7" t="s">
        <v>15</v>
      </c>
      <c r="E11" s="14" t="s">
        <v>8</v>
      </c>
      <c r="F11" s="14" t="s">
        <v>8</v>
      </c>
      <c r="G11" s="3" t="s">
        <v>11</v>
      </c>
      <c r="H11" s="3" t="s">
        <v>11</v>
      </c>
      <c r="I11" s="3" t="s">
        <v>11</v>
      </c>
      <c r="J11" s="3" t="s">
        <v>11</v>
      </c>
      <c r="K11" s="14" t="s">
        <v>8</v>
      </c>
      <c r="L11" s="14" t="s">
        <v>8</v>
      </c>
      <c r="M11" s="7" t="s">
        <v>15</v>
      </c>
      <c r="N11" s="7" t="s">
        <v>15</v>
      </c>
      <c r="O11" s="7" t="s">
        <v>15</v>
      </c>
      <c r="P11" s="7" t="s">
        <v>15</v>
      </c>
      <c r="Q11" s="7" t="s">
        <v>15</v>
      </c>
      <c r="R11" s="14" t="s">
        <v>8</v>
      </c>
      <c r="S11" s="14" t="s">
        <v>8</v>
      </c>
      <c r="T11" s="3" t="s">
        <v>11</v>
      </c>
      <c r="U11" s="3" t="s">
        <v>11</v>
      </c>
      <c r="V11" s="3" t="s">
        <v>11</v>
      </c>
      <c r="W11" s="3" t="s">
        <v>11</v>
      </c>
      <c r="X11" s="14" t="s">
        <v>8</v>
      </c>
      <c r="Y11" s="14" t="s">
        <v>8</v>
      </c>
      <c r="Z11" s="7" t="s">
        <v>15</v>
      </c>
      <c r="AA11" s="7" t="s">
        <v>15</v>
      </c>
      <c r="AB11" s="7" t="s">
        <v>15</v>
      </c>
      <c r="AC11" s="7" t="s">
        <v>15</v>
      </c>
      <c r="AD11" s="14" t="s">
        <v>8</v>
      </c>
      <c r="AE11" s="14" t="s">
        <v>8</v>
      </c>
      <c r="AG11" s="6">
        <f>OCT!AJ11</f>
        <v>22</v>
      </c>
      <c r="AH11" s="15">
        <f>COUNTIF(B11:AE11,"U")</f>
        <v>0</v>
      </c>
      <c r="AI11" s="15">
        <f t="shared" si="2"/>
        <v>22</v>
      </c>
    </row>
    <row r="13" spans="1:35">
      <c r="A13" s="3" t="s">
        <v>22</v>
      </c>
      <c r="B13" s="14">
        <f>COUNTIF(B4:B11,"P06")</f>
        <v>1</v>
      </c>
      <c r="C13" s="14">
        <f t="shared" ref="C13:AE13" si="4">COUNTIF(C4:C11,"P06")</f>
        <v>2</v>
      </c>
      <c r="D13" s="14">
        <f t="shared" si="4"/>
        <v>2</v>
      </c>
      <c r="E13" s="14">
        <f t="shared" si="4"/>
        <v>1</v>
      </c>
      <c r="F13" s="14">
        <f t="shared" si="4"/>
        <v>1</v>
      </c>
      <c r="G13" s="14">
        <f t="shared" si="4"/>
        <v>2</v>
      </c>
      <c r="H13" s="14">
        <f t="shared" si="4"/>
        <v>1</v>
      </c>
      <c r="I13" s="14">
        <f t="shared" si="4"/>
        <v>2</v>
      </c>
      <c r="J13" s="14">
        <f t="shared" si="4"/>
        <v>2</v>
      </c>
      <c r="K13" s="14">
        <f t="shared" si="4"/>
        <v>1</v>
      </c>
      <c r="L13" s="14">
        <f t="shared" si="4"/>
        <v>2</v>
      </c>
      <c r="M13" s="14">
        <f t="shared" si="4"/>
        <v>2</v>
      </c>
      <c r="N13" s="14">
        <f t="shared" si="4"/>
        <v>2</v>
      </c>
      <c r="O13" s="14">
        <f t="shared" si="4"/>
        <v>2</v>
      </c>
      <c r="P13" s="14">
        <f t="shared" si="4"/>
        <v>2</v>
      </c>
      <c r="Q13" s="14">
        <f t="shared" si="4"/>
        <v>2</v>
      </c>
      <c r="R13" s="14">
        <f t="shared" si="4"/>
        <v>1</v>
      </c>
      <c r="S13" s="14">
        <f t="shared" si="4"/>
        <v>1</v>
      </c>
      <c r="T13" s="14">
        <f t="shared" si="4"/>
        <v>2</v>
      </c>
      <c r="U13" s="14">
        <f t="shared" si="4"/>
        <v>2</v>
      </c>
      <c r="V13" s="14">
        <f t="shared" si="4"/>
        <v>2</v>
      </c>
      <c r="W13" s="14">
        <f t="shared" si="4"/>
        <v>2</v>
      </c>
      <c r="X13" s="14">
        <f t="shared" si="4"/>
        <v>2</v>
      </c>
      <c r="Y13" s="14">
        <f t="shared" si="4"/>
        <v>2</v>
      </c>
      <c r="Z13" s="14">
        <f t="shared" si="4"/>
        <v>2</v>
      </c>
      <c r="AA13" s="14">
        <f t="shared" si="4"/>
        <v>2</v>
      </c>
      <c r="AB13" s="14">
        <f t="shared" si="4"/>
        <v>2</v>
      </c>
      <c r="AC13" s="14">
        <f t="shared" si="4"/>
        <v>2</v>
      </c>
      <c r="AD13" s="14">
        <f t="shared" si="4"/>
        <v>1</v>
      </c>
      <c r="AE13" s="14">
        <f t="shared" si="4"/>
        <v>1</v>
      </c>
    </row>
    <row r="14" spans="1:35">
      <c r="A14" s="7" t="s">
        <v>23</v>
      </c>
      <c r="B14" s="14">
        <f>COUNTIF(B4:B11,"P14")</f>
        <v>1</v>
      </c>
      <c r="C14" s="14">
        <f t="shared" ref="C14:AE14" si="5">COUNTIF(C4:C11,"P14")</f>
        <v>2</v>
      </c>
      <c r="D14" s="14">
        <f t="shared" si="5"/>
        <v>2</v>
      </c>
      <c r="E14" s="14">
        <f t="shared" si="5"/>
        <v>1</v>
      </c>
      <c r="F14" s="14">
        <f t="shared" si="5"/>
        <v>2</v>
      </c>
      <c r="G14" s="14">
        <f t="shared" si="5"/>
        <v>2</v>
      </c>
      <c r="H14" s="14">
        <f t="shared" si="5"/>
        <v>2</v>
      </c>
      <c r="I14" s="14">
        <f t="shared" si="5"/>
        <v>1</v>
      </c>
      <c r="J14" s="14">
        <f t="shared" si="5"/>
        <v>2</v>
      </c>
      <c r="K14" s="14">
        <f t="shared" si="5"/>
        <v>1</v>
      </c>
      <c r="L14" s="14">
        <f t="shared" si="5"/>
        <v>1</v>
      </c>
      <c r="M14" s="14">
        <f t="shared" si="5"/>
        <v>2</v>
      </c>
      <c r="N14" s="14">
        <f t="shared" si="5"/>
        <v>1</v>
      </c>
      <c r="O14" s="14">
        <f t="shared" si="5"/>
        <v>2</v>
      </c>
      <c r="P14" s="14">
        <f t="shared" si="5"/>
        <v>2</v>
      </c>
      <c r="Q14" s="14">
        <f t="shared" si="5"/>
        <v>2</v>
      </c>
      <c r="R14" s="14">
        <f t="shared" si="5"/>
        <v>2</v>
      </c>
      <c r="S14" s="14">
        <f t="shared" si="5"/>
        <v>1</v>
      </c>
      <c r="T14" s="14">
        <f t="shared" si="5"/>
        <v>2</v>
      </c>
      <c r="U14" s="14">
        <f t="shared" si="5"/>
        <v>2</v>
      </c>
      <c r="V14" s="14">
        <f t="shared" si="5"/>
        <v>1</v>
      </c>
      <c r="W14" s="14">
        <f t="shared" si="5"/>
        <v>2</v>
      </c>
      <c r="X14" s="14">
        <f t="shared" si="5"/>
        <v>1</v>
      </c>
      <c r="Y14" s="14">
        <f t="shared" si="5"/>
        <v>1</v>
      </c>
      <c r="Z14" s="14">
        <f t="shared" si="5"/>
        <v>2</v>
      </c>
      <c r="AA14" s="14">
        <f t="shared" si="5"/>
        <v>1</v>
      </c>
      <c r="AB14" s="14">
        <f t="shared" si="5"/>
        <v>2</v>
      </c>
      <c r="AC14" s="14">
        <f t="shared" si="5"/>
        <v>2</v>
      </c>
      <c r="AD14" s="14">
        <f t="shared" si="5"/>
        <v>1</v>
      </c>
      <c r="AE14" s="14">
        <f t="shared" si="5"/>
        <v>2</v>
      </c>
    </row>
    <row r="15" spans="1:35" ht="13.5" thickBot="1"/>
    <row r="16" spans="1:35">
      <c r="E16" s="42"/>
      <c r="F16" s="46" t="s">
        <v>24</v>
      </c>
      <c r="G16" s="59"/>
      <c r="H16" s="46" t="s">
        <v>25</v>
      </c>
      <c r="I16" s="47"/>
      <c r="M16" s="6" t="s">
        <v>8</v>
      </c>
      <c r="N16" s="24" t="s">
        <v>26</v>
      </c>
      <c r="O16" s="25"/>
      <c r="P16" s="25"/>
      <c r="Q16" s="25"/>
      <c r="R16" s="25"/>
      <c r="S16" s="4" t="s">
        <v>27</v>
      </c>
      <c r="T16" s="26" t="s">
        <v>28</v>
      </c>
      <c r="U16" s="27"/>
      <c r="V16" s="27"/>
      <c r="W16" s="27"/>
      <c r="X16" s="28"/>
      <c r="Z16" s="60" t="s">
        <v>29</v>
      </c>
      <c r="AA16" s="61"/>
      <c r="AB16" s="61"/>
      <c r="AC16" s="61"/>
      <c r="AD16" s="61"/>
      <c r="AE16" s="61"/>
      <c r="AF16" s="61"/>
    </row>
    <row r="17" spans="5:32">
      <c r="E17" s="3" t="s">
        <v>11</v>
      </c>
      <c r="F17" s="48" t="s">
        <v>30</v>
      </c>
      <c r="G17" s="58"/>
      <c r="H17" s="48" t="s">
        <v>31</v>
      </c>
      <c r="I17" s="49"/>
      <c r="M17" s="11" t="s">
        <v>32</v>
      </c>
      <c r="N17" s="17" t="s">
        <v>33</v>
      </c>
      <c r="O17" s="29"/>
      <c r="P17" s="29"/>
      <c r="Q17" s="29"/>
      <c r="R17" s="29"/>
      <c r="S17" s="4" t="s">
        <v>34</v>
      </c>
      <c r="T17" s="17" t="s">
        <v>35</v>
      </c>
      <c r="U17" s="29"/>
      <c r="V17" s="29"/>
      <c r="W17" s="29"/>
      <c r="X17" s="19"/>
      <c r="Z17" s="62"/>
      <c r="AA17" s="63"/>
      <c r="AB17" s="63"/>
      <c r="AC17" s="63"/>
      <c r="AD17" s="63"/>
      <c r="AE17" s="63"/>
      <c r="AF17" s="63"/>
    </row>
    <row r="18" spans="5:32">
      <c r="E18" s="5" t="s">
        <v>10</v>
      </c>
      <c r="F18" s="50" t="s">
        <v>36</v>
      </c>
      <c r="G18" s="52"/>
      <c r="H18" s="50" t="s">
        <v>37</v>
      </c>
      <c r="I18" s="51"/>
      <c r="M18" s="23" t="s">
        <v>6</v>
      </c>
      <c r="N18" s="18" t="s">
        <v>38</v>
      </c>
      <c r="O18" s="30"/>
      <c r="P18" s="30"/>
      <c r="Q18" s="30"/>
      <c r="R18" s="30"/>
      <c r="S18" s="6" t="s">
        <v>39</v>
      </c>
      <c r="T18" s="17" t="s">
        <v>40</v>
      </c>
      <c r="U18" s="29"/>
      <c r="V18" s="29"/>
      <c r="W18" s="29"/>
      <c r="X18" s="19"/>
      <c r="Z18" s="62"/>
      <c r="AA18" s="63"/>
      <c r="AB18" s="63"/>
      <c r="AC18" s="63"/>
      <c r="AD18" s="63"/>
      <c r="AE18" s="63"/>
      <c r="AF18" s="63"/>
    </row>
    <row r="19" spans="5:32">
      <c r="E19" s="5" t="s">
        <v>9</v>
      </c>
      <c r="F19" s="50" t="s">
        <v>41</v>
      </c>
      <c r="G19" s="52"/>
      <c r="H19" s="50" t="s">
        <v>42</v>
      </c>
      <c r="I19" s="51"/>
      <c r="M19" s="31" t="s">
        <v>16</v>
      </c>
      <c r="N19" s="17" t="s">
        <v>43</v>
      </c>
      <c r="O19" s="29"/>
      <c r="P19" s="29"/>
      <c r="Q19" s="29"/>
      <c r="R19" s="29"/>
      <c r="S19" s="6" t="s">
        <v>44</v>
      </c>
      <c r="T19" s="17" t="s">
        <v>40</v>
      </c>
      <c r="U19" s="29"/>
      <c r="V19" s="29"/>
      <c r="W19" s="29"/>
      <c r="X19" s="19"/>
    </row>
    <row r="20" spans="5:32">
      <c r="E20" s="7" t="s">
        <v>15</v>
      </c>
      <c r="F20" s="50" t="s">
        <v>45</v>
      </c>
      <c r="G20" s="52"/>
      <c r="H20" s="50" t="s">
        <v>46</v>
      </c>
      <c r="I20" s="51"/>
      <c r="M20" s="31" t="s">
        <v>7</v>
      </c>
      <c r="N20" s="17" t="s">
        <v>47</v>
      </c>
      <c r="O20" s="29"/>
      <c r="P20" s="29"/>
      <c r="Q20" s="29"/>
      <c r="R20" s="19"/>
      <c r="S20" s="6" t="s">
        <v>48</v>
      </c>
      <c r="T20" s="17" t="s">
        <v>40</v>
      </c>
      <c r="U20" s="29"/>
      <c r="V20" s="29"/>
      <c r="W20" s="29"/>
      <c r="X20" s="19"/>
    </row>
    <row r="21" spans="5:32">
      <c r="E21" s="8" t="s">
        <v>49</v>
      </c>
      <c r="F21" s="53" t="s">
        <v>50</v>
      </c>
      <c r="G21" s="54"/>
      <c r="H21" s="53" t="s">
        <v>51</v>
      </c>
      <c r="I21" s="55"/>
      <c r="M21" s="32" t="s">
        <v>6</v>
      </c>
      <c r="N21" s="17" t="s">
        <v>52</v>
      </c>
      <c r="O21" s="29"/>
      <c r="P21" s="29"/>
      <c r="Q21" s="29"/>
      <c r="R21" s="29"/>
      <c r="S21" s="20" t="s">
        <v>53</v>
      </c>
      <c r="T21" s="17" t="s">
        <v>54</v>
      </c>
      <c r="U21" s="29"/>
      <c r="V21" s="29"/>
      <c r="W21" s="29"/>
      <c r="X21" s="19"/>
    </row>
    <row r="22" spans="5:32">
      <c r="M22" s="32" t="s">
        <v>16</v>
      </c>
      <c r="N22" s="17" t="s">
        <v>55</v>
      </c>
      <c r="O22" s="29"/>
      <c r="P22" s="29"/>
      <c r="Q22" s="29"/>
      <c r="R22" s="29"/>
      <c r="S22" s="9" t="s">
        <v>56</v>
      </c>
      <c r="T22" s="17" t="s">
        <v>54</v>
      </c>
      <c r="U22" s="29"/>
      <c r="V22" s="29"/>
      <c r="W22" s="29"/>
      <c r="X22" s="19"/>
    </row>
    <row r="23" spans="5:32">
      <c r="M23" s="33" t="s">
        <v>18</v>
      </c>
      <c r="N23" s="17" t="s">
        <v>57</v>
      </c>
      <c r="O23" s="29"/>
      <c r="P23" s="29"/>
      <c r="Q23" s="29"/>
      <c r="R23" s="29"/>
      <c r="S23" s="9" t="s">
        <v>58</v>
      </c>
      <c r="T23" s="17" t="s">
        <v>54</v>
      </c>
      <c r="U23" s="29"/>
      <c r="V23" s="29"/>
      <c r="W23" s="29"/>
      <c r="X23" s="19"/>
    </row>
    <row r="24" spans="5:32">
      <c r="M24" s="33" t="s">
        <v>59</v>
      </c>
      <c r="N24" s="17" t="s">
        <v>60</v>
      </c>
      <c r="O24" s="29"/>
      <c r="P24" s="29"/>
      <c r="Q24" s="29"/>
      <c r="R24" s="29"/>
      <c r="S24" s="9" t="s">
        <v>61</v>
      </c>
      <c r="T24" s="17" t="s">
        <v>54</v>
      </c>
      <c r="U24" s="29"/>
      <c r="V24" s="29"/>
      <c r="W24" s="29"/>
      <c r="X24" s="19"/>
    </row>
    <row r="25" spans="5:32">
      <c r="M25" s="34" t="s">
        <v>62</v>
      </c>
      <c r="N25" s="17" t="s">
        <v>63</v>
      </c>
      <c r="O25" s="29"/>
      <c r="P25" s="29"/>
      <c r="Q25" s="29"/>
      <c r="R25" s="29"/>
      <c r="S25" s="10" t="s">
        <v>64</v>
      </c>
      <c r="T25" s="17" t="s">
        <v>54</v>
      </c>
      <c r="U25" s="29"/>
      <c r="V25" s="29"/>
      <c r="W25" s="29"/>
      <c r="X25" s="19"/>
    </row>
    <row r="26" spans="5:32">
      <c r="M26" s="35" t="s">
        <v>65</v>
      </c>
      <c r="N26" s="17" t="s">
        <v>66</v>
      </c>
      <c r="O26" s="29"/>
      <c r="P26" s="29"/>
      <c r="Q26" s="29"/>
      <c r="R26" s="29"/>
      <c r="S26" s="6" t="s">
        <v>67</v>
      </c>
      <c r="T26" s="17" t="s">
        <v>54</v>
      </c>
      <c r="U26" s="29"/>
      <c r="V26" s="29"/>
      <c r="W26" s="29"/>
      <c r="X26" s="19"/>
    </row>
    <row r="27" spans="5:32">
      <c r="M27" s="36" t="s">
        <v>68</v>
      </c>
      <c r="N27" s="17" t="s">
        <v>69</v>
      </c>
      <c r="O27" s="29"/>
      <c r="P27" s="29"/>
      <c r="Q27" s="29"/>
      <c r="R27" s="29"/>
      <c r="S27" s="6" t="s">
        <v>70</v>
      </c>
      <c r="T27" s="17" t="s">
        <v>54</v>
      </c>
      <c r="U27" s="29"/>
      <c r="V27" s="29"/>
      <c r="W27" s="29"/>
      <c r="X27" s="19"/>
    </row>
    <row r="28" spans="5:32">
      <c r="M28" s="37" t="s">
        <v>71</v>
      </c>
      <c r="N28" s="18" t="s">
        <v>72</v>
      </c>
      <c r="O28" s="30"/>
      <c r="P28" s="30"/>
      <c r="Q28" s="30"/>
      <c r="R28" s="30"/>
      <c r="S28" s="11" t="s">
        <v>73</v>
      </c>
      <c r="T28" s="17" t="s">
        <v>54</v>
      </c>
      <c r="U28" s="29"/>
      <c r="V28" s="29"/>
      <c r="W28" s="29"/>
      <c r="X28" s="19"/>
    </row>
    <row r="29" spans="5:32">
      <c r="M29" s="10" t="s">
        <v>74</v>
      </c>
      <c r="N29" s="17" t="s">
        <v>75</v>
      </c>
      <c r="O29" s="29"/>
      <c r="P29" s="29"/>
      <c r="Q29" s="29"/>
      <c r="R29" s="29"/>
      <c r="S29" s="6" t="s">
        <v>76</v>
      </c>
      <c r="T29" s="17" t="s">
        <v>54</v>
      </c>
      <c r="U29" s="29"/>
      <c r="V29" s="29"/>
      <c r="W29" s="29"/>
      <c r="X29" s="19"/>
    </row>
    <row r="30" spans="5:32">
      <c r="M30" s="37" t="s">
        <v>77</v>
      </c>
      <c r="N30" s="38" t="s">
        <v>78</v>
      </c>
      <c r="O30" s="39"/>
      <c r="P30" s="39"/>
      <c r="Q30" s="39"/>
      <c r="R30" s="39"/>
      <c r="S30" s="40" t="s">
        <v>79</v>
      </c>
      <c r="T30" s="38" t="s">
        <v>80</v>
      </c>
      <c r="U30" s="39"/>
      <c r="V30" s="39"/>
      <c r="W30" s="39"/>
      <c r="X30" s="41"/>
    </row>
  </sheetData>
  <mergeCells count="16">
    <mergeCell ref="F20:G20"/>
    <mergeCell ref="H20:I20"/>
    <mergeCell ref="F21:G21"/>
    <mergeCell ref="H21:I21"/>
    <mergeCell ref="F17:G17"/>
    <mergeCell ref="H17:I17"/>
    <mergeCell ref="F18:G18"/>
    <mergeCell ref="H18:I18"/>
    <mergeCell ref="F19:G19"/>
    <mergeCell ref="H19:I19"/>
    <mergeCell ref="A1:AE1"/>
    <mergeCell ref="A2:A3"/>
    <mergeCell ref="AG2:AI2"/>
    <mergeCell ref="F16:G16"/>
    <mergeCell ref="H16:I16"/>
    <mergeCell ref="Z16:AF18"/>
  </mergeCells>
  <conditionalFormatting sqref="B13:AE14">
    <cfRule type="cellIs" dxfId="5" priority="1" operator="equal">
      <formula>0</formula>
    </cfRule>
    <cfRule type="cellIs" dxfId="4" priority="2" operator="greaterThan">
      <formula>0</formula>
    </cfRule>
  </conditionalFormatting>
  <conditionalFormatting sqref="C2:AE3">
    <cfRule type="expression" dxfId="3" priority="3">
      <formula>WEEKDAY(DATE(YEAR($A$2),MONTH($A$2),C$2),2)&gt;5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35D-4F15-4FC2-8B47-A29E37BFBC5D}">
  <dimension ref="A1:AJ30"/>
  <sheetViews>
    <sheetView tabSelected="1" zoomScale="85" zoomScaleNormal="85" workbookViewId="0">
      <pane xSplit="1" ySplit="3" topLeftCell="B4" activePane="bottomRight" state="frozen"/>
      <selection pane="bottomRight" activeCell="AI19" sqref="AI19"/>
      <selection pane="bottomLeft"/>
      <selection pane="topRight"/>
    </sheetView>
  </sheetViews>
  <sheetFormatPr defaultColWidth="9.140625" defaultRowHeight="12.95"/>
  <cols>
    <col min="1" max="1" width="30.7109375" style="13" customWidth="1"/>
    <col min="2" max="36" width="6.7109375" style="13" customWidth="1"/>
    <col min="37" max="16384" width="9.140625" style="13"/>
  </cols>
  <sheetData>
    <row r="1" spans="1:36" ht="1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12"/>
      <c r="AH1" s="12"/>
      <c r="AI1" s="12"/>
      <c r="AJ1" s="12"/>
    </row>
    <row r="2" spans="1:36" ht="15" customHeight="1">
      <c r="A2" s="57">
        <v>46357</v>
      </c>
      <c r="B2" s="23">
        <f>IF(COLUMN(A1)&lt;=DAY(EOMONTH($A$2,0)),COLUMN(A1),"")</f>
        <v>1</v>
      </c>
      <c r="C2" s="21">
        <f t="shared" ref="C2:AF2" si="0">IF(COLUMN(B1)&lt;=DAY(EOMONTH($A$2,0)),COLUMN(B1),"")</f>
        <v>2</v>
      </c>
      <c r="D2" s="21">
        <f t="shared" si="0"/>
        <v>3</v>
      </c>
      <c r="E2" s="21">
        <f t="shared" si="0"/>
        <v>4</v>
      </c>
      <c r="F2" s="21">
        <f t="shared" si="0"/>
        <v>5</v>
      </c>
      <c r="G2" s="21">
        <f t="shared" si="0"/>
        <v>6</v>
      </c>
      <c r="H2" s="21">
        <f t="shared" si="0"/>
        <v>7</v>
      </c>
      <c r="I2" s="23">
        <f t="shared" si="0"/>
        <v>8</v>
      </c>
      <c r="J2" s="21">
        <f t="shared" si="0"/>
        <v>9</v>
      </c>
      <c r="K2" s="21">
        <f t="shared" si="0"/>
        <v>10</v>
      </c>
      <c r="L2" s="21">
        <f t="shared" si="0"/>
        <v>11</v>
      </c>
      <c r="M2" s="21">
        <f t="shared" si="0"/>
        <v>12</v>
      </c>
      <c r="N2" s="21">
        <f t="shared" si="0"/>
        <v>13</v>
      </c>
      <c r="O2" s="21">
        <f t="shared" si="0"/>
        <v>14</v>
      </c>
      <c r="P2" s="21">
        <f t="shared" si="0"/>
        <v>15</v>
      </c>
      <c r="Q2" s="21">
        <f t="shared" si="0"/>
        <v>16</v>
      </c>
      <c r="R2" s="21">
        <f t="shared" si="0"/>
        <v>17</v>
      </c>
      <c r="S2" s="21">
        <f t="shared" si="0"/>
        <v>18</v>
      </c>
      <c r="T2" s="21">
        <f t="shared" si="0"/>
        <v>19</v>
      </c>
      <c r="U2" s="21">
        <f t="shared" si="0"/>
        <v>20</v>
      </c>
      <c r="V2" s="21">
        <f t="shared" si="0"/>
        <v>21</v>
      </c>
      <c r="W2" s="21">
        <f t="shared" si="0"/>
        <v>22</v>
      </c>
      <c r="X2" s="21">
        <f t="shared" si="0"/>
        <v>23</v>
      </c>
      <c r="Y2" s="21">
        <f t="shared" si="0"/>
        <v>24</v>
      </c>
      <c r="Z2" s="23">
        <f t="shared" si="0"/>
        <v>25</v>
      </c>
      <c r="AA2" s="21">
        <f t="shared" si="0"/>
        <v>26</v>
      </c>
      <c r="AB2" s="21">
        <f t="shared" si="0"/>
        <v>27</v>
      </c>
      <c r="AC2" s="21">
        <f t="shared" si="0"/>
        <v>28</v>
      </c>
      <c r="AD2" s="21">
        <f t="shared" si="0"/>
        <v>29</v>
      </c>
      <c r="AE2" s="21">
        <f t="shared" si="0"/>
        <v>30</v>
      </c>
      <c r="AF2" s="21">
        <f t="shared" si="0"/>
        <v>31</v>
      </c>
      <c r="AH2" s="44" t="s">
        <v>2</v>
      </c>
      <c r="AI2" s="45"/>
      <c r="AJ2" s="45"/>
    </row>
    <row r="3" spans="1:36" ht="15" customHeight="1">
      <c r="A3" s="57"/>
      <c r="B3" s="23" t="str">
        <f>UPPER(LEFT(TEXT(DATE(YEAR($A$2),MONTH($A$2),B2),"DDD"),2))</f>
        <v>TU</v>
      </c>
      <c r="C3" s="21" t="str">
        <f t="shared" ref="C3:AF3" si="1">UPPER(LEFT(TEXT(DATE(YEAR($A$2),MONTH($A$2),C2),"DDD"),2))</f>
        <v>WE</v>
      </c>
      <c r="D3" s="21" t="str">
        <f t="shared" si="1"/>
        <v>TH</v>
      </c>
      <c r="E3" s="21" t="str">
        <f t="shared" si="1"/>
        <v>FR</v>
      </c>
      <c r="F3" s="21" t="str">
        <f t="shared" si="1"/>
        <v>SA</v>
      </c>
      <c r="G3" s="21" t="str">
        <f t="shared" si="1"/>
        <v>SU</v>
      </c>
      <c r="H3" s="21" t="str">
        <f t="shared" si="1"/>
        <v>MO</v>
      </c>
      <c r="I3" s="23" t="str">
        <f t="shared" si="1"/>
        <v>TU</v>
      </c>
      <c r="J3" s="21" t="str">
        <f t="shared" si="1"/>
        <v>WE</v>
      </c>
      <c r="K3" s="21" t="str">
        <f t="shared" si="1"/>
        <v>TH</v>
      </c>
      <c r="L3" s="21" t="str">
        <f t="shared" si="1"/>
        <v>FR</v>
      </c>
      <c r="M3" s="21" t="str">
        <f t="shared" si="1"/>
        <v>SA</v>
      </c>
      <c r="N3" s="21" t="str">
        <f t="shared" si="1"/>
        <v>SU</v>
      </c>
      <c r="O3" s="21" t="str">
        <f t="shared" si="1"/>
        <v>MO</v>
      </c>
      <c r="P3" s="21" t="str">
        <f t="shared" si="1"/>
        <v>TU</v>
      </c>
      <c r="Q3" s="21" t="str">
        <f t="shared" si="1"/>
        <v>WE</v>
      </c>
      <c r="R3" s="21" t="str">
        <f t="shared" si="1"/>
        <v>TH</v>
      </c>
      <c r="S3" s="21" t="str">
        <f t="shared" si="1"/>
        <v>FR</v>
      </c>
      <c r="T3" s="21" t="str">
        <f t="shared" si="1"/>
        <v>SA</v>
      </c>
      <c r="U3" s="21" t="str">
        <f t="shared" si="1"/>
        <v>SU</v>
      </c>
      <c r="V3" s="21" t="str">
        <f t="shared" si="1"/>
        <v>MO</v>
      </c>
      <c r="W3" s="21" t="str">
        <f t="shared" si="1"/>
        <v>TU</v>
      </c>
      <c r="X3" s="21" t="str">
        <f t="shared" si="1"/>
        <v>WE</v>
      </c>
      <c r="Y3" s="21" t="str">
        <f t="shared" si="1"/>
        <v>TH</v>
      </c>
      <c r="Z3" s="23" t="str">
        <f t="shared" si="1"/>
        <v>FR</v>
      </c>
      <c r="AA3" s="21" t="str">
        <f t="shared" si="1"/>
        <v>SA</v>
      </c>
      <c r="AB3" s="21" t="str">
        <f t="shared" si="1"/>
        <v>SU</v>
      </c>
      <c r="AC3" s="21" t="str">
        <f t="shared" si="1"/>
        <v>MO</v>
      </c>
      <c r="AD3" s="21" t="str">
        <f t="shared" si="1"/>
        <v>TU</v>
      </c>
      <c r="AE3" s="21" t="str">
        <f t="shared" si="1"/>
        <v>WE</v>
      </c>
      <c r="AF3" s="21" t="str">
        <f t="shared" si="1"/>
        <v>TH</v>
      </c>
      <c r="AH3" s="1">
        <v>2026</v>
      </c>
      <c r="AI3" s="2" t="s">
        <v>3</v>
      </c>
      <c r="AJ3" s="2" t="s">
        <v>4</v>
      </c>
    </row>
    <row r="4" spans="1:36" ht="15" customHeight="1">
      <c r="A4" s="22" t="s">
        <v>5</v>
      </c>
      <c r="B4" s="23" t="s">
        <v>6</v>
      </c>
      <c r="C4" s="5" t="s">
        <v>10</v>
      </c>
      <c r="D4" s="5" t="s">
        <v>10</v>
      </c>
      <c r="E4" s="5" t="s">
        <v>10</v>
      </c>
      <c r="F4" s="14" t="s">
        <v>8</v>
      </c>
      <c r="G4" s="14" t="s">
        <v>8</v>
      </c>
      <c r="H4" s="5" t="s">
        <v>10</v>
      </c>
      <c r="I4" s="23" t="s">
        <v>6</v>
      </c>
      <c r="J4" s="5" t="s">
        <v>10</v>
      </c>
      <c r="K4" s="5" t="s">
        <v>10</v>
      </c>
      <c r="L4" s="5" t="s">
        <v>10</v>
      </c>
      <c r="M4" s="14" t="s">
        <v>8</v>
      </c>
      <c r="N4" s="14" t="s">
        <v>8</v>
      </c>
      <c r="O4" s="5" t="s">
        <v>10</v>
      </c>
      <c r="P4" s="5" t="s">
        <v>10</v>
      </c>
      <c r="Q4" s="5" t="s">
        <v>10</v>
      </c>
      <c r="R4" s="5" t="s">
        <v>10</v>
      </c>
      <c r="S4" s="5" t="s">
        <v>10</v>
      </c>
      <c r="T4" s="14" t="s">
        <v>8</v>
      </c>
      <c r="U4" s="14" t="s">
        <v>8</v>
      </c>
      <c r="V4" s="5" t="s">
        <v>10</v>
      </c>
      <c r="W4" s="5" t="s">
        <v>10</v>
      </c>
      <c r="X4" s="5" t="s">
        <v>10</v>
      </c>
      <c r="Y4" s="5" t="s">
        <v>10</v>
      </c>
      <c r="Z4" s="23" t="s">
        <v>6</v>
      </c>
      <c r="AA4" s="14" t="s">
        <v>8</v>
      </c>
      <c r="AB4" s="14" t="s">
        <v>8</v>
      </c>
      <c r="AC4" s="5" t="s">
        <v>10</v>
      </c>
      <c r="AD4" s="5" t="s">
        <v>10</v>
      </c>
      <c r="AE4" s="5" t="s">
        <v>10</v>
      </c>
      <c r="AF4" s="5" t="s">
        <v>10</v>
      </c>
      <c r="AH4" s="6">
        <f>NOV!AI4</f>
        <v>22</v>
      </c>
      <c r="AI4" s="15">
        <f>COUNTIF(B4:AF4,"U")</f>
        <v>0</v>
      </c>
      <c r="AJ4" s="15">
        <f t="shared" ref="AJ4:AJ11" si="2">AH4-AI4</f>
        <v>22</v>
      </c>
    </row>
    <row r="5" spans="1:36" ht="15" customHeight="1">
      <c r="A5" s="22" t="s">
        <v>12</v>
      </c>
      <c r="B5" s="23" t="s">
        <v>6</v>
      </c>
      <c r="C5" s="5" t="s">
        <v>9</v>
      </c>
      <c r="D5" s="5" t="s">
        <v>9</v>
      </c>
      <c r="E5" s="5" t="s">
        <v>9</v>
      </c>
      <c r="F5" s="14" t="s">
        <v>8</v>
      </c>
      <c r="G5" s="14" t="s">
        <v>8</v>
      </c>
      <c r="H5" s="5" t="s">
        <v>9</v>
      </c>
      <c r="I5" s="23" t="s">
        <v>6</v>
      </c>
      <c r="J5" s="5" t="s">
        <v>9</v>
      </c>
      <c r="K5" s="5" t="s">
        <v>9</v>
      </c>
      <c r="L5" s="5" t="s">
        <v>9</v>
      </c>
      <c r="M5" s="14" t="s">
        <v>8</v>
      </c>
      <c r="N5" s="14" t="s">
        <v>8</v>
      </c>
      <c r="O5" s="5" t="s">
        <v>9</v>
      </c>
      <c r="P5" s="5" t="s">
        <v>9</v>
      </c>
      <c r="Q5" s="5" t="s">
        <v>9</v>
      </c>
      <c r="R5" s="5" t="s">
        <v>9</v>
      </c>
      <c r="S5" s="5" t="s">
        <v>9</v>
      </c>
      <c r="T5" s="14" t="s">
        <v>8</v>
      </c>
      <c r="U5" s="14" t="s">
        <v>8</v>
      </c>
      <c r="V5" s="5" t="s">
        <v>9</v>
      </c>
      <c r="W5" s="5" t="s">
        <v>9</v>
      </c>
      <c r="X5" s="5" t="s">
        <v>9</v>
      </c>
      <c r="Y5" s="5" t="s">
        <v>9</v>
      </c>
      <c r="Z5" s="23" t="s">
        <v>6</v>
      </c>
      <c r="AA5" s="14" t="s">
        <v>8</v>
      </c>
      <c r="AB5" s="14" t="s">
        <v>8</v>
      </c>
      <c r="AC5" s="5" t="s">
        <v>9</v>
      </c>
      <c r="AD5" s="5" t="s">
        <v>9</v>
      </c>
      <c r="AE5" s="5" t="s">
        <v>9</v>
      </c>
      <c r="AF5" s="5" t="s">
        <v>9</v>
      </c>
      <c r="AH5" s="6">
        <f>NOV!AI5</f>
        <v>22</v>
      </c>
      <c r="AI5" s="15">
        <f t="shared" ref="AI5:AI11" si="3">COUNTIF(B5:AF5,"U")</f>
        <v>0</v>
      </c>
      <c r="AJ5" s="15">
        <f t="shared" si="2"/>
        <v>22</v>
      </c>
    </row>
    <row r="6" spans="1:36" ht="15" customHeight="1">
      <c r="A6" s="22" t="s">
        <v>13</v>
      </c>
      <c r="B6" s="23" t="s">
        <v>6</v>
      </c>
      <c r="C6" s="5" t="s">
        <v>9</v>
      </c>
      <c r="D6" s="5" t="s">
        <v>9</v>
      </c>
      <c r="E6" s="5" t="s">
        <v>9</v>
      </c>
      <c r="F6" s="14" t="s">
        <v>8</v>
      </c>
      <c r="G6" s="14" t="s">
        <v>8</v>
      </c>
      <c r="H6" s="5" t="s">
        <v>9</v>
      </c>
      <c r="I6" s="23" t="s">
        <v>6</v>
      </c>
      <c r="J6" s="5" t="s">
        <v>9</v>
      </c>
      <c r="K6" s="5" t="s">
        <v>9</v>
      </c>
      <c r="L6" s="5" t="s">
        <v>9</v>
      </c>
      <c r="M6" s="14" t="s">
        <v>8</v>
      </c>
      <c r="N6" s="14" t="s">
        <v>8</v>
      </c>
      <c r="O6" s="5" t="s">
        <v>9</v>
      </c>
      <c r="P6" s="5" t="s">
        <v>9</v>
      </c>
      <c r="Q6" s="5" t="s">
        <v>9</v>
      </c>
      <c r="R6" s="5" t="s">
        <v>9</v>
      </c>
      <c r="S6" s="5" t="s">
        <v>9</v>
      </c>
      <c r="T6" s="14" t="s">
        <v>8</v>
      </c>
      <c r="U6" s="14" t="s">
        <v>8</v>
      </c>
      <c r="V6" s="5" t="s">
        <v>9</v>
      </c>
      <c r="W6" s="5" t="s">
        <v>9</v>
      </c>
      <c r="X6" s="5" t="s">
        <v>9</v>
      </c>
      <c r="Y6" s="5" t="s">
        <v>9</v>
      </c>
      <c r="Z6" s="23" t="s">
        <v>6</v>
      </c>
      <c r="AA6" s="14" t="s">
        <v>8</v>
      </c>
      <c r="AB6" s="14" t="s">
        <v>8</v>
      </c>
      <c r="AC6" s="5" t="s">
        <v>9</v>
      </c>
      <c r="AD6" s="5" t="s">
        <v>9</v>
      </c>
      <c r="AE6" s="5" t="s">
        <v>9</v>
      </c>
      <c r="AF6" s="5" t="s">
        <v>9</v>
      </c>
      <c r="AH6" s="6">
        <f>NOV!AI6</f>
        <v>19</v>
      </c>
      <c r="AI6" s="15">
        <f t="shared" si="3"/>
        <v>0</v>
      </c>
      <c r="AJ6" s="15">
        <f t="shared" si="2"/>
        <v>19</v>
      </c>
    </row>
    <row r="7" spans="1:36" ht="15" customHeight="1">
      <c r="A7" s="22" t="s">
        <v>14</v>
      </c>
      <c r="B7" s="7" t="s">
        <v>15</v>
      </c>
      <c r="C7" s="7" t="s">
        <v>15</v>
      </c>
      <c r="D7" s="7" t="s">
        <v>15</v>
      </c>
      <c r="E7" s="7" t="s">
        <v>15</v>
      </c>
      <c r="F7" s="7" t="s">
        <v>15</v>
      </c>
      <c r="G7" s="14" t="s">
        <v>8</v>
      </c>
      <c r="H7" s="14" t="s">
        <v>8</v>
      </c>
      <c r="I7" s="23" t="s">
        <v>6</v>
      </c>
      <c r="J7" s="3" t="s">
        <v>11</v>
      </c>
      <c r="K7" s="3" t="s">
        <v>11</v>
      </c>
      <c r="L7" s="3" t="s">
        <v>11</v>
      </c>
      <c r="M7" s="14" t="s">
        <v>8</v>
      </c>
      <c r="N7" s="14" t="s">
        <v>8</v>
      </c>
      <c r="O7" s="7" t="s">
        <v>15</v>
      </c>
      <c r="P7" s="7" t="s">
        <v>15</v>
      </c>
      <c r="Q7" s="7" t="s">
        <v>15</v>
      </c>
      <c r="R7" s="7" t="s">
        <v>15</v>
      </c>
      <c r="S7" s="7" t="s">
        <v>15</v>
      </c>
      <c r="T7" s="14" t="s">
        <v>8</v>
      </c>
      <c r="U7" s="14" t="s">
        <v>8</v>
      </c>
      <c r="V7" s="3" t="s">
        <v>11</v>
      </c>
      <c r="W7" s="3" t="s">
        <v>11</v>
      </c>
      <c r="X7" s="3" t="s">
        <v>11</v>
      </c>
      <c r="Y7" s="3" t="s">
        <v>11</v>
      </c>
      <c r="Z7" s="14" t="s">
        <v>8</v>
      </c>
      <c r="AA7" s="14" t="s">
        <v>8</v>
      </c>
      <c r="AB7" s="7" t="s">
        <v>15</v>
      </c>
      <c r="AC7" s="7" t="s">
        <v>15</v>
      </c>
      <c r="AD7" s="7" t="s">
        <v>15</v>
      </c>
      <c r="AE7" s="7" t="s">
        <v>15</v>
      </c>
      <c r="AF7" s="14" t="s">
        <v>8</v>
      </c>
      <c r="AH7" s="6">
        <f>NOV!AI7</f>
        <v>18</v>
      </c>
      <c r="AI7" s="15">
        <f t="shared" si="3"/>
        <v>0</v>
      </c>
      <c r="AJ7" s="15">
        <f t="shared" si="2"/>
        <v>18</v>
      </c>
    </row>
    <row r="8" spans="1:36" ht="15" customHeight="1">
      <c r="A8" s="22" t="s">
        <v>17</v>
      </c>
      <c r="B8" s="23" t="s">
        <v>6</v>
      </c>
      <c r="C8" s="7" t="s">
        <v>15</v>
      </c>
      <c r="D8" s="7" t="s">
        <v>15</v>
      </c>
      <c r="E8" s="14" t="s">
        <v>8</v>
      </c>
      <c r="F8" s="14" t="s">
        <v>8</v>
      </c>
      <c r="G8" s="3" t="s">
        <v>11</v>
      </c>
      <c r="H8" s="3" t="s">
        <v>11</v>
      </c>
      <c r="I8" s="3" t="s">
        <v>11</v>
      </c>
      <c r="J8" s="3" t="s">
        <v>11</v>
      </c>
      <c r="K8" s="14" t="s">
        <v>8</v>
      </c>
      <c r="L8" s="14" t="s">
        <v>8</v>
      </c>
      <c r="M8" s="7" t="s">
        <v>15</v>
      </c>
      <c r="N8" s="7" t="s">
        <v>15</v>
      </c>
      <c r="O8" s="7" t="s">
        <v>15</v>
      </c>
      <c r="P8" s="7" t="s">
        <v>15</v>
      </c>
      <c r="Q8" s="14" t="s">
        <v>8</v>
      </c>
      <c r="R8" s="14" t="s">
        <v>8</v>
      </c>
      <c r="S8" s="3" t="s">
        <v>11</v>
      </c>
      <c r="T8" s="3" t="s">
        <v>11</v>
      </c>
      <c r="U8" s="3" t="s">
        <v>11</v>
      </c>
      <c r="V8" s="3" t="s">
        <v>11</v>
      </c>
      <c r="W8" s="3" t="s">
        <v>11</v>
      </c>
      <c r="X8" s="14" t="s">
        <v>8</v>
      </c>
      <c r="Y8" s="14" t="s">
        <v>8</v>
      </c>
      <c r="Z8" s="7" t="s">
        <v>15</v>
      </c>
      <c r="AA8" s="7" t="s">
        <v>15</v>
      </c>
      <c r="AB8" s="7" t="s">
        <v>15</v>
      </c>
      <c r="AC8" s="7" t="s">
        <v>15</v>
      </c>
      <c r="AD8" s="14" t="s">
        <v>8</v>
      </c>
      <c r="AE8" s="14" t="s">
        <v>8</v>
      </c>
      <c r="AF8" s="3" t="s">
        <v>11</v>
      </c>
      <c r="AH8" s="6">
        <f>NOV!AI8</f>
        <v>22</v>
      </c>
      <c r="AI8" s="15">
        <f t="shared" si="3"/>
        <v>0</v>
      </c>
      <c r="AJ8" s="15">
        <f t="shared" si="2"/>
        <v>22</v>
      </c>
    </row>
    <row r="9" spans="1:36" ht="15" customHeight="1">
      <c r="A9" s="22" t="s">
        <v>19</v>
      </c>
      <c r="B9" s="3" t="s">
        <v>11</v>
      </c>
      <c r="C9" s="14" t="s">
        <v>8</v>
      </c>
      <c r="D9" s="14" t="s">
        <v>8</v>
      </c>
      <c r="E9" s="7" t="s">
        <v>15</v>
      </c>
      <c r="F9" s="7" t="s">
        <v>15</v>
      </c>
      <c r="G9" s="7" t="s">
        <v>15</v>
      </c>
      <c r="H9" s="7" t="s">
        <v>15</v>
      </c>
      <c r="I9" s="14" t="s">
        <v>8</v>
      </c>
      <c r="J9" s="14" t="s">
        <v>8</v>
      </c>
      <c r="K9" s="7" t="s">
        <v>15</v>
      </c>
      <c r="L9" s="7" t="s">
        <v>15</v>
      </c>
      <c r="M9" s="7" t="s">
        <v>15</v>
      </c>
      <c r="N9" s="7" t="s">
        <v>15</v>
      </c>
      <c r="O9" s="14" t="s">
        <v>8</v>
      </c>
      <c r="P9" s="14" t="s">
        <v>8</v>
      </c>
      <c r="Q9" s="3" t="s">
        <v>11</v>
      </c>
      <c r="R9" s="3" t="s">
        <v>11</v>
      </c>
      <c r="S9" s="3" t="s">
        <v>11</v>
      </c>
      <c r="T9" s="3" t="s">
        <v>11</v>
      </c>
      <c r="U9" s="14" t="s">
        <v>8</v>
      </c>
      <c r="V9" s="14" t="s">
        <v>8</v>
      </c>
      <c r="W9" s="7" t="s">
        <v>15</v>
      </c>
      <c r="X9" s="7" t="s">
        <v>15</v>
      </c>
      <c r="Y9" s="7" t="s">
        <v>15</v>
      </c>
      <c r="Z9" s="23" t="s">
        <v>6</v>
      </c>
      <c r="AA9" s="14" t="s">
        <v>8</v>
      </c>
      <c r="AB9" s="14" t="s">
        <v>8</v>
      </c>
      <c r="AC9" s="3" t="s">
        <v>11</v>
      </c>
      <c r="AD9" s="3" t="s">
        <v>11</v>
      </c>
      <c r="AE9" s="3" t="s">
        <v>11</v>
      </c>
      <c r="AF9" s="3" t="s">
        <v>11</v>
      </c>
      <c r="AH9" s="6">
        <f>NOV!AI9</f>
        <v>22</v>
      </c>
      <c r="AI9" s="15">
        <f t="shared" si="3"/>
        <v>0</v>
      </c>
      <c r="AJ9" s="15">
        <f t="shared" si="2"/>
        <v>22</v>
      </c>
    </row>
    <row r="10" spans="1:36" s="16" customFormat="1" ht="15" customHeight="1">
      <c r="A10" s="22" t="s">
        <v>20</v>
      </c>
      <c r="B10" s="14" t="s">
        <v>8</v>
      </c>
      <c r="C10" s="14" t="s">
        <v>8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14" t="s">
        <v>8</v>
      </c>
      <c r="J10" s="14" t="s">
        <v>8</v>
      </c>
      <c r="K10" s="3" t="s">
        <v>11</v>
      </c>
      <c r="L10" s="3" t="s">
        <v>11</v>
      </c>
      <c r="M10" s="3" t="s">
        <v>11</v>
      </c>
      <c r="N10" s="3" t="s">
        <v>11</v>
      </c>
      <c r="O10" s="3" t="s">
        <v>11</v>
      </c>
      <c r="P10" s="14" t="s">
        <v>8</v>
      </c>
      <c r="Q10" s="14" t="s">
        <v>8</v>
      </c>
      <c r="R10" s="7" t="s">
        <v>15</v>
      </c>
      <c r="S10" s="7" t="s">
        <v>15</v>
      </c>
      <c r="T10" s="7" t="s">
        <v>15</v>
      </c>
      <c r="U10" s="7" t="s">
        <v>15</v>
      </c>
      <c r="V10" s="14" t="s">
        <v>8</v>
      </c>
      <c r="W10" s="14" t="s">
        <v>8</v>
      </c>
      <c r="X10" s="3" t="s">
        <v>11</v>
      </c>
      <c r="Y10" s="3" t="s">
        <v>11</v>
      </c>
      <c r="Z10" s="3" t="s">
        <v>11</v>
      </c>
      <c r="AA10" s="3" t="s">
        <v>11</v>
      </c>
      <c r="AB10" s="14" t="s">
        <v>8</v>
      </c>
      <c r="AC10" s="14" t="s">
        <v>8</v>
      </c>
      <c r="AD10" s="7" t="s">
        <v>15</v>
      </c>
      <c r="AE10" s="7" t="s">
        <v>15</v>
      </c>
      <c r="AF10" s="7" t="s">
        <v>15</v>
      </c>
      <c r="AG10" s="13"/>
      <c r="AH10" s="6">
        <f>NOV!AI10</f>
        <v>22</v>
      </c>
      <c r="AI10" s="15">
        <f t="shared" si="3"/>
        <v>0</v>
      </c>
      <c r="AJ10" s="15">
        <f t="shared" si="2"/>
        <v>22</v>
      </c>
    </row>
    <row r="11" spans="1:36" ht="15" customHeight="1">
      <c r="A11" s="22" t="s">
        <v>21</v>
      </c>
      <c r="B11" s="23" t="s">
        <v>6</v>
      </c>
      <c r="C11" s="3" t="s">
        <v>11</v>
      </c>
      <c r="D11" s="3" t="s">
        <v>11</v>
      </c>
      <c r="E11" s="3" t="s">
        <v>11</v>
      </c>
      <c r="F11" s="3" t="s">
        <v>11</v>
      </c>
      <c r="G11" s="14" t="s">
        <v>8</v>
      </c>
      <c r="H11" s="14" t="s">
        <v>8</v>
      </c>
      <c r="I11" s="7" t="s">
        <v>15</v>
      </c>
      <c r="J11" s="7" t="s">
        <v>15</v>
      </c>
      <c r="K11" s="33" t="s">
        <v>18</v>
      </c>
      <c r="L11" s="7" t="s">
        <v>15</v>
      </c>
      <c r="M11" s="14" t="s">
        <v>8</v>
      </c>
      <c r="N11" s="14" t="s">
        <v>8</v>
      </c>
      <c r="O11" s="3" t="s">
        <v>11</v>
      </c>
      <c r="P11" s="3" t="s">
        <v>11</v>
      </c>
      <c r="Q11" s="3" t="s">
        <v>11</v>
      </c>
      <c r="R11" s="3" t="s">
        <v>11</v>
      </c>
      <c r="S11" s="3" t="s">
        <v>11</v>
      </c>
      <c r="T11" s="14" t="s">
        <v>8</v>
      </c>
      <c r="U11" s="14" t="s">
        <v>8</v>
      </c>
      <c r="V11" s="7" t="s">
        <v>15</v>
      </c>
      <c r="W11" s="7" t="s">
        <v>15</v>
      </c>
      <c r="X11" s="7" t="s">
        <v>15</v>
      </c>
      <c r="Y11" s="7" t="s">
        <v>15</v>
      </c>
      <c r="Z11" s="14" t="s">
        <v>8</v>
      </c>
      <c r="AA11" s="14" t="s">
        <v>8</v>
      </c>
      <c r="AB11" s="3" t="s">
        <v>11</v>
      </c>
      <c r="AC11" s="3" t="s">
        <v>11</v>
      </c>
      <c r="AD11" s="3" t="s">
        <v>11</v>
      </c>
      <c r="AE11" s="3" t="s">
        <v>11</v>
      </c>
      <c r="AF11" s="14" t="s">
        <v>8</v>
      </c>
      <c r="AH11" s="6">
        <f>NOV!AI11</f>
        <v>22</v>
      </c>
      <c r="AI11" s="15">
        <f t="shared" si="3"/>
        <v>0</v>
      </c>
      <c r="AJ11" s="15">
        <f t="shared" si="2"/>
        <v>22</v>
      </c>
    </row>
    <row r="13" spans="1:36">
      <c r="A13" s="3" t="s">
        <v>22</v>
      </c>
      <c r="B13" s="14">
        <f>COUNTIF(B4:B11,"P06")</f>
        <v>1</v>
      </c>
      <c r="C13" s="14">
        <f t="shared" ref="C13:AF13" si="4">COUNTIF(C4:C11,"P06")</f>
        <v>1</v>
      </c>
      <c r="D13" s="14">
        <f t="shared" si="4"/>
        <v>2</v>
      </c>
      <c r="E13" s="14">
        <f t="shared" si="4"/>
        <v>2</v>
      </c>
      <c r="F13" s="14">
        <f t="shared" si="4"/>
        <v>2</v>
      </c>
      <c r="G13" s="14">
        <f t="shared" si="4"/>
        <v>2</v>
      </c>
      <c r="H13" s="14">
        <f t="shared" si="4"/>
        <v>2</v>
      </c>
      <c r="I13" s="14">
        <f t="shared" si="4"/>
        <v>1</v>
      </c>
      <c r="J13" s="14">
        <f t="shared" si="4"/>
        <v>2</v>
      </c>
      <c r="K13" s="14">
        <f t="shared" si="4"/>
        <v>2</v>
      </c>
      <c r="L13" s="14">
        <f t="shared" si="4"/>
        <v>2</v>
      </c>
      <c r="M13" s="14">
        <f t="shared" si="4"/>
        <v>1</v>
      </c>
      <c r="N13" s="14">
        <f t="shared" si="4"/>
        <v>1</v>
      </c>
      <c r="O13" s="14">
        <f t="shared" si="4"/>
        <v>2</v>
      </c>
      <c r="P13" s="14">
        <f t="shared" si="4"/>
        <v>1</v>
      </c>
      <c r="Q13" s="14">
        <f t="shared" si="4"/>
        <v>2</v>
      </c>
      <c r="R13" s="14">
        <f t="shared" si="4"/>
        <v>2</v>
      </c>
      <c r="S13" s="14">
        <f t="shared" si="4"/>
        <v>3</v>
      </c>
      <c r="T13" s="14">
        <f t="shared" si="4"/>
        <v>2</v>
      </c>
      <c r="U13" s="14">
        <f t="shared" si="4"/>
        <v>1</v>
      </c>
      <c r="V13" s="14">
        <f t="shared" si="4"/>
        <v>2</v>
      </c>
      <c r="W13" s="14">
        <f t="shared" si="4"/>
        <v>2</v>
      </c>
      <c r="X13" s="14">
        <f t="shared" si="4"/>
        <v>2</v>
      </c>
      <c r="Y13" s="14">
        <f t="shared" si="4"/>
        <v>2</v>
      </c>
      <c r="Z13" s="14">
        <f t="shared" si="4"/>
        <v>1</v>
      </c>
      <c r="AA13" s="14">
        <f t="shared" si="4"/>
        <v>1</v>
      </c>
      <c r="AB13" s="14">
        <f t="shared" si="4"/>
        <v>1</v>
      </c>
      <c r="AC13" s="14">
        <f t="shared" si="4"/>
        <v>2</v>
      </c>
      <c r="AD13" s="14">
        <f t="shared" si="4"/>
        <v>2</v>
      </c>
      <c r="AE13" s="14">
        <f t="shared" si="4"/>
        <v>2</v>
      </c>
      <c r="AF13" s="14">
        <f t="shared" si="4"/>
        <v>2</v>
      </c>
    </row>
    <row r="14" spans="1:36">
      <c r="A14" s="7" t="s">
        <v>23</v>
      </c>
      <c r="B14" s="14">
        <f>COUNTIF(B4:B11,"P14")</f>
        <v>1</v>
      </c>
      <c r="C14" s="14">
        <f t="shared" ref="C14:AF14" si="5">COUNTIF(C4:C11,"P14")</f>
        <v>2</v>
      </c>
      <c r="D14" s="14">
        <f t="shared" si="5"/>
        <v>2</v>
      </c>
      <c r="E14" s="14">
        <f t="shared" si="5"/>
        <v>2</v>
      </c>
      <c r="F14" s="14">
        <f t="shared" si="5"/>
        <v>2</v>
      </c>
      <c r="G14" s="14">
        <f t="shared" si="5"/>
        <v>1</v>
      </c>
      <c r="H14" s="14">
        <f t="shared" si="5"/>
        <v>1</v>
      </c>
      <c r="I14" s="14">
        <f t="shared" si="5"/>
        <v>1</v>
      </c>
      <c r="J14" s="14">
        <f t="shared" si="5"/>
        <v>1</v>
      </c>
      <c r="K14" s="14">
        <f t="shared" si="5"/>
        <v>1</v>
      </c>
      <c r="L14" s="14">
        <f t="shared" si="5"/>
        <v>2</v>
      </c>
      <c r="M14" s="14">
        <f t="shared" si="5"/>
        <v>2</v>
      </c>
      <c r="N14" s="14">
        <f t="shared" si="5"/>
        <v>2</v>
      </c>
      <c r="O14" s="14">
        <f t="shared" si="5"/>
        <v>2</v>
      </c>
      <c r="P14" s="14">
        <f t="shared" si="5"/>
        <v>2</v>
      </c>
      <c r="Q14" s="14">
        <f t="shared" si="5"/>
        <v>1</v>
      </c>
      <c r="R14" s="14">
        <f t="shared" si="5"/>
        <v>2</v>
      </c>
      <c r="S14" s="14">
        <f t="shared" si="5"/>
        <v>2</v>
      </c>
      <c r="T14" s="14">
        <f t="shared" si="5"/>
        <v>1</v>
      </c>
      <c r="U14" s="14">
        <f t="shared" si="5"/>
        <v>1</v>
      </c>
      <c r="V14" s="14">
        <f t="shared" si="5"/>
        <v>1</v>
      </c>
      <c r="W14" s="14">
        <f t="shared" si="5"/>
        <v>2</v>
      </c>
      <c r="X14" s="14">
        <f t="shared" si="5"/>
        <v>2</v>
      </c>
      <c r="Y14" s="14">
        <f t="shared" si="5"/>
        <v>2</v>
      </c>
      <c r="Z14" s="14">
        <f t="shared" si="5"/>
        <v>1</v>
      </c>
      <c r="AA14" s="14">
        <f t="shared" si="5"/>
        <v>1</v>
      </c>
      <c r="AB14" s="14">
        <f t="shared" si="5"/>
        <v>2</v>
      </c>
      <c r="AC14" s="14">
        <f t="shared" si="5"/>
        <v>2</v>
      </c>
      <c r="AD14" s="14">
        <f t="shared" si="5"/>
        <v>2</v>
      </c>
      <c r="AE14" s="14">
        <f t="shared" si="5"/>
        <v>2</v>
      </c>
      <c r="AF14" s="14">
        <f t="shared" si="5"/>
        <v>1</v>
      </c>
    </row>
    <row r="15" spans="1:36" ht="13.5" thickBot="1"/>
    <row r="16" spans="1:36">
      <c r="E16" s="42"/>
      <c r="F16" s="46" t="s">
        <v>24</v>
      </c>
      <c r="G16" s="59"/>
      <c r="H16" s="46" t="s">
        <v>25</v>
      </c>
      <c r="I16" s="47"/>
      <c r="M16" s="6" t="s">
        <v>8</v>
      </c>
      <c r="N16" s="24" t="s">
        <v>26</v>
      </c>
      <c r="O16" s="25"/>
      <c r="P16" s="25"/>
      <c r="Q16" s="25"/>
      <c r="R16" s="25"/>
      <c r="S16" s="4" t="s">
        <v>27</v>
      </c>
      <c r="T16" s="26" t="s">
        <v>28</v>
      </c>
      <c r="U16" s="27"/>
      <c r="V16" s="27"/>
      <c r="W16" s="27"/>
      <c r="X16" s="28"/>
      <c r="Z16" s="60" t="s">
        <v>29</v>
      </c>
      <c r="AA16" s="61"/>
      <c r="AB16" s="61"/>
      <c r="AC16" s="61"/>
      <c r="AD16" s="61"/>
      <c r="AE16" s="61"/>
      <c r="AF16" s="61"/>
    </row>
    <row r="17" spans="5:32">
      <c r="E17" s="3" t="s">
        <v>11</v>
      </c>
      <c r="F17" s="48" t="s">
        <v>30</v>
      </c>
      <c r="G17" s="58"/>
      <c r="H17" s="48" t="s">
        <v>31</v>
      </c>
      <c r="I17" s="49"/>
      <c r="M17" s="11" t="s">
        <v>32</v>
      </c>
      <c r="N17" s="17" t="s">
        <v>33</v>
      </c>
      <c r="O17" s="29"/>
      <c r="P17" s="29"/>
      <c r="Q17" s="29"/>
      <c r="R17" s="29"/>
      <c r="S17" s="4" t="s">
        <v>34</v>
      </c>
      <c r="T17" s="17" t="s">
        <v>35</v>
      </c>
      <c r="U17" s="29"/>
      <c r="V17" s="29"/>
      <c r="W17" s="29"/>
      <c r="X17" s="19"/>
      <c r="Z17" s="62"/>
      <c r="AA17" s="63"/>
      <c r="AB17" s="63"/>
      <c r="AC17" s="63"/>
      <c r="AD17" s="63"/>
      <c r="AE17" s="63"/>
      <c r="AF17" s="63"/>
    </row>
    <row r="18" spans="5:32">
      <c r="E18" s="5" t="s">
        <v>10</v>
      </c>
      <c r="F18" s="50" t="s">
        <v>36</v>
      </c>
      <c r="G18" s="52"/>
      <c r="H18" s="50" t="s">
        <v>37</v>
      </c>
      <c r="I18" s="51"/>
      <c r="M18" s="23" t="s">
        <v>6</v>
      </c>
      <c r="N18" s="18" t="s">
        <v>38</v>
      </c>
      <c r="O18" s="30"/>
      <c r="P18" s="30"/>
      <c r="Q18" s="30"/>
      <c r="R18" s="30"/>
      <c r="S18" s="6" t="s">
        <v>39</v>
      </c>
      <c r="T18" s="17" t="s">
        <v>40</v>
      </c>
      <c r="U18" s="29"/>
      <c r="V18" s="29"/>
      <c r="W18" s="29"/>
      <c r="X18" s="19"/>
      <c r="Z18" s="62"/>
      <c r="AA18" s="63"/>
      <c r="AB18" s="63"/>
      <c r="AC18" s="63"/>
      <c r="AD18" s="63"/>
      <c r="AE18" s="63"/>
      <c r="AF18" s="63"/>
    </row>
    <row r="19" spans="5:32">
      <c r="E19" s="5" t="s">
        <v>9</v>
      </c>
      <c r="F19" s="50" t="s">
        <v>41</v>
      </c>
      <c r="G19" s="52"/>
      <c r="H19" s="50" t="s">
        <v>42</v>
      </c>
      <c r="I19" s="51"/>
      <c r="M19" s="31" t="s">
        <v>16</v>
      </c>
      <c r="N19" s="17" t="s">
        <v>43</v>
      </c>
      <c r="O19" s="29"/>
      <c r="P19" s="29"/>
      <c r="Q19" s="29"/>
      <c r="R19" s="29"/>
      <c r="S19" s="6" t="s">
        <v>44</v>
      </c>
      <c r="T19" s="17" t="s">
        <v>40</v>
      </c>
      <c r="U19" s="29"/>
      <c r="V19" s="29"/>
      <c r="W19" s="29"/>
      <c r="X19" s="19"/>
    </row>
    <row r="20" spans="5:32">
      <c r="E20" s="7" t="s">
        <v>15</v>
      </c>
      <c r="F20" s="50" t="s">
        <v>45</v>
      </c>
      <c r="G20" s="52"/>
      <c r="H20" s="50" t="s">
        <v>46</v>
      </c>
      <c r="I20" s="51"/>
      <c r="M20" s="31" t="s">
        <v>7</v>
      </c>
      <c r="N20" s="17" t="s">
        <v>47</v>
      </c>
      <c r="O20" s="29"/>
      <c r="P20" s="29"/>
      <c r="Q20" s="29"/>
      <c r="R20" s="19"/>
      <c r="S20" s="6" t="s">
        <v>48</v>
      </c>
      <c r="T20" s="17" t="s">
        <v>40</v>
      </c>
      <c r="U20" s="29"/>
      <c r="V20" s="29"/>
      <c r="W20" s="29"/>
      <c r="X20" s="19"/>
    </row>
    <row r="21" spans="5:32">
      <c r="E21" s="8" t="s">
        <v>49</v>
      </c>
      <c r="F21" s="53" t="s">
        <v>50</v>
      </c>
      <c r="G21" s="54"/>
      <c r="H21" s="53" t="s">
        <v>51</v>
      </c>
      <c r="I21" s="55"/>
      <c r="M21" s="32" t="s">
        <v>6</v>
      </c>
      <c r="N21" s="17" t="s">
        <v>52</v>
      </c>
      <c r="O21" s="29"/>
      <c r="P21" s="29"/>
      <c r="Q21" s="29"/>
      <c r="R21" s="29"/>
      <c r="S21" s="20" t="s">
        <v>53</v>
      </c>
      <c r="T21" s="17" t="s">
        <v>54</v>
      </c>
      <c r="U21" s="29"/>
      <c r="V21" s="29"/>
      <c r="W21" s="29"/>
      <c r="X21" s="19"/>
    </row>
    <row r="22" spans="5:32">
      <c r="M22" s="32" t="s">
        <v>16</v>
      </c>
      <c r="N22" s="17" t="s">
        <v>55</v>
      </c>
      <c r="O22" s="29"/>
      <c r="P22" s="29"/>
      <c r="Q22" s="29"/>
      <c r="R22" s="29"/>
      <c r="S22" s="9" t="s">
        <v>56</v>
      </c>
      <c r="T22" s="17" t="s">
        <v>54</v>
      </c>
      <c r="U22" s="29"/>
      <c r="V22" s="29"/>
      <c r="W22" s="29"/>
      <c r="X22" s="19"/>
    </row>
    <row r="23" spans="5:32">
      <c r="M23" s="33" t="s">
        <v>18</v>
      </c>
      <c r="N23" s="17" t="s">
        <v>57</v>
      </c>
      <c r="O23" s="29"/>
      <c r="P23" s="29"/>
      <c r="Q23" s="29"/>
      <c r="R23" s="29"/>
      <c r="S23" s="9" t="s">
        <v>58</v>
      </c>
      <c r="T23" s="17" t="s">
        <v>54</v>
      </c>
      <c r="U23" s="29"/>
      <c r="V23" s="29"/>
      <c r="W23" s="29"/>
      <c r="X23" s="19"/>
    </row>
    <row r="24" spans="5:32">
      <c r="M24" s="33" t="s">
        <v>59</v>
      </c>
      <c r="N24" s="17" t="s">
        <v>60</v>
      </c>
      <c r="O24" s="29"/>
      <c r="P24" s="29"/>
      <c r="Q24" s="29"/>
      <c r="R24" s="29"/>
      <c r="S24" s="9" t="s">
        <v>61</v>
      </c>
      <c r="T24" s="17" t="s">
        <v>54</v>
      </c>
      <c r="U24" s="29"/>
      <c r="V24" s="29"/>
      <c r="W24" s="29"/>
      <c r="X24" s="19"/>
    </row>
    <row r="25" spans="5:32">
      <c r="M25" s="34" t="s">
        <v>62</v>
      </c>
      <c r="N25" s="17" t="s">
        <v>63</v>
      </c>
      <c r="O25" s="29"/>
      <c r="P25" s="29"/>
      <c r="Q25" s="29"/>
      <c r="R25" s="29"/>
      <c r="S25" s="10" t="s">
        <v>64</v>
      </c>
      <c r="T25" s="17" t="s">
        <v>54</v>
      </c>
      <c r="U25" s="29"/>
      <c r="V25" s="29"/>
      <c r="W25" s="29"/>
      <c r="X25" s="19"/>
    </row>
    <row r="26" spans="5:32">
      <c r="M26" s="35" t="s">
        <v>65</v>
      </c>
      <c r="N26" s="17" t="s">
        <v>66</v>
      </c>
      <c r="O26" s="29"/>
      <c r="P26" s="29"/>
      <c r="Q26" s="29"/>
      <c r="R26" s="29"/>
      <c r="S26" s="6" t="s">
        <v>67</v>
      </c>
      <c r="T26" s="17" t="s">
        <v>54</v>
      </c>
      <c r="U26" s="29"/>
      <c r="V26" s="29"/>
      <c r="W26" s="29"/>
      <c r="X26" s="19"/>
    </row>
    <row r="27" spans="5:32">
      <c r="M27" s="36" t="s">
        <v>68</v>
      </c>
      <c r="N27" s="17" t="s">
        <v>69</v>
      </c>
      <c r="O27" s="29"/>
      <c r="P27" s="29"/>
      <c r="Q27" s="29"/>
      <c r="R27" s="29"/>
      <c r="S27" s="6" t="s">
        <v>70</v>
      </c>
      <c r="T27" s="17" t="s">
        <v>54</v>
      </c>
      <c r="U27" s="29"/>
      <c r="V27" s="29"/>
      <c r="W27" s="29"/>
      <c r="X27" s="19"/>
    </row>
    <row r="28" spans="5:32">
      <c r="M28" s="37" t="s">
        <v>71</v>
      </c>
      <c r="N28" s="18" t="s">
        <v>72</v>
      </c>
      <c r="O28" s="30"/>
      <c r="P28" s="30"/>
      <c r="Q28" s="30"/>
      <c r="R28" s="30"/>
      <c r="S28" s="11" t="s">
        <v>73</v>
      </c>
      <c r="T28" s="17" t="s">
        <v>54</v>
      </c>
      <c r="U28" s="29"/>
      <c r="V28" s="29"/>
      <c r="W28" s="29"/>
      <c r="X28" s="19"/>
    </row>
    <row r="29" spans="5:32">
      <c r="M29" s="10" t="s">
        <v>74</v>
      </c>
      <c r="N29" s="17" t="s">
        <v>75</v>
      </c>
      <c r="O29" s="29"/>
      <c r="P29" s="29"/>
      <c r="Q29" s="29"/>
      <c r="R29" s="29"/>
      <c r="S29" s="6" t="s">
        <v>76</v>
      </c>
      <c r="T29" s="17" t="s">
        <v>54</v>
      </c>
      <c r="U29" s="29"/>
      <c r="V29" s="29"/>
      <c r="W29" s="29"/>
      <c r="X29" s="19"/>
    </row>
    <row r="30" spans="5:32">
      <c r="M30" s="37" t="s">
        <v>77</v>
      </c>
      <c r="N30" s="38" t="s">
        <v>78</v>
      </c>
      <c r="O30" s="39"/>
      <c r="P30" s="39"/>
      <c r="Q30" s="39"/>
      <c r="R30" s="39"/>
      <c r="S30" s="40" t="s">
        <v>79</v>
      </c>
      <c r="T30" s="38" t="s">
        <v>80</v>
      </c>
      <c r="U30" s="39"/>
      <c r="V30" s="39"/>
      <c r="W30" s="39"/>
      <c r="X30" s="41"/>
    </row>
  </sheetData>
  <mergeCells count="16">
    <mergeCell ref="F20:G20"/>
    <mergeCell ref="H20:I20"/>
    <mergeCell ref="F21:G21"/>
    <mergeCell ref="H21:I21"/>
    <mergeCell ref="F17:G17"/>
    <mergeCell ref="H17:I17"/>
    <mergeCell ref="F18:G18"/>
    <mergeCell ref="H18:I18"/>
    <mergeCell ref="F19:G19"/>
    <mergeCell ref="H19:I19"/>
    <mergeCell ref="A1:AF1"/>
    <mergeCell ref="A2:A3"/>
    <mergeCell ref="AH2:AJ2"/>
    <mergeCell ref="F16:G16"/>
    <mergeCell ref="H16:I16"/>
    <mergeCell ref="Z16:AF18"/>
  </mergeCells>
  <conditionalFormatting sqref="B13:AF14">
    <cfRule type="cellIs" dxfId="2" priority="1" operator="equal">
      <formula>0</formula>
    </cfRule>
    <cfRule type="cellIs" dxfId="1" priority="2" operator="greaterThan">
      <formula>0</formula>
    </cfRule>
  </conditionalFormatting>
  <conditionalFormatting sqref="C2:H3 J2:Y3 AA2:AF3">
    <cfRule type="expression" dxfId="0" priority="3">
      <formula>WEEKDAY(DATE(YEAR($A$2),MONTH($A$2),C$2),2)&gt;5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a453329-a4c9-4120-b786-6a0f9fa17d90">
      <UserInfo>
        <DisplayName>SANTOS, SOFIA</DisplayName>
        <AccountId>28</AccountId>
        <AccountType/>
      </UserInfo>
      <UserInfo>
        <DisplayName>CASTRO, MARIANA</DisplayName>
        <AccountId>116</AccountId>
        <AccountType/>
      </UserInfo>
      <UserInfo>
        <DisplayName>GASPAR, DIANA</DisplayName>
        <AccountId>41</AccountId>
        <AccountType/>
      </UserInfo>
      <UserInfo>
        <DisplayName>TATO, ELISABETE</DisplayName>
        <AccountId>80</AccountId>
        <AccountType/>
      </UserInfo>
      <UserInfo>
        <DisplayName>FONTES, ALICE</DisplayName>
        <AccountId>88</AccountId>
        <AccountType/>
      </UserInfo>
      <UserInfo>
        <DisplayName>SILVA SANTOS, NUNO MIGUEL</DisplayName>
        <AccountId>22</AccountId>
        <AccountType/>
      </UserInfo>
      <UserInfo>
        <DisplayName>BASILIO, BRUNO</DisplayName>
        <AccountId>65</AccountId>
        <AccountType/>
      </UserInfo>
      <UserInfo>
        <DisplayName>MIRANDA, ANTONIO</DisplayName>
        <AccountId>356</AccountId>
        <AccountType/>
      </UserInfo>
    </SharedWithUsers>
    <TaxCatchAll xmlns="fa453329-a4c9-4120-b786-6a0f9fa17d90" xsi:nil="true"/>
    <lcf76f155ced4ddcb4097134ff3c332f xmlns="8c3af6a4-7f71-4dc2-99e7-9db1cbaccb2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2D3878C914646AFDAF8DB79C9CBFF" ma:contentTypeVersion="16" ma:contentTypeDescription="Create a new document." ma:contentTypeScope="" ma:versionID="64cef5f809c20957e1bed8db4fd8bd69">
  <xsd:schema xmlns:xsd="http://www.w3.org/2001/XMLSchema" xmlns:xs="http://www.w3.org/2001/XMLSchema" xmlns:p="http://schemas.microsoft.com/office/2006/metadata/properties" xmlns:ns2="8c3af6a4-7f71-4dc2-99e7-9db1cbaccb2c" xmlns:ns3="fa453329-a4c9-4120-b786-6a0f9fa17d90" targetNamespace="http://schemas.microsoft.com/office/2006/metadata/properties" ma:root="true" ma:fieldsID="c9eb64a58f9f8c69f3f340dcbb635673" ns2:_="" ns3:_="">
    <xsd:import namespace="8c3af6a4-7f71-4dc2-99e7-9db1cbaccb2c"/>
    <xsd:import namespace="fa453329-a4c9-4120-b786-6a0f9fa17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af6a4-7f71-4dc2-99e7-9db1cbaccb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bf9f0b1-3012-463a-bd97-40a726b447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453329-a4c9-4120-b786-6a0f9fa17d9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9063131-8ea6-4516-bec3-5cdb23247884}" ma:internalName="TaxCatchAll" ma:showField="CatchAllData" ma:web="fa453329-a4c9-4120-b786-6a0f9fa17d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036EC1-2728-4BE7-AC17-163F56A6F287}"/>
</file>

<file path=customXml/itemProps2.xml><?xml version="1.0" encoding="utf-8"?>
<ds:datastoreItem xmlns:ds="http://schemas.openxmlformats.org/officeDocument/2006/customXml" ds:itemID="{98F73132-E113-431B-9C7A-21B04A3303F5}"/>
</file>

<file path=customXml/itemProps3.xml><?xml version="1.0" encoding="utf-8"?>
<ds:datastoreItem xmlns:ds="http://schemas.openxmlformats.org/officeDocument/2006/customXml" ds:itemID="{AED20691-38BD-4744-A2B0-0BB0E052B916}"/>
</file>

<file path=docMetadata/LabelInfo.xml><?xml version="1.0" encoding="utf-8"?>
<clbl:labelList xmlns:clbl="http://schemas.microsoft.com/office/2020/mipLabelMetadata">
  <clbl:label id="{2d1c7476-f302-47ca-97a0-972f32671471}" enabled="1" method="Standard" siteId="{72e15514-5be9-46a8-8b0b-af9b1b77b3b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Lufthansa Systems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CASTRO, MARIANA</dc:creator>
  <cp:keywords/>
  <dc:description/>
  <cp:lastModifiedBy>ALEXANDRE, LUISA</cp:lastModifiedBy>
  <cp:revision/>
  <dcterms:created xsi:type="dcterms:W3CDTF">2016-08-31T15:27:19Z</dcterms:created>
  <dcterms:modified xsi:type="dcterms:W3CDTF">2026-01-09T11:10:36Z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1c7476-f302-47ca-97a0-972f32671471_Enabled">
    <vt:lpwstr>true</vt:lpwstr>
  </property>
  <property fmtid="{D5CDD505-2E9C-101B-9397-08002B2CF9AE}" pid="3" name="MSIP_Label_2d1c7476-f302-47ca-97a0-972f32671471_SetDate">
    <vt:lpwstr>2021-08-04T14:05:42Z</vt:lpwstr>
  </property>
  <property fmtid="{D5CDD505-2E9C-101B-9397-08002B2CF9AE}" pid="4" name="MSIP_Label_2d1c7476-f302-47ca-97a0-972f32671471_Method">
    <vt:lpwstr>Standard</vt:lpwstr>
  </property>
  <property fmtid="{D5CDD505-2E9C-101B-9397-08002B2CF9AE}" pid="5" name="MSIP_Label_2d1c7476-f302-47ca-97a0-972f32671471_Name">
    <vt:lpwstr>Internal</vt:lpwstr>
  </property>
  <property fmtid="{D5CDD505-2E9C-101B-9397-08002B2CF9AE}" pid="6" name="MSIP_Label_2d1c7476-f302-47ca-97a0-972f32671471_SiteId">
    <vt:lpwstr>72e15514-5be9-46a8-8b0b-af9b1b77b3b8</vt:lpwstr>
  </property>
  <property fmtid="{D5CDD505-2E9C-101B-9397-08002B2CF9AE}" pid="7" name="MSIP_Label_2d1c7476-f302-47ca-97a0-972f32671471_ActionId">
    <vt:lpwstr>11fd0832-a68a-4274-9844-1d48ed7fe77f</vt:lpwstr>
  </property>
  <property fmtid="{D5CDD505-2E9C-101B-9397-08002B2CF9AE}" pid="8" name="MSIP_Label_2d1c7476-f302-47ca-97a0-972f32671471_ContentBits">
    <vt:lpwstr>0</vt:lpwstr>
  </property>
  <property fmtid="{D5CDD505-2E9C-101B-9397-08002B2CF9AE}" pid="9" name="ContentTypeId">
    <vt:lpwstr>0x0101001EE2D3878C914646AFDAF8DB79C9CBFF</vt:lpwstr>
  </property>
  <property fmtid="{D5CDD505-2E9C-101B-9397-08002B2CF9AE}" pid="10" name="MediaServiceImageTags">
    <vt:lpwstr/>
  </property>
</Properties>
</file>