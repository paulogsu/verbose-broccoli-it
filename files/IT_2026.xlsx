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activeTab="11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<sst xmlns="http://schemas.openxmlformats.org/spreadsheetml/2006/main" count="4036" uniqueCount="81">
  <si>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</si>
  <si>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</si>
  <si>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</si>
  <si>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</si>
  <si>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</si>
  <si>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</si>
  <si>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</si>
  <si>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UA</t>
  </si>
  <si>
    <t>F</t>
  </si>
  <si>
    <t>P09</t>
  </si>
  <si>
    <t>FABIO FILIPE PEREIRA</t>
  </si>
  <si>
    <t>P06</t>
  </si>
  <si>
    <t>ARNOLD LUANZAMBI</t>
  </si>
  <si>
    <t>BEATRIZ SEIXAS</t>
  </si>
  <si>
    <t>P14</t>
  </si>
  <si>
    <t>U</t>
  </si>
  <si>
    <t>PAULO COSTA</t>
  </si>
  <si>
    <t>B</t>
  </si>
  <si>
    <t>PEDRO SOARES</t>
  </si>
  <si>
    <t>JOSE ALEXANDRE FERREIRA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</si>
  <si>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</si>
  <si>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</si>
  <si>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</si>
  <si>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</si>
  <si>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</si>
  <si>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</si>
  <si>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</si>
  <si>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</si>
  <si>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</si>
  <si>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</si>
  <si>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</si>
  <si>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</si>
  <si>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</si>
  <si>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</si>
  <si>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</si>
  <si>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P08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</si>
  <si>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</si>
  <si>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</si>
  <si>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</si>
  <si>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</si>
  <si>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</si>
  <si>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</si>
  <si>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</si>
  <si>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</si>
  <si>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</si>
  <si>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</si>
  <si>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</si>
  <si>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</si>
  <si>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</si>
  <si>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</si>
  <si>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</si>
  <si>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</si>
  <si>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</si>
  <si>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K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</si>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</sst>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2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zoomScale="85" zoomScaleNormal="85" workbookViewId="0">
      <pane xSplit="1" ySplit="3" topLeftCell="B4" activePane="bottomRight" state="frozen"/>
      <selection pane="bottomRight" activeCell="J33" sqref="J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31" t="s">
        <v>7</v>
      </c>
      <c r="D4" s="14" t="s">
        <v>8</v>
      </c>
      <c r="E4" s="14" t="s">
        <v>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14" t="s">
        <v>8</v>
      </c>
      <c r="L4" s="14" t="s">
        <v>8</v>
      </c>
      <c r="M4" s="5" t="s">
        <v>9</v>
      </c>
      <c r="N4" s="5" t="s">
        <v>9</v>
      </c>
      <c r="O4" s="5" t="s">
        <v>9</v>
      </c>
      <c r="P4" s="5" t="s">
        <v>9</v>
      </c>
      <c r="Q4" s="5" t="s">
        <v>9</v>
      </c>
      <c r="R4" s="14" t="s">
        <v>8</v>
      </c>
      <c r="S4" s="14" t="s">
        <v>8</v>
      </c>
      <c r="T4" s="5" t="s">
        <v>9</v>
      </c>
      <c r="U4" s="5" t="s">
        <v>9</v>
      </c>
      <c r="V4" s="5" t="s">
        <v>9</v>
      </c>
      <c r="W4" s="5" t="s">
        <v>9</v>
      </c>
      <c r="X4" s="5" t="s">
        <v>9</v>
      </c>
      <c r="Y4" s="14" t="s">
        <v>8</v>
      </c>
      <c r="Z4" s="14" t="s">
        <v>8</v>
      </c>
      <c r="AA4" s="5" t="s">
        <v>9</v>
      </c>
      <c r="AB4" s="5" t="s">
        <v>9</v>
      </c>
      <c r="AC4" s="5" t="s">
        <v>9</v>
      </c>
      <c r="AD4" s="5" t="s">
        <v>9</v>
      </c>
      <c r="AE4" s="5" t="s">
        <v>9</v>
      </c>
      <c r="AF4" s="14" t="s">
        <v>8</v>
      </c>
      <c r="AH4" s="43">
        <v>4</v>
      </c>
      <c r="AI4" s="15">
        <f>COUNTIF(B4:AF4,"UA")</f>
        <v>1</v>
      </c>
      <c r="AJ4" s="15">
        <f t="shared" ref="AJ4:AJ11" si="2">AH4-AI4</f>
        <v>3</v>
      </c>
      <c r="AL4" s="6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10</v>
      </c>
      <c r="B5" s="23" t="s">
        <v>6</v>
      </c>
      <c r="C5" s="5" t="s">
        <v>9</v>
      </c>
      <c r="D5" s="14" t="s">
        <v>8</v>
      </c>
      <c r="E5" s="14" t="s">
        <v>8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3" t="s">
        <v>11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6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12</v>
      </c>
      <c r="B6" s="23" t="s">
        <v>6</v>
      </c>
      <c r="C6" s="5" t="s">
        <v>9</v>
      </c>
      <c r="D6" s="14" t="s">
        <v>8</v>
      </c>
      <c r="E6" s="14" t="s">
        <v>8</v>
      </c>
      <c r="F6" s="5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"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13</v>
      </c>
      <c r="B7" s="14" t="s">
        <v>8</v>
      </c>
      <c r="C7" s="3" t="s">
        <v>11</v>
      </c>
      <c r="D7" s="3" t="s">
        <v>11</v>
      </c>
      <c r="E7" s="3" t="s">
        <v>11</v>
      </c>
      <c r="F7" s="3" t="s">
        <v>11</v>
      </c>
      <c r="G7" s="3" t="s">
        <v>11</v>
      </c>
      <c r="H7" s="14" t="s">
        <v>8</v>
      </c>
      <c r="I7" s="14" t="s">
        <v>8</v>
      </c>
      <c r="J7" s="7" t="s">
        <v>14</v>
      </c>
      <c r="K7" s="7" t="s">
        <v>14</v>
      </c>
      <c r="L7" s="7" t="s">
        <v>14</v>
      </c>
      <c r="M7" s="7" t="s">
        <v>14</v>
      </c>
      <c r="N7" s="14" t="s">
        <v>8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14" t="s">
        <v>8</v>
      </c>
      <c r="U7" s="7" t="s">
        <v>14</v>
      </c>
      <c r="V7" s="7" t="s">
        <v>14</v>
      </c>
      <c r="W7" s="7" t="s">
        <v>14</v>
      </c>
      <c r="X7" s="7" t="s">
        <v>14</v>
      </c>
      <c r="Y7" s="7" t="s">
        <v>14</v>
      </c>
      <c r="Z7" s="7" t="s">
        <v>14</v>
      </c>
      <c r="AA7" s="14" t="s">
        <v>8</v>
      </c>
      <c r="AB7" s="14" t="s">
        <v>8</v>
      </c>
      <c r="AC7" s="31" t="s">
        <v>15</v>
      </c>
      <c r="AD7" s="31" t="s">
        <v>15</v>
      </c>
      <c r="AE7" s="31" t="s">
        <v>15</v>
      </c>
      <c r="AF7" s="31" t="s">
        <v>15</v>
      </c>
      <c r="AH7" s="43">
        <v>0</v>
      </c>
      <c r="AI7" s="15">
        <f t="shared" si="4"/>
        <v>0</v>
      </c>
      <c r="AJ7" s="15">
        <f t="shared" si="2"/>
        <v>0</v>
      </c>
      <c r="AL7" s="6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16</v>
      </c>
      <c r="B8" s="14" t="s">
        <v>8</v>
      </c>
      <c r="C8" s="14" t="s">
        <v>8</v>
      </c>
      <c r="D8" s="7" t="s">
        <v>14</v>
      </c>
      <c r="E8" s="7" t="s">
        <v>14</v>
      </c>
      <c r="F8" s="7" t="s">
        <v>14</v>
      </c>
      <c r="G8" s="7" t="s">
        <v>14</v>
      </c>
      <c r="H8" s="7" t="s">
        <v>14</v>
      </c>
      <c r="I8" s="14" t="s">
        <v>8</v>
      </c>
      <c r="J8" s="14" t="s">
        <v>8</v>
      </c>
      <c r="K8" s="3" t="s">
        <v>11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14</v>
      </c>
      <c r="R8" s="7" t="s">
        <v>14</v>
      </c>
      <c r="S8" s="7" t="s">
        <v>14</v>
      </c>
      <c r="T8" s="7" t="s">
        <v>14</v>
      </c>
      <c r="U8" s="14" t="s">
        <v>8</v>
      </c>
      <c r="V8" s="14" t="s">
        <v>8</v>
      </c>
      <c r="W8" s="3" t="s">
        <v>11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31" t="s">
        <v>7</v>
      </c>
      <c r="AE8" s="33" t="s">
        <v>17</v>
      </c>
      <c r="AF8" s="31" t="s">
        <v>7</v>
      </c>
      <c r="AH8" s="43">
        <v>18</v>
      </c>
      <c r="AI8" s="15">
        <f t="shared" si="4"/>
        <v>2</v>
      </c>
      <c r="AJ8" s="15">
        <f t="shared" si="2"/>
        <v>16</v>
      </c>
      <c r="AL8" s="6"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18</v>
      </c>
      <c r="B9" s="23" t="s">
        <v>6</v>
      </c>
      <c r="C9" s="14" t="s">
        <v>8</v>
      </c>
      <c r="D9" s="14" t="s">
        <v>8</v>
      </c>
      <c r="E9" s="31" t="s">
        <v>7</v>
      </c>
      <c r="F9" s="31" t="s">
        <v>7</v>
      </c>
      <c r="G9" s="31" t="s">
        <v>7</v>
      </c>
      <c r="H9" s="31" t="s">
        <v>7</v>
      </c>
      <c r="I9" s="31" t="s">
        <v>7</v>
      </c>
      <c r="J9" s="14" t="s">
        <v>8</v>
      </c>
      <c r="K9" s="14" t="s">
        <v>8</v>
      </c>
      <c r="L9" s="7" t="s">
        <v>14</v>
      </c>
      <c r="M9" s="7" t="s">
        <v>14</v>
      </c>
      <c r="N9" s="7" t="s">
        <v>14</v>
      </c>
      <c r="O9" s="7" t="s">
        <v>14</v>
      </c>
      <c r="P9" s="14" t="s">
        <v>8</v>
      </c>
      <c r="Q9" s="14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14" t="s">
        <v>8</v>
      </c>
      <c r="W9" s="14" t="s">
        <v>8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14" t="s">
        <v>8</v>
      </c>
      <c r="AD9" s="14" t="s">
        <v>8</v>
      </c>
      <c r="AE9" s="7" t="s">
        <v>14</v>
      </c>
      <c r="AF9" s="7" t="s">
        <v>14</v>
      </c>
      <c r="AH9" s="43">
        <v>5</v>
      </c>
      <c r="AI9" s="15">
        <f t="shared" si="4"/>
        <v>5</v>
      </c>
      <c r="AJ9" s="15">
        <f t="shared" si="2"/>
        <v>0</v>
      </c>
      <c r="AL9" s="6"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19</v>
      </c>
      <c r="B10" s="7" t="s">
        <v>14</v>
      </c>
      <c r="C10" s="7" t="s">
        <v>14</v>
      </c>
      <c r="D10" s="7" t="s">
        <v>14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3" t="s">
        <v>11</v>
      </c>
      <c r="L10" s="14" t="s">
        <v>8</v>
      </c>
      <c r="M10" s="14" t="s">
        <v>8</v>
      </c>
      <c r="N10" s="7" t="s">
        <v>14</v>
      </c>
      <c r="O10" s="7" t="s">
        <v>14</v>
      </c>
      <c r="P10" s="7" t="s">
        <v>14</v>
      </c>
      <c r="Q10" s="7" t="s">
        <v>14</v>
      </c>
      <c r="R10" s="14" t="s">
        <v>8</v>
      </c>
      <c r="S10" s="14" t="s">
        <v>8</v>
      </c>
      <c r="T10" s="3" t="s">
        <v>11</v>
      </c>
      <c r="U10" s="3" t="s">
        <v>11</v>
      </c>
      <c r="V10" s="3" t="s">
        <v>11</v>
      </c>
      <c r="W10" s="3" t="s">
        <v>11</v>
      </c>
      <c r="X10" s="3" t="s">
        <v>11</v>
      </c>
      <c r="Y10" s="14" t="s">
        <v>8</v>
      </c>
      <c r="Z10" s="14" t="s">
        <v>8</v>
      </c>
      <c r="AA10" s="14" t="s">
        <v>8</v>
      </c>
      <c r="AB10" s="7" t="s">
        <v>14</v>
      </c>
      <c r="AC10" s="7" t="s">
        <v>14</v>
      </c>
      <c r="AD10" s="7" t="s">
        <v>14</v>
      </c>
      <c r="AE10" s="14" t="s">
        <v>8</v>
      </c>
      <c r="AF10" s="3" t="s">
        <v>11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6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20</v>
      </c>
      <c r="B11" s="3" t="s">
        <v>11</v>
      </c>
      <c r="C11" s="3" t="s">
        <v>11</v>
      </c>
      <c r="D11" s="3" t="s">
        <v>11</v>
      </c>
      <c r="E11" s="14" t="s">
        <v>8</v>
      </c>
      <c r="F11" s="14" t="s">
        <v>8</v>
      </c>
      <c r="G11" s="7" t="s">
        <v>14</v>
      </c>
      <c r="H11" s="7" t="s">
        <v>14</v>
      </c>
      <c r="I11" s="7" t="s">
        <v>14</v>
      </c>
      <c r="J11" s="7" t="s">
        <v>14</v>
      </c>
      <c r="K11" s="7" t="s">
        <v>14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14" t="s">
        <v>8</v>
      </c>
      <c r="S11" s="14" t="s">
        <v>8</v>
      </c>
      <c r="T11" s="7" t="s">
        <v>14</v>
      </c>
      <c r="U11" s="7" t="s">
        <v>14</v>
      </c>
      <c r="V11" s="7" t="s">
        <v>14</v>
      </c>
      <c r="W11" s="7" t="s">
        <v>14</v>
      </c>
      <c r="X11" s="7" t="s">
        <v>14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">
        <v>22</v>
      </c>
      <c r="AM11" s="15">
        <f t="shared" si="5"/>
        <v>0</v>
      </c>
      <c r="AN11" s="15">
        <f t="shared" si="3"/>
        <v>22</v>
      </c>
    </row>
    <row r="13" spans="1:40">
      <c r="A13" s="3" t="s">
        <v>21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2</v>
      </c>
      <c r="P13" s="14">
        <f t="shared" si="6"/>
        <v>2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2</v>
      </c>
      <c r="U13" s="14">
        <f t="shared" si="6"/>
        <v>2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22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2</v>
      </c>
      <c r="U14" s="14">
        <f t="shared" si="7"/>
        <v>2</v>
      </c>
      <c r="V14" s="14">
        <f t="shared" si="7"/>
        <v>2</v>
      </c>
      <c r="W14" s="14">
        <f t="shared" si="7"/>
        <v>2</v>
      </c>
      <c r="X14" s="14">
        <f t="shared" si="7"/>
        <v>3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AL2:AN2"/>
    <mergeCell ref="H16:I16"/>
    <mergeCell ref="H17:I17"/>
    <mergeCell ref="H18:I18"/>
    <mergeCell ref="F20:G20"/>
    <mergeCell ref="H20:I20"/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zoomScale="85" zoomScaleNormal="85" workbookViewId="0">
      <pane xSplit="1" ySplit="3" topLeftCell="O4" activePane="bottomRight" state="frozen"/>
      <selection pane="bottomRight" activeCell="B10" sqref="B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48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9" t="s">
        <v>1</v>
      </c>
      <c r="AF2" s="50"/>
      <c r="AG2" s="50"/>
      <c r="AI2" s="49" t="s">
        <v>2</v>
      </c>
      <c r="AJ2" s="50"/>
      <c r="AK2" s="50"/>
    </row>
    <row r="3" spans="1:37" ht="15" customHeight="1">
      <c r="A3" s="48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8</v>
      </c>
      <c r="I4" s="6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6" t="s">
        <v>8</v>
      </c>
      <c r="P4" s="6" t="s">
        <v>8</v>
      </c>
      <c r="Q4" s="5" t="s">
        <v>9</v>
      </c>
      <c r="R4" s="23" t="s">
        <v>6</v>
      </c>
      <c r="S4" s="5" t="s">
        <v>9</v>
      </c>
      <c r="T4" s="5" t="s">
        <v>9</v>
      </c>
      <c r="U4" s="5" t="s">
        <v>9</v>
      </c>
      <c r="V4" s="6" t="s">
        <v>8</v>
      </c>
      <c r="W4" s="6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6" t="s">
        <v>8</v>
      </c>
      <c r="AE4" s="6">
        <f>JAN!AJ4</f>
        <v>3</v>
      </c>
      <c r="AF4" s="15">
        <f>COUNTIF(B4:AC4,"UA")</f>
        <v>0</v>
      </c>
      <c r="AG4" s="15">
        <f t="shared" ref="AG4:AG11" si="2">AE4-AF4</f>
        <v>3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10</v>
      </c>
      <c r="B5" s="6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6" t="s">
        <v>8</v>
      </c>
      <c r="I5" s="6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6" t="s">
        <v>8</v>
      </c>
      <c r="P5" s="6" t="s">
        <v>8</v>
      </c>
      <c r="Q5" s="5" t="s">
        <v>9</v>
      </c>
      <c r="R5" s="23" t="s">
        <v>6</v>
      </c>
      <c r="S5" s="5" t="s">
        <v>9</v>
      </c>
      <c r="T5" s="5" t="s">
        <v>9</v>
      </c>
      <c r="U5" s="5" t="s">
        <v>9</v>
      </c>
      <c r="V5" s="6" t="s">
        <v>8</v>
      </c>
      <c r="W5" s="6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0</v>
      </c>
      <c r="AK5" s="15">
        <f t="shared" si="3"/>
        <v>22</v>
      </c>
    </row>
    <row r="6" spans="1:37" ht="15" customHeight="1">
      <c r="A6" s="22" t="s">
        <v>12</v>
      </c>
      <c r="B6" s="6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6" t="s">
        <v>8</v>
      </c>
      <c r="I6" s="6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6" t="s">
        <v>8</v>
      </c>
      <c r="P6" s="6" t="s">
        <v>8</v>
      </c>
      <c r="Q6" s="5" t="s">
        <v>9</v>
      </c>
      <c r="R6" s="23" t="s">
        <v>6</v>
      </c>
      <c r="S6" s="5" t="s">
        <v>9</v>
      </c>
      <c r="T6" s="5" t="s">
        <v>9</v>
      </c>
      <c r="U6" s="5" t="s">
        <v>9</v>
      </c>
      <c r="V6" s="6" t="s">
        <v>8</v>
      </c>
      <c r="W6" s="6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22</v>
      </c>
      <c r="AJ6" s="15">
        <f t="shared" si="5"/>
        <v>0</v>
      </c>
      <c r="AK6" s="15">
        <f t="shared" si="3"/>
        <v>22</v>
      </c>
    </row>
    <row r="7" spans="1:37" ht="15" customHeight="1">
      <c r="A7" s="22" t="s">
        <v>13</v>
      </c>
      <c r="B7" s="6" t="s">
        <v>8</v>
      </c>
      <c r="C7" s="6" t="s">
        <v>8</v>
      </c>
      <c r="D7" s="7" t="s">
        <v>14</v>
      </c>
      <c r="E7" s="7" t="s">
        <v>14</v>
      </c>
      <c r="F7" s="7" t="s">
        <v>14</v>
      </c>
      <c r="G7" s="7" t="s">
        <v>14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14</v>
      </c>
      <c r="Q7" s="7" t="s">
        <v>14</v>
      </c>
      <c r="R7" s="7" t="s">
        <v>14</v>
      </c>
      <c r="S7" s="7" t="s">
        <v>14</v>
      </c>
      <c r="T7" s="7" t="s">
        <v>14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14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16</v>
      </c>
      <c r="B8" s="31" t="s">
        <v>7</v>
      </c>
      <c r="C8" s="6" t="s">
        <v>8</v>
      </c>
      <c r="D8" s="6" t="s">
        <v>8</v>
      </c>
      <c r="E8" s="31" t="s">
        <v>7</v>
      </c>
      <c r="F8" s="31" t="s">
        <v>7</v>
      </c>
      <c r="G8" s="31" t="s">
        <v>7</v>
      </c>
      <c r="H8" s="31" t="s">
        <v>7</v>
      </c>
      <c r="I8" s="6" t="s">
        <v>8</v>
      </c>
      <c r="J8" s="6" t="s">
        <v>8</v>
      </c>
      <c r="K8" s="31" t="s">
        <v>7</v>
      </c>
      <c r="L8" s="31" t="s">
        <v>7</v>
      </c>
      <c r="M8" s="31" t="s">
        <v>7</v>
      </c>
      <c r="N8" s="3" t="s">
        <v>11</v>
      </c>
      <c r="O8" s="3" t="s">
        <v>11</v>
      </c>
      <c r="P8" s="6" t="s">
        <v>8</v>
      </c>
      <c r="Q8" s="6" t="s">
        <v>8</v>
      </c>
      <c r="R8" s="23" t="s">
        <v>6</v>
      </c>
      <c r="S8" s="7" t="s">
        <v>14</v>
      </c>
      <c r="T8" s="7" t="s">
        <v>14</v>
      </c>
      <c r="U8" s="7" t="s">
        <v>14</v>
      </c>
      <c r="V8" s="6" t="s">
        <v>8</v>
      </c>
      <c r="W8" s="6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22</v>
      </c>
      <c r="AJ8" s="15">
        <f t="shared" si="5"/>
        <v>0</v>
      </c>
      <c r="AK8" s="15">
        <f t="shared" si="3"/>
        <v>22</v>
      </c>
    </row>
    <row r="9" spans="1:37" ht="15" customHeight="1">
      <c r="A9" s="22" t="s">
        <v>18</v>
      </c>
      <c r="B9" s="7" t="s">
        <v>14</v>
      </c>
      <c r="C9" s="7" t="s">
        <v>14</v>
      </c>
      <c r="D9" s="6" t="s">
        <v>8</v>
      </c>
      <c r="E9" s="6" t="s">
        <v>8</v>
      </c>
      <c r="F9" s="3" t="s">
        <v>11</v>
      </c>
      <c r="G9" s="3" t="s">
        <v>11</v>
      </c>
      <c r="H9" s="3" t="s">
        <v>11</v>
      </c>
      <c r="I9" s="3" t="s">
        <v>11</v>
      </c>
      <c r="J9" s="6" t="s">
        <v>8</v>
      </c>
      <c r="K9" s="6" t="s">
        <v>8</v>
      </c>
      <c r="L9" s="7" t="s">
        <v>14</v>
      </c>
      <c r="M9" s="7" t="s">
        <v>14</v>
      </c>
      <c r="N9" s="7" t="s">
        <v>14</v>
      </c>
      <c r="O9" s="7" t="s">
        <v>14</v>
      </c>
      <c r="P9" s="6" t="s">
        <v>8</v>
      </c>
      <c r="Q9" s="6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3" t="s">
        <v>11</v>
      </c>
      <c r="W9" s="6" t="s">
        <v>8</v>
      </c>
      <c r="X9" s="6" t="s">
        <v>8</v>
      </c>
      <c r="Y9" s="7" t="s">
        <v>14</v>
      </c>
      <c r="Z9" s="7" t="s">
        <v>14</v>
      </c>
      <c r="AA9" s="7" t="s">
        <v>14</v>
      </c>
      <c r="AB9" s="7" t="s">
        <v>14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22</v>
      </c>
      <c r="AJ9" s="15">
        <f t="shared" si="5"/>
        <v>0</v>
      </c>
      <c r="AK9" s="15">
        <f t="shared" si="3"/>
        <v>22</v>
      </c>
    </row>
    <row r="10" spans="1:37" s="16" customFormat="1" ht="15" customHeight="1">
      <c r="A10" s="22" t="s">
        <v>19</v>
      </c>
      <c r="B10" s="3" t="s">
        <v>11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14</v>
      </c>
      <c r="I10" s="7" t="s">
        <v>14</v>
      </c>
      <c r="J10" s="7" t="s">
        <v>14</v>
      </c>
      <c r="K10" s="7" t="s">
        <v>14</v>
      </c>
      <c r="L10" s="7" t="s">
        <v>14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23" t="s">
        <v>6</v>
      </c>
      <c r="S10" s="6" t="s">
        <v>8</v>
      </c>
      <c r="T10" s="6" t="s">
        <v>8</v>
      </c>
      <c r="U10" s="7" t="s">
        <v>14</v>
      </c>
      <c r="V10" s="7" t="s">
        <v>14</v>
      </c>
      <c r="W10" s="7" t="s">
        <v>14</v>
      </c>
      <c r="X10" s="7" t="s">
        <v>14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20</v>
      </c>
      <c r="B11" s="7" t="s">
        <v>14</v>
      </c>
      <c r="C11" s="7" t="s">
        <v>14</v>
      </c>
      <c r="D11" s="7" t="s">
        <v>14</v>
      </c>
      <c r="E11" s="7" t="s">
        <v>14</v>
      </c>
      <c r="F11" s="6" t="s">
        <v>8</v>
      </c>
      <c r="G11" s="6" t="s">
        <v>8</v>
      </c>
      <c r="H11" s="3" t="s">
        <v>11</v>
      </c>
      <c r="I11" s="3" t="s">
        <v>11</v>
      </c>
      <c r="J11" s="3" t="s">
        <v>11</v>
      </c>
      <c r="K11" s="3" t="s">
        <v>11</v>
      </c>
      <c r="L11" s="6" t="s">
        <v>8</v>
      </c>
      <c r="M11" s="6" t="s">
        <v>8</v>
      </c>
      <c r="N11" s="31" t="s">
        <v>7</v>
      </c>
      <c r="O11" s="31" t="s">
        <v>7</v>
      </c>
      <c r="P11" s="31" t="s">
        <v>7</v>
      </c>
      <c r="Q11" s="31" t="s">
        <v>7</v>
      </c>
      <c r="R11" s="6" t="s">
        <v>8</v>
      </c>
      <c r="S11" s="6" t="s">
        <v>8</v>
      </c>
      <c r="T11" s="31" t="s">
        <v>7</v>
      </c>
      <c r="U11" s="31" t="s">
        <v>7</v>
      </c>
      <c r="V11" s="31" t="s">
        <v>7</v>
      </c>
      <c r="W11" s="3" t="s">
        <v>11</v>
      </c>
      <c r="X11" s="6" t="s">
        <v>8</v>
      </c>
      <c r="Y11" s="6" t="s">
        <v>8</v>
      </c>
      <c r="Z11" s="7" t="s">
        <v>14</v>
      </c>
      <c r="AA11" s="7" t="s">
        <v>14</v>
      </c>
      <c r="AB11" s="7" t="s">
        <v>14</v>
      </c>
      <c r="AC11" s="7" t="s">
        <v>14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22</v>
      </c>
      <c r="AJ11" s="15">
        <f>COUNTIF(B11:AC11,"U")</f>
        <v>0</v>
      </c>
      <c r="AK11" s="15">
        <f t="shared" si="3"/>
        <v>22</v>
      </c>
    </row>
    <row r="13" spans="1:37">
      <c r="A13" s="3" t="s">
        <v>21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22</v>
      </c>
      <c r="B14" s="14">
        <f>COUNTIF(B4:B11,"P14")</f>
        <v>2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A1:AC1"/>
    <mergeCell ref="A2:A3"/>
    <mergeCell ref="AE2:AG2"/>
    <mergeCell ref="AI2:AK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Q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14" t="s">
        <v>8</v>
      </c>
      <c r="I4" s="14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14" t="s">
        <v>8</v>
      </c>
      <c r="P4" s="14" t="s">
        <v>8</v>
      </c>
      <c r="Q4" s="5" t="s">
        <v>9</v>
      </c>
      <c r="R4" s="5" t="s">
        <v>9</v>
      </c>
      <c r="S4" s="5" t="s">
        <v>9</v>
      </c>
      <c r="T4" s="5" t="s">
        <v>9</v>
      </c>
      <c r="U4" s="5" t="s">
        <v>9</v>
      </c>
      <c r="V4" s="14" t="s">
        <v>8</v>
      </c>
      <c r="W4" s="14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14" t="s">
        <v>8</v>
      </c>
      <c r="AD4" s="14" t="s">
        <v>8</v>
      </c>
      <c r="AE4" s="5" t="s">
        <v>9</v>
      </c>
      <c r="AF4" s="5" t="s">
        <v>9</v>
      </c>
      <c r="AH4" s="6">
        <f>FEB!AG4</f>
        <v>3</v>
      </c>
      <c r="AI4" s="15">
        <f>COUNTIF(B4:AF4,"UA")</f>
        <v>0</v>
      </c>
      <c r="AJ4" s="15">
        <f t="shared" ref="AJ4:AJ11" si="2">AH4-AI4</f>
        <v>3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10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F5" s="5" t="s">
        <v>9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12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F6" s="5" t="s">
        <v>9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13</v>
      </c>
      <c r="B7" s="7" t="s">
        <v>14</v>
      </c>
      <c r="C7" s="7" t="s">
        <v>14</v>
      </c>
      <c r="D7" s="7" t="s">
        <v>14</v>
      </c>
      <c r="E7" s="7" t="s">
        <v>14</v>
      </c>
      <c r="F7" s="14" t="s">
        <v>8</v>
      </c>
      <c r="G7" s="14" t="s">
        <v>8</v>
      </c>
      <c r="H7" s="3" t="s">
        <v>11</v>
      </c>
      <c r="I7" s="3" t="s">
        <v>11</v>
      </c>
      <c r="J7" s="3" t="s">
        <v>11</v>
      </c>
      <c r="K7" s="3" t="s">
        <v>11</v>
      </c>
      <c r="L7" s="14" t="s">
        <v>8</v>
      </c>
      <c r="M7" s="14" t="s">
        <v>8</v>
      </c>
      <c r="N7" s="7" t="s">
        <v>14</v>
      </c>
      <c r="O7" s="7" t="s">
        <v>14</v>
      </c>
      <c r="P7" s="7" t="s">
        <v>14</v>
      </c>
      <c r="Q7" s="7" t="s">
        <v>14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3" t="s">
        <v>11</v>
      </c>
      <c r="Y7" s="14" t="s">
        <v>8</v>
      </c>
      <c r="Z7" s="14" t="s">
        <v>8</v>
      </c>
      <c r="AA7" s="7" t="s">
        <v>14</v>
      </c>
      <c r="AB7" s="7" t="s">
        <v>14</v>
      </c>
      <c r="AC7" s="7" t="s">
        <v>14</v>
      </c>
      <c r="AD7" s="7" t="s">
        <v>14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16</v>
      </c>
      <c r="B8" s="14" t="s">
        <v>8</v>
      </c>
      <c r="C8" s="7" t="s">
        <v>14</v>
      </c>
      <c r="D8" s="7" t="s">
        <v>14</v>
      </c>
      <c r="E8" s="7" t="s">
        <v>14</v>
      </c>
      <c r="F8" s="7" t="s">
        <v>14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14" t="s">
        <v>8</v>
      </c>
      <c r="N8" s="14" t="s">
        <v>8</v>
      </c>
      <c r="O8" s="7" t="s">
        <v>14</v>
      </c>
      <c r="P8" s="7" t="s">
        <v>14</v>
      </c>
      <c r="Q8" s="7" t="s">
        <v>14</v>
      </c>
      <c r="R8" s="7" t="s">
        <v>14</v>
      </c>
      <c r="S8" s="7" t="s">
        <v>14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14</v>
      </c>
      <c r="AC8" s="7" t="s">
        <v>14</v>
      </c>
      <c r="AD8" s="7" t="s">
        <v>14</v>
      </c>
      <c r="AE8" s="7" t="s">
        <v>14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18</v>
      </c>
      <c r="B9" s="14" t="s">
        <v>8</v>
      </c>
      <c r="C9" s="3" t="s">
        <v>11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14</v>
      </c>
      <c r="K9" s="7" t="s">
        <v>14</v>
      </c>
      <c r="L9" s="7" t="s">
        <v>14</v>
      </c>
      <c r="M9" s="7" t="s">
        <v>14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14</v>
      </c>
      <c r="X9" s="7" t="s">
        <v>14</v>
      </c>
      <c r="Y9" s="7" t="s">
        <v>14</v>
      </c>
      <c r="Z9" s="7" t="s">
        <v>14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19</v>
      </c>
      <c r="B10" s="3" t="s">
        <v>11</v>
      </c>
      <c r="C10" s="3" t="s">
        <v>11</v>
      </c>
      <c r="D10" s="14" t="s">
        <v>8</v>
      </c>
      <c r="E10" s="14" t="s">
        <v>8</v>
      </c>
      <c r="F10" s="7" t="s">
        <v>14</v>
      </c>
      <c r="G10" s="7" t="s">
        <v>14</v>
      </c>
      <c r="H10" s="7" t="s">
        <v>14</v>
      </c>
      <c r="I10" s="7" t="s">
        <v>14</v>
      </c>
      <c r="J10" s="14" t="s">
        <v>8</v>
      </c>
      <c r="K10" s="14" t="s">
        <v>8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14</v>
      </c>
      <c r="S10" s="7" t="s">
        <v>14</v>
      </c>
      <c r="T10" s="7" t="s">
        <v>14</v>
      </c>
      <c r="U10" s="7" t="s">
        <v>14</v>
      </c>
      <c r="V10" s="7" t="s">
        <v>14</v>
      </c>
      <c r="W10" s="14" t="s">
        <v>8</v>
      </c>
      <c r="X10" s="14" t="s">
        <v>8</v>
      </c>
      <c r="Y10" s="3" t="s">
        <v>11</v>
      </c>
      <c r="Z10" s="3" t="s">
        <v>11</v>
      </c>
      <c r="AA10" s="3" t="s">
        <v>11</v>
      </c>
      <c r="AB10" s="3" t="s">
        <v>11</v>
      </c>
      <c r="AC10" s="14" t="s">
        <v>8</v>
      </c>
      <c r="AD10" s="14" t="s">
        <v>8</v>
      </c>
      <c r="AE10" s="7" t="s">
        <v>14</v>
      </c>
      <c r="AF10" s="7" t="s">
        <v>14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20</v>
      </c>
      <c r="B11" s="7" t="s">
        <v>14</v>
      </c>
      <c r="C11" s="14" t="s">
        <v>8</v>
      </c>
      <c r="D11" s="14" t="s">
        <v>8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14</v>
      </c>
      <c r="L11" s="7" t="s">
        <v>14</v>
      </c>
      <c r="M11" s="7" t="s">
        <v>14</v>
      </c>
      <c r="N11" s="7" t="s">
        <v>14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3" t="s">
        <v>11</v>
      </c>
      <c r="V11" s="14" t="s">
        <v>8</v>
      </c>
      <c r="W11" s="14" t="s">
        <v>8</v>
      </c>
      <c r="X11" s="7" t="s">
        <v>14</v>
      </c>
      <c r="Y11" s="7" t="s">
        <v>14</v>
      </c>
      <c r="Z11" s="7" t="s">
        <v>14</v>
      </c>
      <c r="AA11" s="7" t="s">
        <v>14</v>
      </c>
      <c r="AB11" s="14" t="s">
        <v>8</v>
      </c>
      <c r="AC11" s="14" t="s">
        <v>8</v>
      </c>
      <c r="AD11" s="3" t="s">
        <v>11</v>
      </c>
      <c r="AE11" s="3" t="s">
        <v>11</v>
      </c>
      <c r="AF11" s="3" t="s">
        <v>11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22</v>
      </c>
      <c r="AM11" s="15">
        <f>COUNTIF(B11:AF11,"U")</f>
        <v>0</v>
      </c>
      <c r="AN11" s="15">
        <f t="shared" si="3"/>
        <v>22</v>
      </c>
    </row>
    <row r="13" spans="1:40">
      <c r="A13" s="3" t="s">
        <v>21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22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A1:AF1"/>
    <mergeCell ref="A2:A3"/>
    <mergeCell ref="AH2:AJ2"/>
    <mergeCell ref="AL2:AN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B4" activePane="bottomRight" state="frozen"/>
      <selection pane="bottomRight" activeCell="AG25" sqref="AG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48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1</v>
      </c>
      <c r="AH2" s="50"/>
      <c r="AI2" s="50"/>
      <c r="AK2" s="49" t="s">
        <v>2</v>
      </c>
      <c r="AL2" s="50"/>
      <c r="AM2" s="50"/>
    </row>
    <row r="3" spans="1:39" ht="15" customHeight="1">
      <c r="A3" s="48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35</v>
      </c>
      <c r="C4" s="5" t="s">
        <v>35</v>
      </c>
      <c r="D4" s="23" t="s">
        <v>6</v>
      </c>
      <c r="E4" s="14" t="s">
        <v>8</v>
      </c>
      <c r="F4" s="14" t="s">
        <v>8</v>
      </c>
      <c r="G4" s="5" t="s">
        <v>35</v>
      </c>
      <c r="H4" s="5" t="s">
        <v>35</v>
      </c>
      <c r="I4" s="5" t="s">
        <v>35</v>
      </c>
      <c r="J4" s="5" t="s">
        <v>35</v>
      </c>
      <c r="K4" s="5" t="s">
        <v>35</v>
      </c>
      <c r="L4" s="14" t="s">
        <v>8</v>
      </c>
      <c r="M4" s="14" t="s">
        <v>8</v>
      </c>
      <c r="N4" s="5" t="s">
        <v>35</v>
      </c>
      <c r="O4" s="5" t="s">
        <v>35</v>
      </c>
      <c r="P4" s="5" t="s">
        <v>35</v>
      </c>
      <c r="Q4" s="5" t="s">
        <v>35</v>
      </c>
      <c r="R4" s="5" t="s">
        <v>35</v>
      </c>
      <c r="S4" s="14" t="s">
        <v>8</v>
      </c>
      <c r="T4" s="14" t="s">
        <v>8</v>
      </c>
      <c r="U4" s="5" t="s">
        <v>35</v>
      </c>
      <c r="V4" s="5" t="s">
        <v>35</v>
      </c>
      <c r="W4" s="5" t="s">
        <v>35</v>
      </c>
      <c r="X4" s="5" t="s">
        <v>35</v>
      </c>
      <c r="Y4" s="33" t="s">
        <v>17</v>
      </c>
      <c r="Z4" s="14" t="s">
        <v>8</v>
      </c>
      <c r="AA4" s="14" t="s">
        <v>8</v>
      </c>
      <c r="AB4" s="5" t="s">
        <v>35</v>
      </c>
      <c r="AC4" s="5" t="s">
        <v>35</v>
      </c>
      <c r="AD4" s="5" t="s">
        <v>35</v>
      </c>
      <c r="AE4" s="5" t="s">
        <v>35</v>
      </c>
      <c r="AG4" s="6">
        <f>MAR!AJ4</f>
        <v>3</v>
      </c>
      <c r="AH4" s="15">
        <f>COUNTIF(B4:AE4,"UA")</f>
        <v>0</v>
      </c>
      <c r="AI4" s="15">
        <f t="shared" ref="AI4:AI11" si="2">AG4-AH4</f>
        <v>3</v>
      </c>
      <c r="AK4" s="6">
        <f>MAR!AN4</f>
        <v>22</v>
      </c>
      <c r="AL4" s="15">
        <f>COUNTIF(B4:AE4,"U")</f>
        <v>0</v>
      </c>
      <c r="AM4" s="15">
        <f t="shared" ref="AM4:AM11" si="3">AK4-AL4</f>
        <v>22</v>
      </c>
    </row>
    <row r="5" spans="1:39" ht="15" customHeight="1">
      <c r="A5" s="22" t="s">
        <v>10</v>
      </c>
      <c r="B5" s="5" t="s">
        <v>9</v>
      </c>
      <c r="C5" s="5" t="s">
        <v>9</v>
      </c>
      <c r="D5" s="23" t="s">
        <v>6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22</v>
      </c>
      <c r="AL5" s="15">
        <f t="shared" ref="AL5:AL11" si="5">COUNTIF(B5:AE5,"U")</f>
        <v>0</v>
      </c>
      <c r="AM5" s="15">
        <f t="shared" si="3"/>
        <v>22</v>
      </c>
    </row>
    <row r="6" spans="1:39" ht="15" customHeight="1">
      <c r="A6" s="22" t="s">
        <v>12</v>
      </c>
      <c r="B6" s="31" t="s">
        <v>7</v>
      </c>
      <c r="C6" s="31" t="s">
        <v>7</v>
      </c>
      <c r="D6" s="23" t="s">
        <v>6</v>
      </c>
      <c r="E6" s="14" t="s">
        <v>8</v>
      </c>
      <c r="F6" s="14" t="s">
        <v>8</v>
      </c>
      <c r="G6" s="31" t="s">
        <v>7</v>
      </c>
      <c r="H6" s="31" t="s">
        <v>7</v>
      </c>
      <c r="I6" s="31" t="s">
        <v>7</v>
      </c>
      <c r="J6" s="33" t="s">
        <v>17</v>
      </c>
      <c r="K6" s="31" t="s">
        <v>7</v>
      </c>
      <c r="L6" s="14" t="s">
        <v>8</v>
      </c>
      <c r="M6" s="14" t="s">
        <v>8</v>
      </c>
      <c r="N6" s="31" t="s">
        <v>7</v>
      </c>
      <c r="O6" s="31" t="s">
        <v>7</v>
      </c>
      <c r="P6" s="31" t="s">
        <v>15</v>
      </c>
      <c r="Q6" s="31" t="s">
        <v>15</v>
      </c>
      <c r="R6" s="31" t="s">
        <v>15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22</v>
      </c>
      <c r="AL6" s="15">
        <f t="shared" si="5"/>
        <v>3</v>
      </c>
      <c r="AM6" s="15">
        <f t="shared" si="3"/>
        <v>19</v>
      </c>
    </row>
    <row r="7" spans="1:39" ht="15" customHeight="1">
      <c r="A7" s="22" t="s">
        <v>13</v>
      </c>
      <c r="B7" s="3" t="s">
        <v>11</v>
      </c>
      <c r="C7" s="3" t="s">
        <v>11</v>
      </c>
      <c r="D7" s="23" t="s">
        <v>6</v>
      </c>
      <c r="E7" s="3" t="s">
        <v>11</v>
      </c>
      <c r="F7" s="14" t="s">
        <v>8</v>
      </c>
      <c r="G7" s="14" t="s">
        <v>8</v>
      </c>
      <c r="H7" s="7" t="s">
        <v>14</v>
      </c>
      <c r="I7" s="7" t="s">
        <v>14</v>
      </c>
      <c r="J7" s="7" t="s">
        <v>14</v>
      </c>
      <c r="K7" s="7" t="s">
        <v>14</v>
      </c>
      <c r="L7" s="7" t="s">
        <v>14</v>
      </c>
      <c r="M7" s="14" t="s">
        <v>8</v>
      </c>
      <c r="N7" s="14" t="s">
        <v>8</v>
      </c>
      <c r="O7" s="3" t="s">
        <v>11</v>
      </c>
      <c r="P7" s="3" t="s">
        <v>11</v>
      </c>
      <c r="Q7" s="3" t="s">
        <v>11</v>
      </c>
      <c r="R7" s="3" t="s">
        <v>11</v>
      </c>
      <c r="S7" s="14" t="s">
        <v>8</v>
      </c>
      <c r="T7" s="14" t="s">
        <v>8</v>
      </c>
      <c r="U7" s="7" t="s">
        <v>14</v>
      </c>
      <c r="V7" s="7" t="s">
        <v>14</v>
      </c>
      <c r="W7" s="7" t="s">
        <v>14</v>
      </c>
      <c r="X7" s="7" t="s">
        <v>14</v>
      </c>
      <c r="Y7" s="7" t="s">
        <v>14</v>
      </c>
      <c r="Z7" s="14" t="s">
        <v>8</v>
      </c>
      <c r="AA7" s="14" t="s">
        <v>8</v>
      </c>
      <c r="AB7" s="3" t="s">
        <v>11</v>
      </c>
      <c r="AC7" s="3" t="s">
        <v>11</v>
      </c>
      <c r="AD7" s="3" t="s">
        <v>11</v>
      </c>
      <c r="AE7" s="3" t="s">
        <v>11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16</v>
      </c>
      <c r="B8" s="14" t="s">
        <v>8</v>
      </c>
      <c r="C8" s="7" t="s">
        <v>14</v>
      </c>
      <c r="D8" s="7" t="s">
        <v>14</v>
      </c>
      <c r="E8" s="7" t="s">
        <v>14</v>
      </c>
      <c r="F8" s="7" t="s">
        <v>14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14</v>
      </c>
      <c r="Q8" s="7" t="s">
        <v>14</v>
      </c>
      <c r="R8" s="7" t="s">
        <v>14</v>
      </c>
      <c r="S8" s="7" t="s">
        <v>14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14</v>
      </c>
      <c r="AC8" s="7" t="s">
        <v>14</v>
      </c>
      <c r="AD8" s="7" t="s">
        <v>14</v>
      </c>
      <c r="AE8" s="7" t="s">
        <v>14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22</v>
      </c>
      <c r="AL8" s="15">
        <f t="shared" si="5"/>
        <v>0</v>
      </c>
      <c r="AM8" s="15">
        <f t="shared" si="3"/>
        <v>22</v>
      </c>
    </row>
    <row r="9" spans="1:39" ht="15" customHeight="1">
      <c r="A9" s="22" t="s">
        <v>18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11</v>
      </c>
      <c r="I9" s="14" t="s">
        <v>8</v>
      </c>
      <c r="J9" s="14" t="s">
        <v>8</v>
      </c>
      <c r="K9" s="7" t="s">
        <v>14</v>
      </c>
      <c r="L9" s="7" t="s">
        <v>14</v>
      </c>
      <c r="M9" s="7" t="s">
        <v>14</v>
      </c>
      <c r="N9" s="7" t="s">
        <v>14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14</v>
      </c>
      <c r="X9" s="7" t="s">
        <v>14</v>
      </c>
      <c r="Y9" s="7" t="s">
        <v>14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MAR!AJ9</f>
        <v>0</v>
      </c>
      <c r="AH9" s="15">
        <f t="shared" si="4"/>
        <v>0</v>
      </c>
      <c r="AI9" s="15">
        <f t="shared" si="2"/>
        <v>0</v>
      </c>
      <c r="AK9" s="6">
        <f>MAR!AN9</f>
        <v>22</v>
      </c>
      <c r="AL9" s="15">
        <f t="shared" si="5"/>
        <v>0</v>
      </c>
      <c r="AM9" s="15">
        <f t="shared" si="3"/>
        <v>22</v>
      </c>
    </row>
    <row r="10" spans="1:39" s="16" customFormat="1" ht="15" customHeight="1">
      <c r="A10" s="22" t="s">
        <v>19</v>
      </c>
      <c r="B10" s="7" t="s">
        <v>14</v>
      </c>
      <c r="C10" s="7" t="s">
        <v>14</v>
      </c>
      <c r="D10" s="23" t="s">
        <v>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14" t="s">
        <v>8</v>
      </c>
      <c r="L10" s="14" t="s">
        <v>8</v>
      </c>
      <c r="M10" s="7" t="s">
        <v>14</v>
      </c>
      <c r="N10" s="7" t="s">
        <v>14</v>
      </c>
      <c r="O10" s="7" t="s">
        <v>14</v>
      </c>
      <c r="P10" s="7" t="s">
        <v>14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3" t="s">
        <v>11</v>
      </c>
      <c r="X10" s="14" t="s">
        <v>8</v>
      </c>
      <c r="Y10" s="14" t="s">
        <v>8</v>
      </c>
      <c r="Z10" s="7" t="s">
        <v>14</v>
      </c>
      <c r="AA10" s="7" t="s">
        <v>14</v>
      </c>
      <c r="AB10" s="7" t="s">
        <v>14</v>
      </c>
      <c r="AC10" s="7" t="s">
        <v>14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20</v>
      </c>
      <c r="B11" s="3" t="s">
        <v>11</v>
      </c>
      <c r="C11" s="3" t="s">
        <v>11</v>
      </c>
      <c r="D11" s="14" t="s">
        <v>8</v>
      </c>
      <c r="E11" s="14" t="s">
        <v>8</v>
      </c>
      <c r="F11" s="23" t="s">
        <v>6</v>
      </c>
      <c r="G11" s="7" t="s">
        <v>14</v>
      </c>
      <c r="H11" s="7" t="s">
        <v>14</v>
      </c>
      <c r="I11" s="7" t="s">
        <v>14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14" t="s">
        <v>8</v>
      </c>
      <c r="Q11" s="14" t="s">
        <v>8</v>
      </c>
      <c r="R11" s="7" t="s">
        <v>14</v>
      </c>
      <c r="S11" s="7" t="s">
        <v>14</v>
      </c>
      <c r="T11" s="7" t="s">
        <v>14</v>
      </c>
      <c r="U11" s="7" t="s">
        <v>14</v>
      </c>
      <c r="V11" s="14" t="s">
        <v>8</v>
      </c>
      <c r="W11" s="14" t="s">
        <v>8</v>
      </c>
      <c r="X11" s="3" t="s">
        <v>11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14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22</v>
      </c>
      <c r="AL11" s="15">
        <f>COUNTIF(B11:AE11,"U")</f>
        <v>0</v>
      </c>
      <c r="AM11" s="15">
        <f t="shared" si="3"/>
        <v>22</v>
      </c>
    </row>
    <row r="13" spans="1:39">
      <c r="A13" s="3" t="s">
        <v>21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2</v>
      </c>
      <c r="AD13" s="14">
        <f t="shared" si="6"/>
        <v>2</v>
      </c>
      <c r="AE13" s="14">
        <f t="shared" si="6"/>
        <v>2</v>
      </c>
    </row>
    <row r="14" spans="1:39">
      <c r="A14" s="7" t="s">
        <v>22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A1:AE1"/>
    <mergeCell ref="A2:A3"/>
    <mergeCell ref="AG2:AI2"/>
    <mergeCell ref="AK2:AM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B4" activePane="bottomRight" state="frozen"/>
      <selection pane="bottomRight" activeCell="AE10" sqref="AE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35</v>
      </c>
      <c r="F4" s="5" t="s">
        <v>35</v>
      </c>
      <c r="G4" s="5" t="s">
        <v>35</v>
      </c>
      <c r="H4" s="5" t="s">
        <v>35</v>
      </c>
      <c r="I4" s="5" t="s">
        <v>35</v>
      </c>
      <c r="J4" s="6" t="s">
        <v>8</v>
      </c>
      <c r="K4" s="6" t="s">
        <v>8</v>
      </c>
      <c r="L4" s="5" t="s">
        <v>35</v>
      </c>
      <c r="M4" s="5" t="s">
        <v>35</v>
      </c>
      <c r="N4" s="5" t="s">
        <v>35</v>
      </c>
      <c r="O4" s="5" t="s">
        <v>35</v>
      </c>
      <c r="P4" s="5" t="s">
        <v>35</v>
      </c>
      <c r="Q4" s="6" t="s">
        <v>8</v>
      </c>
      <c r="R4" s="6" t="s">
        <v>8</v>
      </c>
      <c r="S4" s="5" t="s">
        <v>35</v>
      </c>
      <c r="T4" s="5" t="s">
        <v>35</v>
      </c>
      <c r="U4" s="5" t="s">
        <v>35</v>
      </c>
      <c r="V4" s="5" t="s">
        <v>35</v>
      </c>
      <c r="W4" s="5" t="s">
        <v>35</v>
      </c>
      <c r="X4" s="6" t="s">
        <v>8</v>
      </c>
      <c r="Y4" s="6" t="s">
        <v>8</v>
      </c>
      <c r="Z4" s="5" t="s">
        <v>35</v>
      </c>
      <c r="AA4" s="5" t="s">
        <v>35</v>
      </c>
      <c r="AB4" s="5" t="s">
        <v>35</v>
      </c>
      <c r="AC4" s="5" t="s">
        <v>35</v>
      </c>
      <c r="AD4" s="5" t="s">
        <v>35</v>
      </c>
      <c r="AE4" s="6" t="s">
        <v>8</v>
      </c>
      <c r="AF4" s="6" t="s">
        <v>8</v>
      </c>
      <c r="AH4" s="6">
        <f>APR!AM4</f>
        <v>22</v>
      </c>
      <c r="AI4" s="15">
        <f>COUNTIF(B4:AF4,"U")</f>
        <v>0</v>
      </c>
      <c r="AJ4" s="15">
        <f t="shared" ref="AJ4:AJ11" si="8">AH4-AI4</f>
        <v>22</v>
      </c>
    </row>
    <row r="5" spans="1:36" ht="15" customHeight="1">
      <c r="A5" s="22" t="s">
        <v>10</v>
      </c>
      <c r="B5" s="23" t="s">
        <v>6</v>
      </c>
      <c r="C5" s="6" t="s">
        <v>8</v>
      </c>
      <c r="D5" s="6" t="s">
        <v>8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  <c r="J5" s="6" t="s">
        <v>8</v>
      </c>
      <c r="K5" s="6" t="s">
        <v>8</v>
      </c>
      <c r="L5" s="5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6" t="s">
        <v>8</v>
      </c>
      <c r="R5" s="6" t="s">
        <v>8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6" t="s">
        <v>8</v>
      </c>
      <c r="Y5" s="6" t="s">
        <v>8</v>
      </c>
      <c r="Z5" s="5" t="s">
        <v>9</v>
      </c>
      <c r="AA5" s="5" t="s">
        <v>9</v>
      </c>
      <c r="AB5" s="5" t="s">
        <v>9</v>
      </c>
      <c r="AC5" s="5" t="s">
        <v>9</v>
      </c>
      <c r="AD5" s="5" t="s">
        <v>9</v>
      </c>
      <c r="AE5" s="6" t="s">
        <v>8</v>
      </c>
      <c r="AF5" s="6" t="s">
        <v>8</v>
      </c>
      <c r="AH5" s="6">
        <f>APR!AM5</f>
        <v>22</v>
      </c>
      <c r="AI5" s="15">
        <f t="shared" ref="AI5:AI11" si="9">COUNTIF(B5:AF5,"U")</f>
        <v>0</v>
      </c>
      <c r="AJ5" s="15">
        <f t="shared" si="8"/>
        <v>22</v>
      </c>
    </row>
    <row r="6" spans="1:36" ht="15" customHeight="1">
      <c r="A6" s="22" t="s">
        <v>12</v>
      </c>
      <c r="B6" s="23" t="s">
        <v>6</v>
      </c>
      <c r="C6" s="6" t="s">
        <v>8</v>
      </c>
      <c r="D6" s="6" t="s">
        <v>8</v>
      </c>
      <c r="E6" s="5" t="s">
        <v>9</v>
      </c>
      <c r="F6" s="5" t="s">
        <v>9</v>
      </c>
      <c r="G6" s="5" t="s">
        <v>9</v>
      </c>
      <c r="H6" s="5" t="s">
        <v>9</v>
      </c>
      <c r="I6" s="5" t="s">
        <v>9</v>
      </c>
      <c r="J6" s="6" t="s">
        <v>8</v>
      </c>
      <c r="K6" s="6" t="s">
        <v>8</v>
      </c>
      <c r="L6" s="5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6" t="s">
        <v>8</v>
      </c>
      <c r="R6" s="6" t="s">
        <v>8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6" t="s">
        <v>8</v>
      </c>
      <c r="Y6" s="6" t="s">
        <v>8</v>
      </c>
      <c r="Z6" s="5" t="s">
        <v>9</v>
      </c>
      <c r="AA6" s="5" t="s">
        <v>9</v>
      </c>
      <c r="AB6" s="5" t="s">
        <v>9</v>
      </c>
      <c r="AC6" s="5" t="s">
        <v>9</v>
      </c>
      <c r="AD6" s="5" t="s">
        <v>9</v>
      </c>
      <c r="AE6" s="6" t="s">
        <v>8</v>
      </c>
      <c r="AF6" s="6" t="s">
        <v>8</v>
      </c>
      <c r="AH6" s="6">
        <f>APR!AM6</f>
        <v>19</v>
      </c>
      <c r="AI6" s="15">
        <f t="shared" si="9"/>
        <v>0</v>
      </c>
      <c r="AJ6" s="15">
        <f t="shared" si="8"/>
        <v>19</v>
      </c>
    </row>
    <row r="7" spans="1:36" ht="15" customHeight="1">
      <c r="A7" s="22" t="s">
        <v>13</v>
      </c>
      <c r="B7" s="6" t="s">
        <v>8</v>
      </c>
      <c r="C7" s="6" t="s">
        <v>8</v>
      </c>
      <c r="D7" s="7" t="s">
        <v>14</v>
      </c>
      <c r="E7" s="7" t="s">
        <v>14</v>
      </c>
      <c r="F7" s="7" t="s">
        <v>14</v>
      </c>
      <c r="G7" s="7" t="s">
        <v>14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14</v>
      </c>
      <c r="Q7" s="7" t="s">
        <v>14</v>
      </c>
      <c r="R7" s="7" t="s">
        <v>14</v>
      </c>
      <c r="S7" s="7" t="s">
        <v>14</v>
      </c>
      <c r="T7" s="7" t="s">
        <v>14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14</v>
      </c>
      <c r="AD7" s="7" t="s">
        <v>14</v>
      </c>
      <c r="AE7" s="7" t="s">
        <v>14</v>
      </c>
      <c r="AF7" s="7" t="s">
        <v>14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16</v>
      </c>
      <c r="B8" s="6" t="s">
        <v>8</v>
      </c>
      <c r="C8" s="6" t="s">
        <v>8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11</v>
      </c>
      <c r="I8" s="6" t="s">
        <v>8</v>
      </c>
      <c r="J8" s="6" t="s">
        <v>8</v>
      </c>
      <c r="K8" s="7" t="s">
        <v>14</v>
      </c>
      <c r="L8" s="7" t="s">
        <v>14</v>
      </c>
      <c r="M8" s="7" t="s">
        <v>14</v>
      </c>
      <c r="N8" s="7" t="s">
        <v>14</v>
      </c>
      <c r="O8" s="6" t="s">
        <v>8</v>
      </c>
      <c r="P8" s="6" t="s">
        <v>8</v>
      </c>
      <c r="Q8" s="3" t="s">
        <v>11</v>
      </c>
      <c r="R8" s="3" t="s">
        <v>11</v>
      </c>
      <c r="S8" s="3" t="s">
        <v>11</v>
      </c>
      <c r="T8" s="3" t="s">
        <v>11</v>
      </c>
      <c r="U8" s="3" t="s">
        <v>11</v>
      </c>
      <c r="V8" s="6" t="s">
        <v>8</v>
      </c>
      <c r="W8" s="6" t="s">
        <v>8</v>
      </c>
      <c r="X8" s="7" t="s">
        <v>14</v>
      </c>
      <c r="Y8" s="7" t="s">
        <v>14</v>
      </c>
      <c r="Z8" s="7" t="s">
        <v>14</v>
      </c>
      <c r="AA8" s="7" t="s">
        <v>14</v>
      </c>
      <c r="AB8" s="6" t="s">
        <v>8</v>
      </c>
      <c r="AC8" s="6" t="s">
        <v>8</v>
      </c>
      <c r="AD8" s="3" t="s">
        <v>11</v>
      </c>
      <c r="AE8" s="3" t="s">
        <v>11</v>
      </c>
      <c r="AF8" s="3" t="s">
        <v>11</v>
      </c>
      <c r="AH8" s="6">
        <f>APR!AM8</f>
        <v>22</v>
      </c>
      <c r="AI8" s="15">
        <f t="shared" si="9"/>
        <v>0</v>
      </c>
      <c r="AJ8" s="15">
        <f t="shared" si="8"/>
        <v>22</v>
      </c>
    </row>
    <row r="9" spans="1:36" ht="15" customHeight="1">
      <c r="A9" s="22" t="s">
        <v>18</v>
      </c>
      <c r="B9" s="3" t="s">
        <v>11</v>
      </c>
      <c r="C9" s="3" t="s">
        <v>11</v>
      </c>
      <c r="D9" s="6" t="s">
        <v>8</v>
      </c>
      <c r="E9" s="6" t="s">
        <v>8</v>
      </c>
      <c r="F9" s="7" t="s">
        <v>14</v>
      </c>
      <c r="G9" s="7" t="s">
        <v>14</v>
      </c>
      <c r="H9" s="7" t="s">
        <v>14</v>
      </c>
      <c r="I9" s="7" t="s">
        <v>14</v>
      </c>
      <c r="J9" s="6" t="s">
        <v>8</v>
      </c>
      <c r="K9" s="6" t="s">
        <v>8</v>
      </c>
      <c r="L9" s="3" t="s">
        <v>11</v>
      </c>
      <c r="M9" s="3" t="s">
        <v>11</v>
      </c>
      <c r="N9" s="3" t="s">
        <v>11</v>
      </c>
      <c r="O9" s="3" t="s">
        <v>11</v>
      </c>
      <c r="P9" s="3" t="s">
        <v>11</v>
      </c>
      <c r="Q9" s="6" t="s">
        <v>8</v>
      </c>
      <c r="R9" s="6" t="s">
        <v>8</v>
      </c>
      <c r="S9" s="7" t="s">
        <v>14</v>
      </c>
      <c r="T9" s="7" t="s">
        <v>14</v>
      </c>
      <c r="U9" s="7" t="s">
        <v>14</v>
      </c>
      <c r="V9" s="7" t="s">
        <v>14</v>
      </c>
      <c r="W9" s="6" t="s">
        <v>8</v>
      </c>
      <c r="X9" s="6" t="s">
        <v>8</v>
      </c>
      <c r="Y9" s="3" t="s">
        <v>11</v>
      </c>
      <c r="Z9" s="3" t="s">
        <v>11</v>
      </c>
      <c r="AA9" s="3" t="s">
        <v>11</v>
      </c>
      <c r="AB9" s="3" t="s">
        <v>11</v>
      </c>
      <c r="AC9" s="6" t="s">
        <v>8</v>
      </c>
      <c r="AD9" s="6" t="s">
        <v>8</v>
      </c>
      <c r="AE9" s="7" t="s">
        <v>14</v>
      </c>
      <c r="AF9" s="7" t="s">
        <v>14</v>
      </c>
      <c r="AH9" s="6">
        <f>APR!AM9</f>
        <v>22</v>
      </c>
      <c r="AI9" s="15">
        <f t="shared" si="9"/>
        <v>0</v>
      </c>
      <c r="AJ9" s="15">
        <f t="shared" si="8"/>
        <v>22</v>
      </c>
    </row>
    <row r="10" spans="1:36" s="16" customFormat="1" ht="15" customHeight="1">
      <c r="A10" s="22" t="s">
        <v>19</v>
      </c>
      <c r="B10" s="23" t="s">
        <v>6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14</v>
      </c>
      <c r="I10" s="7" t="s">
        <v>14</v>
      </c>
      <c r="J10" s="7" t="s">
        <v>14</v>
      </c>
      <c r="K10" s="7" t="s">
        <v>14</v>
      </c>
      <c r="L10" s="7" t="s">
        <v>14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6" t="s">
        <v>8</v>
      </c>
      <c r="T10" s="6" t="s">
        <v>8</v>
      </c>
      <c r="U10" s="7" t="s">
        <v>14</v>
      </c>
      <c r="V10" s="7" t="s">
        <v>14</v>
      </c>
      <c r="W10" s="7" t="s">
        <v>14</v>
      </c>
      <c r="X10" s="7" t="s">
        <v>14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33" t="s">
        <v>59</v>
      </c>
      <c r="AF10" s="6" t="s">
        <v>8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20</v>
      </c>
      <c r="B11" s="7" t="s">
        <v>14</v>
      </c>
      <c r="C11" s="7" t="s">
        <v>14</v>
      </c>
      <c r="D11" s="7" t="s">
        <v>14</v>
      </c>
      <c r="E11" s="6" t="s">
        <v>8</v>
      </c>
      <c r="F11" s="6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6" t="s">
        <v>8</v>
      </c>
      <c r="L11" s="6" t="s">
        <v>8</v>
      </c>
      <c r="M11" s="7" t="s">
        <v>14</v>
      </c>
      <c r="N11" s="7" t="s">
        <v>14</v>
      </c>
      <c r="O11" s="7" t="s">
        <v>14</v>
      </c>
      <c r="P11" s="7" t="s">
        <v>14</v>
      </c>
      <c r="Q11" s="7" t="s">
        <v>14</v>
      </c>
      <c r="R11" s="6" t="s">
        <v>8</v>
      </c>
      <c r="S11" s="6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6" t="s">
        <v>8</v>
      </c>
      <c r="Y11" s="6" t="s">
        <v>8</v>
      </c>
      <c r="Z11" s="7" t="s">
        <v>14</v>
      </c>
      <c r="AA11" s="7" t="s">
        <v>14</v>
      </c>
      <c r="AB11" s="7" t="s">
        <v>14</v>
      </c>
      <c r="AC11" s="7" t="s">
        <v>14</v>
      </c>
      <c r="AD11" s="7" t="s">
        <v>14</v>
      </c>
      <c r="AE11" s="6" t="s">
        <v>8</v>
      </c>
      <c r="AF11" s="6" t="s">
        <v>8</v>
      </c>
      <c r="AH11" s="6">
        <f>APR!AM11</f>
        <v>22</v>
      </c>
      <c r="AI11" s="15">
        <f>COUNTIF(B11:AF11,"U")</f>
        <v>0</v>
      </c>
      <c r="AJ11" s="15">
        <f t="shared" si="8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22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K4" activePane="bottomRight" state="frozen"/>
      <selection pane="bottomRight" activeCell="Z31" sqref="Z31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35</v>
      </c>
      <c r="C4" s="5" t="s">
        <v>35</v>
      </c>
      <c r="D4" s="5" t="s">
        <v>35</v>
      </c>
      <c r="E4" s="23" t="s">
        <v>6</v>
      </c>
      <c r="F4" s="5" t="s">
        <v>35</v>
      </c>
      <c r="G4" s="14" t="s">
        <v>8</v>
      </c>
      <c r="H4" s="14" t="s">
        <v>8</v>
      </c>
      <c r="I4" s="5" t="s">
        <v>35</v>
      </c>
      <c r="J4" s="5" t="s">
        <v>35</v>
      </c>
      <c r="K4" s="23" t="s">
        <v>6</v>
      </c>
      <c r="L4" s="5" t="s">
        <v>35</v>
      </c>
      <c r="M4" s="5" t="s">
        <v>35</v>
      </c>
      <c r="N4" s="14" t="s">
        <v>8</v>
      </c>
      <c r="O4" s="14" t="s">
        <v>8</v>
      </c>
      <c r="P4" s="5" t="s">
        <v>35</v>
      </c>
      <c r="Q4" s="5" t="s">
        <v>35</v>
      </c>
      <c r="R4" s="5" t="s">
        <v>35</v>
      </c>
      <c r="S4" s="5" t="s">
        <v>35</v>
      </c>
      <c r="T4" s="5" t="s">
        <v>35</v>
      </c>
      <c r="U4" s="14" t="s">
        <v>8</v>
      </c>
      <c r="V4" s="14" t="s">
        <v>8</v>
      </c>
      <c r="W4" s="5" t="s">
        <v>35</v>
      </c>
      <c r="X4" s="5" t="s">
        <v>35</v>
      </c>
      <c r="Y4" s="23" t="s">
        <v>6</v>
      </c>
      <c r="Z4" s="5" t="s">
        <v>35</v>
      </c>
      <c r="AA4" s="5" t="s">
        <v>35</v>
      </c>
      <c r="AB4" s="14" t="s">
        <v>8</v>
      </c>
      <c r="AC4" s="14" t="s">
        <v>8</v>
      </c>
      <c r="AD4" s="5" t="s">
        <v>35</v>
      </c>
      <c r="AE4" s="5" t="s">
        <v>35</v>
      </c>
      <c r="AG4" s="6">
        <f>MAY!AJ4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10</v>
      </c>
      <c r="B5" s="5" t="s">
        <v>9</v>
      </c>
      <c r="C5" s="5" t="s">
        <v>9</v>
      </c>
      <c r="D5" s="5" t="s">
        <v>9</v>
      </c>
      <c r="E5" s="23" t="s">
        <v>6</v>
      </c>
      <c r="F5" s="5" t="s">
        <v>9</v>
      </c>
      <c r="G5" s="14" t="s">
        <v>8</v>
      </c>
      <c r="H5" s="14" t="s">
        <v>8</v>
      </c>
      <c r="I5" s="5" t="s">
        <v>9</v>
      </c>
      <c r="J5" s="5" t="s">
        <v>9</v>
      </c>
      <c r="K5" s="23" t="s">
        <v>6</v>
      </c>
      <c r="L5" s="5" t="s">
        <v>9</v>
      </c>
      <c r="M5" s="5" t="s">
        <v>9</v>
      </c>
      <c r="N5" s="14" t="s">
        <v>8</v>
      </c>
      <c r="O5" s="14" t="s">
        <v>8</v>
      </c>
      <c r="P5" s="5" t="s">
        <v>9</v>
      </c>
      <c r="Q5" s="5" t="s">
        <v>9</v>
      </c>
      <c r="R5" s="5" t="s">
        <v>9</v>
      </c>
      <c r="S5" s="5" t="s">
        <v>9</v>
      </c>
      <c r="T5" s="5" t="s">
        <v>9</v>
      </c>
      <c r="U5" s="14" t="s">
        <v>8</v>
      </c>
      <c r="V5" s="14" t="s">
        <v>8</v>
      </c>
      <c r="W5" s="5" t="s">
        <v>9</v>
      </c>
      <c r="X5" s="5" t="s">
        <v>9</v>
      </c>
      <c r="Y5" s="23" t="s">
        <v>6</v>
      </c>
      <c r="Z5" s="5" t="s">
        <v>9</v>
      </c>
      <c r="AA5" s="5" t="s">
        <v>9</v>
      </c>
      <c r="AB5" s="14" t="s">
        <v>8</v>
      </c>
      <c r="AC5" s="14" t="s">
        <v>8</v>
      </c>
      <c r="AD5" s="5" t="s">
        <v>9</v>
      </c>
      <c r="AE5" s="5" t="s">
        <v>9</v>
      </c>
      <c r="AG5" s="6">
        <f>MAY!AJ5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12</v>
      </c>
      <c r="B6" s="5" t="s">
        <v>9</v>
      </c>
      <c r="C6" s="5" t="s">
        <v>9</v>
      </c>
      <c r="D6" s="5" t="s">
        <v>9</v>
      </c>
      <c r="E6" s="23" t="s">
        <v>6</v>
      </c>
      <c r="F6" s="5" t="s">
        <v>9</v>
      </c>
      <c r="G6" s="14" t="s">
        <v>8</v>
      </c>
      <c r="H6" s="14" t="s">
        <v>8</v>
      </c>
      <c r="I6" s="5" t="s">
        <v>9</v>
      </c>
      <c r="J6" s="5" t="s">
        <v>9</v>
      </c>
      <c r="K6" s="23" t="s">
        <v>6</v>
      </c>
      <c r="L6" s="5" t="s">
        <v>9</v>
      </c>
      <c r="M6" s="5" t="s">
        <v>9</v>
      </c>
      <c r="N6" s="14" t="s">
        <v>8</v>
      </c>
      <c r="O6" s="14" t="s">
        <v>8</v>
      </c>
      <c r="P6" s="5" t="s">
        <v>9</v>
      </c>
      <c r="Q6" s="5" t="s">
        <v>9</v>
      </c>
      <c r="R6" s="5" t="s">
        <v>9</v>
      </c>
      <c r="S6" s="5" t="s">
        <v>9</v>
      </c>
      <c r="T6" s="5" t="s">
        <v>9</v>
      </c>
      <c r="U6" s="14" t="s">
        <v>8</v>
      </c>
      <c r="V6" s="14" t="s">
        <v>8</v>
      </c>
      <c r="W6" s="5" t="s">
        <v>9</v>
      </c>
      <c r="X6" s="5" t="s">
        <v>9</v>
      </c>
      <c r="Y6" s="23" t="s">
        <v>6</v>
      </c>
      <c r="Z6" s="5" t="s">
        <v>9</v>
      </c>
      <c r="AA6" s="5" t="s">
        <v>9</v>
      </c>
      <c r="AB6" s="14" t="s">
        <v>8</v>
      </c>
      <c r="AC6" s="14" t="s">
        <v>8</v>
      </c>
      <c r="AD6" s="5" t="s">
        <v>9</v>
      </c>
      <c r="AE6" s="5" t="s">
        <v>9</v>
      </c>
      <c r="AG6" s="6">
        <f>MAY!AJ6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13</v>
      </c>
      <c r="B7" s="14" t="s">
        <v>8</v>
      </c>
      <c r="C7" s="14" t="s">
        <v>8</v>
      </c>
      <c r="D7" s="7" t="s">
        <v>14</v>
      </c>
      <c r="E7" s="7" t="s">
        <v>14</v>
      </c>
      <c r="F7" s="7" t="s">
        <v>14</v>
      </c>
      <c r="G7" s="7" t="s">
        <v>14</v>
      </c>
      <c r="H7" s="14" t="s">
        <v>8</v>
      </c>
      <c r="I7" s="14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14" t="s">
        <v>8</v>
      </c>
      <c r="O7" s="14" t="s">
        <v>8</v>
      </c>
      <c r="P7" s="7" t="s">
        <v>14</v>
      </c>
      <c r="Q7" s="7" t="s">
        <v>14</v>
      </c>
      <c r="R7" s="7" t="s">
        <v>14</v>
      </c>
      <c r="S7" s="7" t="s">
        <v>14</v>
      </c>
      <c r="T7" s="7" t="s">
        <v>14</v>
      </c>
      <c r="U7" s="14" t="s">
        <v>8</v>
      </c>
      <c r="V7" s="14" t="s">
        <v>8</v>
      </c>
      <c r="W7" s="3" t="s">
        <v>11</v>
      </c>
      <c r="X7" s="3" t="s">
        <v>11</v>
      </c>
      <c r="Y7" s="23" t="s">
        <v>6</v>
      </c>
      <c r="Z7" s="3" t="s">
        <v>11</v>
      </c>
      <c r="AA7" s="14" t="s">
        <v>8</v>
      </c>
      <c r="AB7" s="14" t="s">
        <v>8</v>
      </c>
      <c r="AC7" s="7" t="s">
        <v>14</v>
      </c>
      <c r="AD7" s="7" t="s">
        <v>14</v>
      </c>
      <c r="AE7" s="7" t="s">
        <v>14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16</v>
      </c>
      <c r="B8" s="3" t="s">
        <v>11</v>
      </c>
      <c r="C8" s="14" t="s">
        <v>8</v>
      </c>
      <c r="D8" s="14" t="s">
        <v>8</v>
      </c>
      <c r="E8" s="23" t="s">
        <v>6</v>
      </c>
      <c r="F8" s="7" t="s">
        <v>14</v>
      </c>
      <c r="G8" s="7" t="s">
        <v>14</v>
      </c>
      <c r="H8" s="7" t="s">
        <v>14</v>
      </c>
      <c r="I8" s="14" t="s">
        <v>8</v>
      </c>
      <c r="J8" s="14" t="s">
        <v>8</v>
      </c>
      <c r="K8" s="23" t="s">
        <v>6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14</v>
      </c>
      <c r="R8" s="7" t="s">
        <v>14</v>
      </c>
      <c r="S8" s="7" t="s">
        <v>14</v>
      </c>
      <c r="T8" s="7" t="s">
        <v>14</v>
      </c>
      <c r="U8" s="7" t="s">
        <v>14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7" t="s">
        <v>14</v>
      </c>
      <c r="AE8" s="7" t="s">
        <v>14</v>
      </c>
      <c r="AG8" s="6">
        <f>MAY!AJ8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7" t="s">
        <v>14</v>
      </c>
      <c r="C9" s="7" t="s">
        <v>14</v>
      </c>
      <c r="D9" s="7" t="s">
        <v>14</v>
      </c>
      <c r="E9" s="14" t="s">
        <v>8</v>
      </c>
      <c r="F9" s="14" t="s">
        <v>8</v>
      </c>
      <c r="G9" s="3" t="s">
        <v>11</v>
      </c>
      <c r="H9" s="3" t="s">
        <v>11</v>
      </c>
      <c r="I9" s="3" t="s">
        <v>11</v>
      </c>
      <c r="J9" s="3" t="s">
        <v>11</v>
      </c>
      <c r="K9" s="14" t="s">
        <v>8</v>
      </c>
      <c r="L9" s="14" t="s">
        <v>8</v>
      </c>
      <c r="M9" s="7" t="s">
        <v>14</v>
      </c>
      <c r="N9" s="7" t="s">
        <v>14</v>
      </c>
      <c r="O9" s="7" t="s">
        <v>14</v>
      </c>
      <c r="P9" s="7" t="s">
        <v>14</v>
      </c>
      <c r="Q9" s="14" t="s">
        <v>8</v>
      </c>
      <c r="R9" s="14" t="s">
        <v>8</v>
      </c>
      <c r="S9" s="3" t="s">
        <v>11</v>
      </c>
      <c r="T9" s="3" t="s">
        <v>11</v>
      </c>
      <c r="U9" s="3" t="s">
        <v>11</v>
      </c>
      <c r="V9" s="3" t="s">
        <v>11</v>
      </c>
      <c r="W9" s="3" t="s">
        <v>11</v>
      </c>
      <c r="X9" s="14" t="s">
        <v>8</v>
      </c>
      <c r="Y9" s="14" t="s">
        <v>8</v>
      </c>
      <c r="Z9" s="7" t="s">
        <v>14</v>
      </c>
      <c r="AA9" s="7" t="s">
        <v>14</v>
      </c>
      <c r="AB9" s="7" t="s">
        <v>14</v>
      </c>
      <c r="AC9" s="7" t="s">
        <v>14</v>
      </c>
      <c r="AD9" s="14" t="s">
        <v>8</v>
      </c>
      <c r="AE9" s="14" t="s">
        <v>8</v>
      </c>
      <c r="AG9" s="6">
        <f>MAY!AJ9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14" t="s">
        <v>8</v>
      </c>
      <c r="C10" s="3" t="s">
        <v>11</v>
      </c>
      <c r="D10" s="3" t="s">
        <v>11</v>
      </c>
      <c r="E10" s="3" t="s">
        <v>11</v>
      </c>
      <c r="F10" s="3" t="s">
        <v>11</v>
      </c>
      <c r="G10" s="14" t="s">
        <v>8</v>
      </c>
      <c r="H10" s="14" t="s">
        <v>8</v>
      </c>
      <c r="I10" s="7" t="s">
        <v>14</v>
      </c>
      <c r="J10" s="7" t="s">
        <v>14</v>
      </c>
      <c r="K10" s="7" t="s">
        <v>14</v>
      </c>
      <c r="L10" s="7" t="s">
        <v>14</v>
      </c>
      <c r="M10" s="14" t="s">
        <v>8</v>
      </c>
      <c r="N10" s="14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3" t="s">
        <v>11</v>
      </c>
      <c r="T10" s="14" t="s">
        <v>8</v>
      </c>
      <c r="U10" s="14" t="s">
        <v>8</v>
      </c>
      <c r="V10" s="7" t="s">
        <v>14</v>
      </c>
      <c r="W10" s="7" t="s">
        <v>14</v>
      </c>
      <c r="X10" s="7" t="s">
        <v>14</v>
      </c>
      <c r="Y10" s="7" t="s">
        <v>14</v>
      </c>
      <c r="Z10" s="14" t="s">
        <v>8</v>
      </c>
      <c r="AA10" s="14" t="s">
        <v>8</v>
      </c>
      <c r="AB10" s="3" t="s">
        <v>11</v>
      </c>
      <c r="AC10" s="3" t="s">
        <v>11</v>
      </c>
      <c r="AD10" s="3" t="s">
        <v>11</v>
      </c>
      <c r="AE10" s="3" t="s">
        <v>11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3" t="s">
        <v>11</v>
      </c>
      <c r="C11" s="3" t="s">
        <v>11</v>
      </c>
      <c r="D11" s="3" t="s">
        <v>11</v>
      </c>
      <c r="E11" s="23" t="s">
        <v>6</v>
      </c>
      <c r="F11" s="14" t="s">
        <v>8</v>
      </c>
      <c r="G11" s="14" t="s">
        <v>8</v>
      </c>
      <c r="H11" s="7" t="s">
        <v>14</v>
      </c>
      <c r="I11" s="7" t="s">
        <v>14</v>
      </c>
      <c r="J11" s="7" t="s">
        <v>14</v>
      </c>
      <c r="K11" s="23" t="s">
        <v>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3" t="s">
        <v>11</v>
      </c>
      <c r="S11" s="14" t="s">
        <v>8</v>
      </c>
      <c r="T11" s="14" t="s">
        <v>8</v>
      </c>
      <c r="U11" s="7" t="s">
        <v>14</v>
      </c>
      <c r="V11" s="7" t="s">
        <v>14</v>
      </c>
      <c r="W11" s="7" t="s">
        <v>14</v>
      </c>
      <c r="X11" s="7" t="s">
        <v>14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G11" s="6">
        <f>MAY!AJ11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35</v>
      </c>
      <c r="C4" s="5" t="s">
        <v>35</v>
      </c>
      <c r="D4" s="5" t="s">
        <v>35</v>
      </c>
      <c r="E4" s="14" t="s">
        <v>8</v>
      </c>
      <c r="F4" s="14" t="s">
        <v>8</v>
      </c>
      <c r="G4" s="5" t="s">
        <v>35</v>
      </c>
      <c r="H4" s="5" t="s">
        <v>35</v>
      </c>
      <c r="I4" s="5" t="s">
        <v>35</v>
      </c>
      <c r="J4" s="5" t="s">
        <v>35</v>
      </c>
      <c r="K4" s="5" t="s">
        <v>35</v>
      </c>
      <c r="L4" s="14" t="s">
        <v>8</v>
      </c>
      <c r="M4" s="14" t="s">
        <v>8</v>
      </c>
      <c r="N4" s="5" t="s">
        <v>35</v>
      </c>
      <c r="O4" s="5" t="s">
        <v>35</v>
      </c>
      <c r="P4" s="5" t="s">
        <v>35</v>
      </c>
      <c r="Q4" s="5" t="s">
        <v>35</v>
      </c>
      <c r="R4" s="5" t="s">
        <v>35</v>
      </c>
      <c r="S4" s="14" t="s">
        <v>8</v>
      </c>
      <c r="T4" s="14" t="s">
        <v>8</v>
      </c>
      <c r="U4" s="5" t="s">
        <v>35</v>
      </c>
      <c r="V4" s="5" t="s">
        <v>35</v>
      </c>
      <c r="W4" s="5" t="s">
        <v>35</v>
      </c>
      <c r="X4" s="5" t="s">
        <v>35</v>
      </c>
      <c r="Y4" s="5" t="s">
        <v>35</v>
      </c>
      <c r="Z4" s="14" t="s">
        <v>8</v>
      </c>
      <c r="AA4" s="14" t="s">
        <v>8</v>
      </c>
      <c r="AB4" s="5" t="s">
        <v>35</v>
      </c>
      <c r="AC4" s="5" t="s">
        <v>35</v>
      </c>
      <c r="AD4" s="5" t="s">
        <v>35</v>
      </c>
      <c r="AE4" s="5" t="s">
        <v>35</v>
      </c>
      <c r="AF4" s="5" t="s">
        <v>35</v>
      </c>
      <c r="AH4" s="6">
        <f>JUN!AI4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10</v>
      </c>
      <c r="B5" s="5" t="s">
        <v>9</v>
      </c>
      <c r="C5" s="5" t="s">
        <v>9</v>
      </c>
      <c r="D5" s="5" t="s">
        <v>9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JUN!AI5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12</v>
      </c>
      <c r="B6" s="5" t="s">
        <v>9</v>
      </c>
      <c r="C6" s="5" t="s">
        <v>9</v>
      </c>
      <c r="D6" s="5" t="s">
        <v>9</v>
      </c>
      <c r="E6" s="14" t="s">
        <v>8</v>
      </c>
      <c r="F6" s="14" t="s">
        <v>8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4" t="s">
        <v>8</v>
      </c>
      <c r="M6" s="14" t="s">
        <v>8</v>
      </c>
      <c r="N6" s="5" t="s">
        <v>9</v>
      </c>
      <c r="O6" s="5" t="s">
        <v>9</v>
      </c>
      <c r="P6" s="5" t="s">
        <v>9</v>
      </c>
      <c r="Q6" s="5" t="s">
        <v>9</v>
      </c>
      <c r="R6" s="5" t="s">
        <v>9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JUN!AI6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13</v>
      </c>
      <c r="B7" s="7" t="s">
        <v>14</v>
      </c>
      <c r="C7" s="14" t="s">
        <v>8</v>
      </c>
      <c r="D7" s="14" t="s">
        <v>8</v>
      </c>
      <c r="E7" s="3" t="s">
        <v>11</v>
      </c>
      <c r="F7" s="3" t="s">
        <v>11</v>
      </c>
      <c r="G7" s="3" t="s">
        <v>11</v>
      </c>
      <c r="H7" s="3" t="s">
        <v>11</v>
      </c>
      <c r="I7" s="14" t="s">
        <v>8</v>
      </c>
      <c r="J7" s="14" t="s">
        <v>8</v>
      </c>
      <c r="K7" s="7" t="s">
        <v>14</v>
      </c>
      <c r="L7" s="7" t="s">
        <v>14</v>
      </c>
      <c r="M7" s="7" t="s">
        <v>14</v>
      </c>
      <c r="N7" s="7" t="s">
        <v>14</v>
      </c>
      <c r="O7" s="7" t="s">
        <v>14</v>
      </c>
      <c r="P7" s="14" t="s">
        <v>8</v>
      </c>
      <c r="Q7" s="14" t="s">
        <v>8</v>
      </c>
      <c r="R7" s="3" t="s">
        <v>11</v>
      </c>
      <c r="S7" s="3" t="s">
        <v>11</v>
      </c>
      <c r="T7" s="3" t="s">
        <v>11</v>
      </c>
      <c r="U7" s="3" t="s">
        <v>11</v>
      </c>
      <c r="V7" s="14" t="s">
        <v>8</v>
      </c>
      <c r="W7" s="14" t="s">
        <v>8</v>
      </c>
      <c r="X7" s="7" t="s">
        <v>14</v>
      </c>
      <c r="Y7" s="7" t="s">
        <v>14</v>
      </c>
      <c r="Z7" s="7" t="s">
        <v>14</v>
      </c>
      <c r="AA7" s="7" t="s">
        <v>14</v>
      </c>
      <c r="AB7" s="14" t="s">
        <v>8</v>
      </c>
      <c r="AC7" s="14" t="s">
        <v>8</v>
      </c>
      <c r="AD7" s="3" t="s">
        <v>11</v>
      </c>
      <c r="AE7" s="3" t="s">
        <v>11</v>
      </c>
      <c r="AF7" s="3" t="s">
        <v>11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16</v>
      </c>
      <c r="B8" s="7" t="s">
        <v>14</v>
      </c>
      <c r="C8" s="7" t="s">
        <v>14</v>
      </c>
      <c r="D8" s="7" t="s">
        <v>14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3" t="s">
        <v>11</v>
      </c>
      <c r="L8" s="14" t="s">
        <v>8</v>
      </c>
      <c r="M8" s="14" t="s">
        <v>8</v>
      </c>
      <c r="N8" s="7" t="s">
        <v>14</v>
      </c>
      <c r="O8" s="7" t="s">
        <v>14</v>
      </c>
      <c r="P8" s="7" t="s">
        <v>14</v>
      </c>
      <c r="Q8" s="7" t="s">
        <v>14</v>
      </c>
      <c r="R8" s="14" t="s">
        <v>8</v>
      </c>
      <c r="S8" s="14" t="s">
        <v>8</v>
      </c>
      <c r="T8" s="3" t="s">
        <v>11</v>
      </c>
      <c r="U8" s="3" t="s">
        <v>11</v>
      </c>
      <c r="V8" s="3" t="s">
        <v>11</v>
      </c>
      <c r="W8" s="3" t="s">
        <v>11</v>
      </c>
      <c r="X8" s="3" t="s">
        <v>11</v>
      </c>
      <c r="Y8" s="14" t="s">
        <v>8</v>
      </c>
      <c r="Z8" s="14" t="s">
        <v>8</v>
      </c>
      <c r="AA8" s="7" t="s">
        <v>14</v>
      </c>
      <c r="AB8" s="7" t="s">
        <v>14</v>
      </c>
      <c r="AC8" s="7" t="s">
        <v>14</v>
      </c>
      <c r="AD8" s="7" t="s">
        <v>14</v>
      </c>
      <c r="AE8" s="14" t="s">
        <v>8</v>
      </c>
      <c r="AF8" s="14" t="s">
        <v>8</v>
      </c>
      <c r="AH8" s="6">
        <f>JUN!AI8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14</v>
      </c>
      <c r="I9" s="7" t="s">
        <v>14</v>
      </c>
      <c r="J9" s="7" t="s">
        <v>14</v>
      </c>
      <c r="K9" s="7" t="s">
        <v>14</v>
      </c>
      <c r="L9" s="14" t="s">
        <v>8</v>
      </c>
      <c r="M9" s="14" t="s">
        <v>8</v>
      </c>
      <c r="N9" s="3" t="s">
        <v>11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14</v>
      </c>
      <c r="V9" s="7" t="s">
        <v>14</v>
      </c>
      <c r="W9" s="7" t="s">
        <v>14</v>
      </c>
      <c r="X9" s="7" t="s">
        <v>14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14" t="s">
        <v>8</v>
      </c>
      <c r="AF9" s="14" t="s">
        <v>8</v>
      </c>
      <c r="AH9" s="6">
        <f>JUN!AI9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14" t="s">
        <v>8</v>
      </c>
      <c r="C10" s="14" t="s">
        <v>8</v>
      </c>
      <c r="D10" s="7" t="s">
        <v>14</v>
      </c>
      <c r="E10" s="7" t="s">
        <v>14</v>
      </c>
      <c r="F10" s="7" t="s">
        <v>14</v>
      </c>
      <c r="G10" s="7" t="s">
        <v>14</v>
      </c>
      <c r="H10" s="7" t="s">
        <v>14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14" t="s">
        <v>8</v>
      </c>
      <c r="P10" s="14" t="s">
        <v>8</v>
      </c>
      <c r="Q10" s="7" t="s">
        <v>14</v>
      </c>
      <c r="R10" s="7" t="s">
        <v>14</v>
      </c>
      <c r="S10" s="7" t="s">
        <v>14</v>
      </c>
      <c r="T10" s="7" t="s">
        <v>14</v>
      </c>
      <c r="U10" s="14" t="s">
        <v>8</v>
      </c>
      <c r="V10" s="14" t="s">
        <v>8</v>
      </c>
      <c r="W10" s="3" t="s">
        <v>11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14</v>
      </c>
      <c r="AE10" s="7" t="s">
        <v>14</v>
      </c>
      <c r="AF10" s="7" t="s">
        <v>14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14" t="s">
        <v>8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14</v>
      </c>
      <c r="J11" s="7" t="s">
        <v>14</v>
      </c>
      <c r="K11" s="7" t="s">
        <v>14</v>
      </c>
      <c r="L11" s="7" t="s">
        <v>14</v>
      </c>
      <c r="M11" s="7" t="s">
        <v>14</v>
      </c>
      <c r="N11" s="14" t="s">
        <v>8</v>
      </c>
      <c r="O11" s="14" t="s">
        <v>8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14</v>
      </c>
      <c r="W11" s="7" t="s">
        <v>14</v>
      </c>
      <c r="X11" s="7" t="s">
        <v>14</v>
      </c>
      <c r="Y11" s="7" t="s">
        <v>14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3" t="s">
        <v>11</v>
      </c>
      <c r="AH11" s="6">
        <f>JUN!AI11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35</v>
      </c>
      <c r="E4" s="5" t="s">
        <v>35</v>
      </c>
      <c r="F4" s="5" t="s">
        <v>35</v>
      </c>
      <c r="G4" s="5" t="s">
        <v>35</v>
      </c>
      <c r="H4" s="5" t="s">
        <v>35</v>
      </c>
      <c r="I4" s="14" t="s">
        <v>8</v>
      </c>
      <c r="J4" s="14" t="s">
        <v>8</v>
      </c>
      <c r="K4" s="5" t="s">
        <v>35</v>
      </c>
      <c r="L4" s="5" t="s">
        <v>35</v>
      </c>
      <c r="M4" s="5" t="s">
        <v>35</v>
      </c>
      <c r="N4" s="5" t="s">
        <v>35</v>
      </c>
      <c r="O4" s="5" t="s">
        <v>35</v>
      </c>
      <c r="P4" s="14" t="s">
        <v>8</v>
      </c>
      <c r="Q4" s="14" t="s">
        <v>8</v>
      </c>
      <c r="R4" s="5" t="s">
        <v>35</v>
      </c>
      <c r="S4" s="5" t="s">
        <v>35</v>
      </c>
      <c r="T4" s="5" t="s">
        <v>35</v>
      </c>
      <c r="U4" s="5" t="s">
        <v>35</v>
      </c>
      <c r="V4" s="5" t="s">
        <v>35</v>
      </c>
      <c r="W4" s="14" t="s">
        <v>8</v>
      </c>
      <c r="X4" s="14" t="s">
        <v>8</v>
      </c>
      <c r="Y4" s="5" t="s">
        <v>35</v>
      </c>
      <c r="Z4" s="5" t="s">
        <v>35</v>
      </c>
      <c r="AA4" s="5" t="s">
        <v>35</v>
      </c>
      <c r="AB4" s="5" t="s">
        <v>35</v>
      </c>
      <c r="AC4" s="5" t="s">
        <v>35</v>
      </c>
      <c r="AD4" s="14" t="s">
        <v>8</v>
      </c>
      <c r="AE4" s="14" t="s">
        <v>8</v>
      </c>
      <c r="AF4" s="5" t="s">
        <v>35</v>
      </c>
      <c r="AH4" s="6">
        <f>JUL!AJ4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10</v>
      </c>
      <c r="B5" s="14" t="s">
        <v>8</v>
      </c>
      <c r="C5" s="14" t="s">
        <v>8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14" t="s">
        <v>8</v>
      </c>
      <c r="J5" s="14" t="s">
        <v>8</v>
      </c>
      <c r="K5" s="5" t="s">
        <v>9</v>
      </c>
      <c r="L5" s="5" t="s">
        <v>9</v>
      </c>
      <c r="M5" s="5" t="s">
        <v>9</v>
      </c>
      <c r="N5" s="5" t="s">
        <v>9</v>
      </c>
      <c r="O5" s="5" t="s">
        <v>9</v>
      </c>
      <c r="P5" s="14" t="s">
        <v>8</v>
      </c>
      <c r="Q5" s="14" t="s">
        <v>8</v>
      </c>
      <c r="R5" s="5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14" t="s">
        <v>8</v>
      </c>
      <c r="X5" s="14" t="s">
        <v>8</v>
      </c>
      <c r="Y5" s="5" t="s">
        <v>9</v>
      </c>
      <c r="Z5" s="5" t="s">
        <v>9</v>
      </c>
      <c r="AA5" s="5" t="s">
        <v>9</v>
      </c>
      <c r="AB5" s="5" t="s">
        <v>9</v>
      </c>
      <c r="AC5" s="5" t="s">
        <v>9</v>
      </c>
      <c r="AD5" s="14" t="s">
        <v>8</v>
      </c>
      <c r="AE5" s="14" t="s">
        <v>8</v>
      </c>
      <c r="AF5" s="5" t="s">
        <v>9</v>
      </c>
      <c r="AH5" s="6">
        <f>JUL!AJ5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12</v>
      </c>
      <c r="B6" s="14" t="s">
        <v>8</v>
      </c>
      <c r="C6" s="14" t="s">
        <v>8</v>
      </c>
      <c r="D6" s="5" t="s">
        <v>9</v>
      </c>
      <c r="E6" s="5" t="s">
        <v>9</v>
      </c>
      <c r="F6" s="5" t="s">
        <v>9</v>
      </c>
      <c r="G6" s="5" t="s">
        <v>9</v>
      </c>
      <c r="H6" s="5" t="s">
        <v>9</v>
      </c>
      <c r="I6" s="14" t="s">
        <v>8</v>
      </c>
      <c r="J6" s="14" t="s">
        <v>8</v>
      </c>
      <c r="K6" s="5" t="s">
        <v>9</v>
      </c>
      <c r="L6" s="5" t="s">
        <v>9</v>
      </c>
      <c r="M6" s="5" t="s">
        <v>9</v>
      </c>
      <c r="N6" s="5" t="s">
        <v>9</v>
      </c>
      <c r="O6" s="5" t="s">
        <v>9</v>
      </c>
      <c r="P6" s="14" t="s">
        <v>8</v>
      </c>
      <c r="Q6" s="14" t="s">
        <v>8</v>
      </c>
      <c r="R6" s="5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14" t="s">
        <v>8</v>
      </c>
      <c r="X6" s="14" t="s">
        <v>8</v>
      </c>
      <c r="Y6" s="5" t="s">
        <v>9</v>
      </c>
      <c r="Z6" s="5" t="s">
        <v>9</v>
      </c>
      <c r="AA6" s="5" t="s">
        <v>9</v>
      </c>
      <c r="AB6" s="5" t="s">
        <v>9</v>
      </c>
      <c r="AC6" s="5" t="s">
        <v>9</v>
      </c>
      <c r="AD6" s="14" t="s">
        <v>8</v>
      </c>
      <c r="AE6" s="14" t="s">
        <v>8</v>
      </c>
      <c r="AF6" s="5" t="s">
        <v>9</v>
      </c>
      <c r="AH6" s="6">
        <f>JUL!AJ6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13</v>
      </c>
      <c r="B7" s="3" t="s">
        <v>11</v>
      </c>
      <c r="C7" s="3" t="s">
        <v>11</v>
      </c>
      <c r="D7" s="14" t="s">
        <v>8</v>
      </c>
      <c r="E7" s="14" t="s">
        <v>8</v>
      </c>
      <c r="F7" s="7" t="s">
        <v>14</v>
      </c>
      <c r="G7" s="7" t="s">
        <v>14</v>
      </c>
      <c r="H7" s="7" t="s">
        <v>14</v>
      </c>
      <c r="I7" s="7" t="s">
        <v>14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14</v>
      </c>
      <c r="S7" s="7" t="s">
        <v>14</v>
      </c>
      <c r="T7" s="7" t="s">
        <v>14</v>
      </c>
      <c r="U7" s="7" t="s">
        <v>14</v>
      </c>
      <c r="V7" s="7" t="s">
        <v>14</v>
      </c>
      <c r="W7" s="14" t="s">
        <v>8</v>
      </c>
      <c r="X7" s="14" t="s">
        <v>8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14</v>
      </c>
      <c r="AF7" s="7" t="s">
        <v>14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16</v>
      </c>
      <c r="B8" s="3" t="s">
        <v>11</v>
      </c>
      <c r="C8" s="3" t="s">
        <v>11</v>
      </c>
      <c r="D8" s="3" t="s">
        <v>11</v>
      </c>
      <c r="E8" s="3" t="s">
        <v>11</v>
      </c>
      <c r="F8" s="14" t="s">
        <v>8</v>
      </c>
      <c r="G8" s="14" t="s">
        <v>8</v>
      </c>
      <c r="H8" s="7" t="s">
        <v>14</v>
      </c>
      <c r="I8" s="7" t="s">
        <v>14</v>
      </c>
      <c r="J8" s="7" t="s">
        <v>14</v>
      </c>
      <c r="K8" s="7" t="s">
        <v>14</v>
      </c>
      <c r="L8" s="7" t="s">
        <v>14</v>
      </c>
      <c r="M8" s="14" t="s">
        <v>8</v>
      </c>
      <c r="N8" s="14" t="s">
        <v>8</v>
      </c>
      <c r="O8" s="3" t="s">
        <v>11</v>
      </c>
      <c r="P8" s="3" t="s">
        <v>11</v>
      </c>
      <c r="Q8" s="3" t="s">
        <v>11</v>
      </c>
      <c r="R8" s="3" t="s">
        <v>11</v>
      </c>
      <c r="S8" s="14" t="s">
        <v>8</v>
      </c>
      <c r="T8" s="14" t="s">
        <v>8</v>
      </c>
      <c r="U8" s="7" t="s">
        <v>14</v>
      </c>
      <c r="V8" s="7" t="s">
        <v>14</v>
      </c>
      <c r="W8" s="7" t="s">
        <v>14</v>
      </c>
      <c r="X8" s="7" t="s">
        <v>14</v>
      </c>
      <c r="Y8" s="14" t="s">
        <v>8</v>
      </c>
      <c r="Z8" s="14" t="s">
        <v>8</v>
      </c>
      <c r="AA8" s="3" t="s">
        <v>11</v>
      </c>
      <c r="AB8" s="3" t="s">
        <v>11</v>
      </c>
      <c r="AC8" s="3" t="s">
        <v>11</v>
      </c>
      <c r="AD8" s="3" t="s">
        <v>11</v>
      </c>
      <c r="AE8" s="3" t="s">
        <v>11</v>
      </c>
      <c r="AF8" s="14" t="s">
        <v>8</v>
      </c>
      <c r="AH8" s="6">
        <f>JUL!AJ8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7" t="s">
        <v>14</v>
      </c>
      <c r="C9" s="7" t="s">
        <v>14</v>
      </c>
      <c r="D9" s="7" t="s">
        <v>14</v>
      </c>
      <c r="E9" s="7" t="s">
        <v>14</v>
      </c>
      <c r="F9" s="14" t="s">
        <v>8</v>
      </c>
      <c r="G9" s="14" t="s">
        <v>8</v>
      </c>
      <c r="H9" s="3" t="s">
        <v>11</v>
      </c>
      <c r="I9" s="3" t="s">
        <v>11</v>
      </c>
      <c r="J9" s="3" t="s">
        <v>11</v>
      </c>
      <c r="K9" s="3" t="s">
        <v>11</v>
      </c>
      <c r="L9" s="14" t="s">
        <v>8</v>
      </c>
      <c r="M9" s="14" t="s">
        <v>8</v>
      </c>
      <c r="N9" s="7" t="s">
        <v>14</v>
      </c>
      <c r="O9" s="7" t="s">
        <v>14</v>
      </c>
      <c r="P9" s="7" t="s">
        <v>14</v>
      </c>
      <c r="Q9" s="7" t="s">
        <v>14</v>
      </c>
      <c r="R9" s="14" t="s">
        <v>8</v>
      </c>
      <c r="S9" s="14" t="s">
        <v>8</v>
      </c>
      <c r="T9" s="3" t="s">
        <v>11</v>
      </c>
      <c r="U9" s="3" t="s">
        <v>11</v>
      </c>
      <c r="V9" s="3" t="s">
        <v>11</v>
      </c>
      <c r="W9" s="3" t="s">
        <v>11</v>
      </c>
      <c r="X9" s="3" t="s">
        <v>11</v>
      </c>
      <c r="Y9" s="14" t="s">
        <v>8</v>
      </c>
      <c r="Z9" s="14" t="s">
        <v>8</v>
      </c>
      <c r="AA9" s="7" t="s">
        <v>14</v>
      </c>
      <c r="AB9" s="7" t="s">
        <v>14</v>
      </c>
      <c r="AC9" s="7" t="s">
        <v>14</v>
      </c>
      <c r="AD9" s="7" t="s">
        <v>14</v>
      </c>
      <c r="AE9" s="14" t="s">
        <v>8</v>
      </c>
      <c r="AF9" s="14" t="s">
        <v>8</v>
      </c>
      <c r="AH9" s="6">
        <f>JUL!AJ9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7" t="s">
        <v>14</v>
      </c>
      <c r="C10" s="14" t="s">
        <v>8</v>
      </c>
      <c r="D10" s="14" t="s">
        <v>8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7" t="s">
        <v>14</v>
      </c>
      <c r="L10" s="7" t="s">
        <v>14</v>
      </c>
      <c r="M10" s="7" t="s">
        <v>14</v>
      </c>
      <c r="N10" s="7" t="s">
        <v>14</v>
      </c>
      <c r="O10" s="7" t="s">
        <v>14</v>
      </c>
      <c r="P10" s="14" t="s">
        <v>8</v>
      </c>
      <c r="Q10" s="14" t="s">
        <v>8</v>
      </c>
      <c r="R10" s="3" t="s">
        <v>11</v>
      </c>
      <c r="S10" s="3" t="s">
        <v>11</v>
      </c>
      <c r="T10" s="3" t="s">
        <v>11</v>
      </c>
      <c r="U10" s="3" t="s">
        <v>11</v>
      </c>
      <c r="V10" s="14" t="s">
        <v>8</v>
      </c>
      <c r="W10" s="14" t="s">
        <v>8</v>
      </c>
      <c r="X10" s="7" t="s">
        <v>14</v>
      </c>
      <c r="Y10" s="7" t="s">
        <v>14</v>
      </c>
      <c r="Z10" s="7" t="s">
        <v>14</v>
      </c>
      <c r="AA10" s="7" t="s">
        <v>14</v>
      </c>
      <c r="AB10" s="14" t="s">
        <v>8</v>
      </c>
      <c r="AC10" s="14" t="s">
        <v>8</v>
      </c>
      <c r="AD10" s="3" t="s">
        <v>11</v>
      </c>
      <c r="AE10" s="3" t="s">
        <v>11</v>
      </c>
      <c r="AF10" s="3" t="s">
        <v>11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14" t="s">
        <v>8</v>
      </c>
      <c r="C11" s="14" t="s">
        <v>8</v>
      </c>
      <c r="D11" s="7" t="s">
        <v>14</v>
      </c>
      <c r="E11" s="7" t="s">
        <v>14</v>
      </c>
      <c r="F11" s="7" t="s">
        <v>14</v>
      </c>
      <c r="G11" s="7" t="s">
        <v>14</v>
      </c>
      <c r="H11" s="14" t="s">
        <v>8</v>
      </c>
      <c r="I11" s="14" t="s">
        <v>8</v>
      </c>
      <c r="J11" s="3" t="s">
        <v>11</v>
      </c>
      <c r="K11" s="3" t="s">
        <v>11</v>
      </c>
      <c r="L11" s="3" t="s">
        <v>11</v>
      </c>
      <c r="M11" s="3" t="s">
        <v>11</v>
      </c>
      <c r="N11" s="3" t="s">
        <v>11</v>
      </c>
      <c r="O11" s="14" t="s">
        <v>8</v>
      </c>
      <c r="P11" s="14" t="s">
        <v>8</v>
      </c>
      <c r="Q11" s="7" t="s">
        <v>14</v>
      </c>
      <c r="R11" s="7" t="s">
        <v>14</v>
      </c>
      <c r="S11" s="7" t="s">
        <v>14</v>
      </c>
      <c r="T11" s="7" t="s">
        <v>14</v>
      </c>
      <c r="U11" s="14" t="s">
        <v>8</v>
      </c>
      <c r="V11" s="14" t="s">
        <v>8</v>
      </c>
      <c r="W11" s="3" t="s">
        <v>11</v>
      </c>
      <c r="X11" s="3" t="s">
        <v>11</v>
      </c>
      <c r="Y11" s="3" t="s">
        <v>11</v>
      </c>
      <c r="Z11" s="3" t="s">
        <v>11</v>
      </c>
      <c r="AA11" s="14" t="s">
        <v>8</v>
      </c>
      <c r="AB11" s="14" t="s">
        <v>8</v>
      </c>
      <c r="AC11" s="7" t="s">
        <v>14</v>
      </c>
      <c r="AD11" s="7" t="s">
        <v>14</v>
      </c>
      <c r="AE11" s="7" t="s">
        <v>14</v>
      </c>
      <c r="AF11" s="7" t="s">
        <v>14</v>
      </c>
      <c r="AH11" s="6">
        <f>JUL!AJ11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B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35</v>
      </c>
      <c r="C4" s="5" t="s">
        <v>35</v>
      </c>
      <c r="D4" s="5" t="s">
        <v>35</v>
      </c>
      <c r="E4" s="5" t="s">
        <v>35</v>
      </c>
      <c r="F4" s="14" t="s">
        <v>8</v>
      </c>
      <c r="G4" s="14" t="s">
        <v>8</v>
      </c>
      <c r="H4" s="5" t="s">
        <v>35</v>
      </c>
      <c r="I4" s="5" t="s">
        <v>35</v>
      </c>
      <c r="J4" s="5" t="s">
        <v>35</v>
      </c>
      <c r="K4" s="5" t="s">
        <v>35</v>
      </c>
      <c r="L4" s="5" t="s">
        <v>35</v>
      </c>
      <c r="M4" s="14" t="s">
        <v>8</v>
      </c>
      <c r="N4" s="14" t="s">
        <v>8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14" t="s">
        <v>8</v>
      </c>
      <c r="U4" s="14" t="s">
        <v>8</v>
      </c>
      <c r="V4" s="5" t="s">
        <v>35</v>
      </c>
      <c r="W4" s="5" t="s">
        <v>35</v>
      </c>
      <c r="X4" s="5" t="s">
        <v>35</v>
      </c>
      <c r="Y4" s="5" t="s">
        <v>35</v>
      </c>
      <c r="Z4" s="5" t="s">
        <v>35</v>
      </c>
      <c r="AA4" s="14" t="s">
        <v>8</v>
      </c>
      <c r="AB4" s="14" t="s">
        <v>8</v>
      </c>
      <c r="AC4" s="5" t="s">
        <v>35</v>
      </c>
      <c r="AD4" s="5" t="s">
        <v>35</v>
      </c>
      <c r="AE4" s="5" t="s">
        <v>35</v>
      </c>
      <c r="AG4" s="6">
        <f>AUG!AJ4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10</v>
      </c>
      <c r="B5" s="5" t="s">
        <v>9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5" t="s">
        <v>9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33" t="s">
        <v>17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5" t="s">
        <v>9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G5" s="6">
        <f>AUG!AJ5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12</v>
      </c>
      <c r="B6" s="5" t="s">
        <v>9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5" t="s">
        <v>9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5" t="s">
        <v>9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G6" s="6">
        <f>AUG!AJ6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13</v>
      </c>
      <c r="B7" s="7" t="s">
        <v>14</v>
      </c>
      <c r="C7" s="7" t="s">
        <v>14</v>
      </c>
      <c r="D7" s="14" t="s">
        <v>8</v>
      </c>
      <c r="E7" s="14" t="s">
        <v>8</v>
      </c>
      <c r="F7" s="7" t="s">
        <v>14</v>
      </c>
      <c r="G7" s="7" t="s">
        <v>14</v>
      </c>
      <c r="H7" s="7" t="s">
        <v>14</v>
      </c>
      <c r="I7" s="7" t="s">
        <v>14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14</v>
      </c>
      <c r="S7" s="7" t="s">
        <v>14</v>
      </c>
      <c r="T7" s="7" t="s">
        <v>14</v>
      </c>
      <c r="U7" s="7" t="s">
        <v>14</v>
      </c>
      <c r="V7" s="14" t="s">
        <v>8</v>
      </c>
      <c r="W7" s="14" t="s">
        <v>8</v>
      </c>
      <c r="X7" s="3" t="s">
        <v>11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14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16</v>
      </c>
      <c r="B8" s="14" t="s">
        <v>8</v>
      </c>
      <c r="C8" s="7" t="s">
        <v>14</v>
      </c>
      <c r="D8" s="7" t="s">
        <v>14</v>
      </c>
      <c r="E8" s="7" t="s">
        <v>14</v>
      </c>
      <c r="F8" s="7" t="s">
        <v>14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14</v>
      </c>
      <c r="Q8" s="7" t="s">
        <v>14</v>
      </c>
      <c r="R8" s="7" t="s">
        <v>14</v>
      </c>
      <c r="S8" s="7" t="s">
        <v>14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3" t="s">
        <v>11</v>
      </c>
      <c r="AA8" s="14" t="s">
        <v>8</v>
      </c>
      <c r="AB8" s="14" t="s">
        <v>8</v>
      </c>
      <c r="AC8" s="7" t="s">
        <v>14</v>
      </c>
      <c r="AD8" s="7" t="s">
        <v>14</v>
      </c>
      <c r="AE8" s="7" t="s">
        <v>14</v>
      </c>
      <c r="AG8" s="6">
        <f>AUG!AJ8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14</v>
      </c>
      <c r="I9" s="7" t="s">
        <v>14</v>
      </c>
      <c r="J9" s="7" t="s">
        <v>14</v>
      </c>
      <c r="K9" s="7" t="s">
        <v>14</v>
      </c>
      <c r="L9" s="7" t="s">
        <v>14</v>
      </c>
      <c r="M9" s="14" t="s">
        <v>8</v>
      </c>
      <c r="N9" s="14" t="s">
        <v>8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14</v>
      </c>
      <c r="V9" s="7" t="s">
        <v>14</v>
      </c>
      <c r="W9" s="7" t="s">
        <v>14</v>
      </c>
      <c r="X9" s="7" t="s">
        <v>14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3" t="s">
        <v>11</v>
      </c>
      <c r="AG9" s="6">
        <f>AUG!AJ9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3" t="s">
        <v>11</v>
      </c>
      <c r="C10" s="3" t="s">
        <v>11</v>
      </c>
      <c r="D10" s="14" t="s">
        <v>8</v>
      </c>
      <c r="E10" s="14" t="s">
        <v>8</v>
      </c>
      <c r="F10" s="3" t="s">
        <v>11</v>
      </c>
      <c r="G10" s="3" t="s">
        <v>11</v>
      </c>
      <c r="H10" s="3" t="s">
        <v>11</v>
      </c>
      <c r="I10" s="3" t="s">
        <v>11</v>
      </c>
      <c r="J10" s="14" t="s">
        <v>8</v>
      </c>
      <c r="K10" s="14" t="s">
        <v>8</v>
      </c>
      <c r="L10" s="7" t="s">
        <v>14</v>
      </c>
      <c r="M10" s="7" t="s">
        <v>14</v>
      </c>
      <c r="N10" s="7" t="s">
        <v>14</v>
      </c>
      <c r="O10" s="7" t="s">
        <v>14</v>
      </c>
      <c r="P10" s="7" t="s">
        <v>14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14" t="s">
        <v>8</v>
      </c>
      <c r="X10" s="14" t="s">
        <v>8</v>
      </c>
      <c r="Y10" s="7" t="s">
        <v>14</v>
      </c>
      <c r="Z10" s="7" t="s">
        <v>14</v>
      </c>
      <c r="AA10" s="7" t="s">
        <v>14</v>
      </c>
      <c r="AB10" s="7" t="s">
        <v>14</v>
      </c>
      <c r="AC10" s="7" t="s">
        <v>14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14" t="s">
        <v>8</v>
      </c>
      <c r="C11" s="14" t="s">
        <v>8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14</v>
      </c>
      <c r="L11" s="7" t="s">
        <v>14</v>
      </c>
      <c r="M11" s="7" t="s">
        <v>14</v>
      </c>
      <c r="N11" s="7" t="s">
        <v>14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14" t="s">
        <v>8</v>
      </c>
      <c r="V11" s="14" t="s">
        <v>8</v>
      </c>
      <c r="W11" s="7" t="s">
        <v>14</v>
      </c>
      <c r="X11" s="7" t="s">
        <v>14</v>
      </c>
      <c r="Y11" s="7" t="s">
        <v>14</v>
      </c>
      <c r="Z11" s="7" t="s">
        <v>14</v>
      </c>
      <c r="AA11" s="7" t="s">
        <v>14</v>
      </c>
      <c r="AB11" s="14" t="s">
        <v>8</v>
      </c>
      <c r="AC11" s="14" t="s">
        <v>8</v>
      </c>
      <c r="AD11" s="3" t="s">
        <v>11</v>
      </c>
      <c r="AE11" s="3" t="s">
        <v>11</v>
      </c>
      <c r="AG11" s="6">
        <f>AUG!AJ11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35</v>
      </c>
      <c r="C4" s="5" t="s">
        <v>35</v>
      </c>
      <c r="D4" s="14" t="s">
        <v>8</v>
      </c>
      <c r="E4" s="14" t="s">
        <v>8</v>
      </c>
      <c r="F4" s="23" t="s">
        <v>6</v>
      </c>
      <c r="G4" s="5" t="s">
        <v>35</v>
      </c>
      <c r="H4" s="5" t="s">
        <v>35</v>
      </c>
      <c r="I4" s="5" t="s">
        <v>35</v>
      </c>
      <c r="J4" s="5" t="s">
        <v>35</v>
      </c>
      <c r="K4" s="14" t="s">
        <v>8</v>
      </c>
      <c r="L4" s="14" t="s">
        <v>8</v>
      </c>
      <c r="M4" s="5" t="s">
        <v>35</v>
      </c>
      <c r="N4" s="5" t="s">
        <v>35</v>
      </c>
      <c r="O4" s="5" t="s">
        <v>35</v>
      </c>
      <c r="P4" s="5" t="s">
        <v>35</v>
      </c>
      <c r="Q4" s="5" t="s">
        <v>35</v>
      </c>
      <c r="R4" s="14" t="s">
        <v>8</v>
      </c>
      <c r="S4" s="14" t="s">
        <v>8</v>
      </c>
      <c r="T4" s="5" t="s">
        <v>35</v>
      </c>
      <c r="U4" s="5" t="s">
        <v>35</v>
      </c>
      <c r="V4" s="5" t="s">
        <v>35</v>
      </c>
      <c r="W4" s="5" t="s">
        <v>35</v>
      </c>
      <c r="X4" s="5" t="s">
        <v>35</v>
      </c>
      <c r="Y4" s="14" t="s">
        <v>8</v>
      </c>
      <c r="Z4" s="14" t="s">
        <v>8</v>
      </c>
      <c r="AA4" s="5" t="s">
        <v>35</v>
      </c>
      <c r="AB4" s="5" t="s">
        <v>35</v>
      </c>
      <c r="AC4" s="5" t="s">
        <v>35</v>
      </c>
      <c r="AD4" s="5" t="s">
        <v>35</v>
      </c>
      <c r="AE4" s="5" t="s">
        <v>35</v>
      </c>
      <c r="AF4" s="14" t="s">
        <v>8</v>
      </c>
      <c r="AH4" s="6">
        <f>SEP!AI4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10</v>
      </c>
      <c r="B5" s="5" t="s">
        <v>9</v>
      </c>
      <c r="C5" s="5" t="s">
        <v>9</v>
      </c>
      <c r="D5" s="14" t="s">
        <v>8</v>
      </c>
      <c r="E5" s="14" t="s">
        <v>8</v>
      </c>
      <c r="F5" s="23" t="s">
        <v>6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6">
        <f>SEP!AI5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12</v>
      </c>
      <c r="B6" s="5" t="s">
        <v>9</v>
      </c>
      <c r="C6" s="5" t="s">
        <v>9</v>
      </c>
      <c r="D6" s="14" t="s">
        <v>8</v>
      </c>
      <c r="E6" s="14" t="s">
        <v>8</v>
      </c>
      <c r="F6" s="23" t="s">
        <v>6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6">
        <f>SEP!AI6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13</v>
      </c>
      <c r="B7" s="7" t="s">
        <v>14</v>
      </c>
      <c r="C7" s="7" t="s">
        <v>14</v>
      </c>
      <c r="D7" s="7" t="s">
        <v>14</v>
      </c>
      <c r="E7" s="14" t="s">
        <v>8</v>
      </c>
      <c r="F7" s="14" t="s">
        <v>8</v>
      </c>
      <c r="G7" s="3" t="s">
        <v>11</v>
      </c>
      <c r="H7" s="3" t="s">
        <v>11</v>
      </c>
      <c r="I7" s="3" t="s">
        <v>11</v>
      </c>
      <c r="J7" s="3" t="s">
        <v>11</v>
      </c>
      <c r="K7" s="14" t="s">
        <v>8</v>
      </c>
      <c r="L7" s="14" t="s">
        <v>8</v>
      </c>
      <c r="M7" s="7" t="s">
        <v>14</v>
      </c>
      <c r="N7" s="7" t="s">
        <v>14</v>
      </c>
      <c r="O7" s="7" t="s">
        <v>14</v>
      </c>
      <c r="P7" s="7" t="s">
        <v>14</v>
      </c>
      <c r="Q7" s="7" t="s">
        <v>14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14" t="s">
        <v>8</v>
      </c>
      <c r="Y7" s="14" t="s">
        <v>8</v>
      </c>
      <c r="Z7" s="7" t="s">
        <v>14</v>
      </c>
      <c r="AA7" s="7" t="s">
        <v>14</v>
      </c>
      <c r="AB7" s="7" t="s">
        <v>14</v>
      </c>
      <c r="AC7" s="7" t="s">
        <v>14</v>
      </c>
      <c r="AD7" s="14" t="s">
        <v>8</v>
      </c>
      <c r="AE7" s="14" t="s">
        <v>8</v>
      </c>
      <c r="AF7" s="3" t="s">
        <v>11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16</v>
      </c>
      <c r="B8" s="7" t="s">
        <v>14</v>
      </c>
      <c r="C8" s="14" t="s">
        <v>8</v>
      </c>
      <c r="D8" s="14" t="s">
        <v>8</v>
      </c>
      <c r="E8" s="3" t="s">
        <v>11</v>
      </c>
      <c r="F8" s="3" t="s">
        <v>11</v>
      </c>
      <c r="G8" s="3" t="s">
        <v>11</v>
      </c>
      <c r="H8" s="3" t="s">
        <v>11</v>
      </c>
      <c r="I8" s="3" t="s">
        <v>11</v>
      </c>
      <c r="J8" s="14" t="s">
        <v>8</v>
      </c>
      <c r="K8" s="14" t="s">
        <v>8</v>
      </c>
      <c r="L8" s="7" t="s">
        <v>14</v>
      </c>
      <c r="M8" s="7" t="s">
        <v>14</v>
      </c>
      <c r="N8" s="7" t="s">
        <v>14</v>
      </c>
      <c r="O8" s="7" t="s">
        <v>14</v>
      </c>
      <c r="P8" s="14" t="s">
        <v>8</v>
      </c>
      <c r="Q8" s="14" t="s">
        <v>8</v>
      </c>
      <c r="R8" s="3" t="s">
        <v>11</v>
      </c>
      <c r="S8" s="3" t="s">
        <v>11</v>
      </c>
      <c r="T8" s="3" t="s">
        <v>11</v>
      </c>
      <c r="U8" s="3" t="s">
        <v>11</v>
      </c>
      <c r="V8" s="14" t="s">
        <v>8</v>
      </c>
      <c r="W8" s="14" t="s">
        <v>8</v>
      </c>
      <c r="X8" s="7" t="s">
        <v>14</v>
      </c>
      <c r="Y8" s="7" t="s">
        <v>14</v>
      </c>
      <c r="Z8" s="7" t="s">
        <v>14</v>
      </c>
      <c r="AA8" s="7" t="s">
        <v>14</v>
      </c>
      <c r="AB8" s="14" t="s">
        <v>8</v>
      </c>
      <c r="AC8" s="14" t="s">
        <v>8</v>
      </c>
      <c r="AD8" s="3" t="s">
        <v>11</v>
      </c>
      <c r="AE8" s="3" t="s">
        <v>11</v>
      </c>
      <c r="AF8" s="3" t="s">
        <v>11</v>
      </c>
      <c r="AH8" s="6">
        <f>SEP!AI8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14" t="s">
        <v>8</v>
      </c>
      <c r="C9" s="14" t="s">
        <v>8</v>
      </c>
      <c r="D9" s="7" t="s">
        <v>14</v>
      </c>
      <c r="E9" s="7" t="s">
        <v>14</v>
      </c>
      <c r="F9" s="23" t="s">
        <v>6</v>
      </c>
      <c r="G9" s="7" t="s">
        <v>14</v>
      </c>
      <c r="H9" s="14" t="s">
        <v>8</v>
      </c>
      <c r="I9" s="14" t="s">
        <v>8</v>
      </c>
      <c r="J9" s="3" t="s">
        <v>11</v>
      </c>
      <c r="K9" s="3" t="s">
        <v>11</v>
      </c>
      <c r="L9" s="3" t="s">
        <v>11</v>
      </c>
      <c r="M9" s="3" t="s">
        <v>11</v>
      </c>
      <c r="N9" s="14" t="s">
        <v>8</v>
      </c>
      <c r="O9" s="14" t="s">
        <v>8</v>
      </c>
      <c r="P9" s="7" t="s">
        <v>14</v>
      </c>
      <c r="Q9" s="33" t="s">
        <v>17</v>
      </c>
      <c r="R9" s="7" t="s">
        <v>14</v>
      </c>
      <c r="S9" s="7" t="s">
        <v>14</v>
      </c>
      <c r="T9" s="7" t="s">
        <v>14</v>
      </c>
      <c r="U9" s="14" t="s">
        <v>8</v>
      </c>
      <c r="V9" s="14" t="s">
        <v>8</v>
      </c>
      <c r="W9" s="3" t="s">
        <v>11</v>
      </c>
      <c r="X9" s="3" t="s">
        <v>11</v>
      </c>
      <c r="Y9" s="3" t="s">
        <v>11</v>
      </c>
      <c r="Z9" s="3" t="s">
        <v>11</v>
      </c>
      <c r="AA9" s="14" t="s">
        <v>8</v>
      </c>
      <c r="AB9" s="14" t="s">
        <v>8</v>
      </c>
      <c r="AC9" s="7" t="s">
        <v>14</v>
      </c>
      <c r="AD9" s="7" t="s">
        <v>14</v>
      </c>
      <c r="AE9" s="7" t="s">
        <v>14</v>
      </c>
      <c r="AF9" s="7" t="s">
        <v>14</v>
      </c>
      <c r="AH9" s="6">
        <f>SEP!AI9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3" t="s">
        <v>11</v>
      </c>
      <c r="C10" s="3" t="s">
        <v>11</v>
      </c>
      <c r="D10" s="3" t="s">
        <v>11</v>
      </c>
      <c r="E10" s="3" t="s">
        <v>11</v>
      </c>
      <c r="F10" s="14" t="s">
        <v>8</v>
      </c>
      <c r="G10" s="14" t="s">
        <v>8</v>
      </c>
      <c r="H10" s="7" t="s">
        <v>14</v>
      </c>
      <c r="I10" s="7" t="s">
        <v>14</v>
      </c>
      <c r="J10" s="7" t="s">
        <v>14</v>
      </c>
      <c r="K10" s="7" t="s">
        <v>14</v>
      </c>
      <c r="L10" s="14" t="s">
        <v>8</v>
      </c>
      <c r="M10" s="14" t="s">
        <v>8</v>
      </c>
      <c r="N10" s="3" t="s">
        <v>11</v>
      </c>
      <c r="O10" s="3" t="s">
        <v>11</v>
      </c>
      <c r="P10" s="3" t="s">
        <v>11</v>
      </c>
      <c r="Q10" s="3" t="s">
        <v>11</v>
      </c>
      <c r="R10" s="3" t="s">
        <v>11</v>
      </c>
      <c r="S10" s="14" t="s">
        <v>8</v>
      </c>
      <c r="T10" s="14" t="s">
        <v>8</v>
      </c>
      <c r="U10" s="7" t="s">
        <v>14</v>
      </c>
      <c r="V10" s="7" t="s">
        <v>14</v>
      </c>
      <c r="W10" s="7" t="s">
        <v>14</v>
      </c>
      <c r="X10" s="7" t="s">
        <v>14</v>
      </c>
      <c r="Y10" s="14" t="s">
        <v>8</v>
      </c>
      <c r="Z10" s="14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3" t="s">
        <v>11</v>
      </c>
      <c r="C11" s="3" t="s">
        <v>11</v>
      </c>
      <c r="D11" s="14" t="s">
        <v>8</v>
      </c>
      <c r="E11" s="14" t="s">
        <v>8</v>
      </c>
      <c r="F11" s="7" t="s">
        <v>14</v>
      </c>
      <c r="G11" s="7" t="s">
        <v>14</v>
      </c>
      <c r="H11" s="7" t="s">
        <v>14</v>
      </c>
      <c r="I11" s="7" t="s">
        <v>14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3" t="s">
        <v>11</v>
      </c>
      <c r="Q11" s="14" t="s">
        <v>8</v>
      </c>
      <c r="R11" s="14" t="s">
        <v>8</v>
      </c>
      <c r="S11" s="7" t="s">
        <v>14</v>
      </c>
      <c r="T11" s="7" t="s">
        <v>14</v>
      </c>
      <c r="U11" s="7" t="s">
        <v>14</v>
      </c>
      <c r="V11" s="7" t="s">
        <v>14</v>
      </c>
      <c r="W11" s="14" t="s">
        <v>8</v>
      </c>
      <c r="X11" s="14" t="s">
        <v>8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14</v>
      </c>
      <c r="AF11" s="7" t="s">
        <v>14</v>
      </c>
      <c r="AH11" s="6">
        <f>SEP!AI11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B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35</v>
      </c>
      <c r="D4" s="5" t="s">
        <v>35</v>
      </c>
      <c r="E4" s="5" t="s">
        <v>35</v>
      </c>
      <c r="F4" s="5" t="s">
        <v>35</v>
      </c>
      <c r="G4" s="5" t="s">
        <v>35</v>
      </c>
      <c r="H4" s="14" t="s">
        <v>8</v>
      </c>
      <c r="I4" s="14" t="s">
        <v>8</v>
      </c>
      <c r="J4" s="5" t="s">
        <v>35</v>
      </c>
      <c r="K4" s="5" t="s">
        <v>35</v>
      </c>
      <c r="L4" s="5" t="s">
        <v>35</v>
      </c>
      <c r="M4" s="5" t="s">
        <v>35</v>
      </c>
      <c r="N4" s="5" t="s">
        <v>35</v>
      </c>
      <c r="O4" s="14" t="s">
        <v>8</v>
      </c>
      <c r="P4" s="14" t="s">
        <v>8</v>
      </c>
      <c r="Q4" s="5" t="s">
        <v>35</v>
      </c>
      <c r="R4" s="5" t="s">
        <v>35</v>
      </c>
      <c r="S4" s="5" t="s">
        <v>35</v>
      </c>
      <c r="T4" s="5" t="s">
        <v>35</v>
      </c>
      <c r="U4" s="5" t="s">
        <v>35</v>
      </c>
      <c r="V4" s="14" t="s">
        <v>8</v>
      </c>
      <c r="W4" s="14" t="s">
        <v>8</v>
      </c>
      <c r="X4" s="5" t="s">
        <v>35</v>
      </c>
      <c r="Y4" s="5" t="s">
        <v>35</v>
      </c>
      <c r="Z4" s="5" t="s">
        <v>35</v>
      </c>
      <c r="AA4" s="5" t="s">
        <v>35</v>
      </c>
      <c r="AB4" s="5" t="s">
        <v>35</v>
      </c>
      <c r="AC4" s="14" t="s">
        <v>8</v>
      </c>
      <c r="AD4" s="14" t="s">
        <v>8</v>
      </c>
      <c r="AE4" s="5" t="s">
        <v>35</v>
      </c>
      <c r="AG4" s="6">
        <f>OCT!AJ4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10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G5" s="6">
        <f>OCT!AJ5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12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G6" s="6">
        <f>OCT!AJ6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13</v>
      </c>
      <c r="B7" s="23" t="s">
        <v>6</v>
      </c>
      <c r="C7" s="3" t="s">
        <v>11</v>
      </c>
      <c r="D7" s="3" t="s">
        <v>11</v>
      </c>
      <c r="E7" s="14" t="s">
        <v>8</v>
      </c>
      <c r="F7" s="14" t="s">
        <v>8</v>
      </c>
      <c r="G7" s="7" t="s">
        <v>14</v>
      </c>
      <c r="H7" s="7" t="s">
        <v>14</v>
      </c>
      <c r="I7" s="33" t="s">
        <v>17</v>
      </c>
      <c r="J7" s="7" t="s">
        <v>14</v>
      </c>
      <c r="K7" s="14" t="s">
        <v>8</v>
      </c>
      <c r="L7" s="14" t="s">
        <v>8</v>
      </c>
      <c r="M7" s="3" t="s">
        <v>11</v>
      </c>
      <c r="N7" s="3" t="s">
        <v>11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7" t="s">
        <v>14</v>
      </c>
      <c r="U7" s="7" t="s">
        <v>14</v>
      </c>
      <c r="V7" s="7" t="s">
        <v>14</v>
      </c>
      <c r="W7" s="7" t="s">
        <v>14</v>
      </c>
      <c r="X7" s="14" t="s">
        <v>8</v>
      </c>
      <c r="Y7" s="14" t="s">
        <v>8</v>
      </c>
      <c r="Z7" s="3" t="s">
        <v>11</v>
      </c>
      <c r="AA7" s="3" t="s">
        <v>11</v>
      </c>
      <c r="AB7" s="3" t="s">
        <v>11</v>
      </c>
      <c r="AC7" s="3" t="s">
        <v>11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16</v>
      </c>
      <c r="B8" s="3" t="s">
        <v>11</v>
      </c>
      <c r="C8" s="3" t="s">
        <v>11</v>
      </c>
      <c r="D8" s="14" t="s">
        <v>8</v>
      </c>
      <c r="E8" s="14" t="s">
        <v>8</v>
      </c>
      <c r="F8" s="7" t="s">
        <v>14</v>
      </c>
      <c r="G8" s="7" t="s">
        <v>14</v>
      </c>
      <c r="H8" s="7" t="s">
        <v>14</v>
      </c>
      <c r="I8" s="7" t="s">
        <v>14</v>
      </c>
      <c r="J8" s="14" t="s">
        <v>8</v>
      </c>
      <c r="K8" s="14" t="s">
        <v>8</v>
      </c>
      <c r="L8" s="3" t="s">
        <v>11</v>
      </c>
      <c r="M8" s="3" t="s">
        <v>11</v>
      </c>
      <c r="N8" s="3" t="s">
        <v>11</v>
      </c>
      <c r="O8" s="3" t="s">
        <v>11</v>
      </c>
      <c r="P8" s="14" t="s">
        <v>8</v>
      </c>
      <c r="Q8" s="14" t="s">
        <v>8</v>
      </c>
      <c r="R8" s="7" t="s">
        <v>14</v>
      </c>
      <c r="S8" s="7" t="s">
        <v>14</v>
      </c>
      <c r="T8" s="7" t="s">
        <v>14</v>
      </c>
      <c r="U8" s="7" t="s">
        <v>14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14" t="s">
        <v>8</v>
      </c>
      <c r="AD8" s="14" t="s">
        <v>8</v>
      </c>
      <c r="AE8" s="7" t="s">
        <v>14</v>
      </c>
      <c r="AG8" s="6">
        <f>OCT!AJ8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14</v>
      </c>
      <c r="K9" s="7" t="s">
        <v>14</v>
      </c>
      <c r="L9" s="7" t="s">
        <v>14</v>
      </c>
      <c r="M9" s="7" t="s">
        <v>14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14</v>
      </c>
      <c r="X9" s="7" t="s">
        <v>14</v>
      </c>
      <c r="Y9" s="7" t="s">
        <v>14</v>
      </c>
      <c r="Z9" s="7" t="s">
        <v>14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OCT!AJ9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23" t="s">
        <v>6</v>
      </c>
      <c r="C10" s="7" t="s">
        <v>14</v>
      </c>
      <c r="D10" s="7" t="s">
        <v>14</v>
      </c>
      <c r="E10" s="7" t="s">
        <v>14</v>
      </c>
      <c r="F10" s="7" t="s">
        <v>14</v>
      </c>
      <c r="G10" s="14" t="s">
        <v>8</v>
      </c>
      <c r="H10" s="14" t="s">
        <v>8</v>
      </c>
      <c r="I10" s="3" t="s">
        <v>11</v>
      </c>
      <c r="J10" s="3" t="s">
        <v>11</v>
      </c>
      <c r="K10" s="3" t="s">
        <v>11</v>
      </c>
      <c r="L10" s="3" t="s">
        <v>11</v>
      </c>
      <c r="M10" s="14" t="s">
        <v>8</v>
      </c>
      <c r="N10" s="14" t="s">
        <v>8</v>
      </c>
      <c r="O10" s="7" t="s">
        <v>14</v>
      </c>
      <c r="P10" s="7" t="s">
        <v>14</v>
      </c>
      <c r="Q10" s="7" t="s">
        <v>14</v>
      </c>
      <c r="R10" s="7" t="s">
        <v>14</v>
      </c>
      <c r="S10" s="14" t="s">
        <v>8</v>
      </c>
      <c r="T10" s="14" t="s">
        <v>8</v>
      </c>
      <c r="U10" s="3" t="s">
        <v>11</v>
      </c>
      <c r="V10" s="3" t="s">
        <v>11</v>
      </c>
      <c r="W10" s="3" t="s">
        <v>11</v>
      </c>
      <c r="X10" s="3" t="s">
        <v>11</v>
      </c>
      <c r="Y10" s="3" t="s">
        <v>11</v>
      </c>
      <c r="Z10" s="14" t="s">
        <v>8</v>
      </c>
      <c r="AA10" s="14" t="s">
        <v>8</v>
      </c>
      <c r="AB10" s="7" t="s">
        <v>14</v>
      </c>
      <c r="AC10" s="7" t="s">
        <v>14</v>
      </c>
      <c r="AD10" s="7" t="s">
        <v>14</v>
      </c>
      <c r="AE10" s="7" t="s">
        <v>14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7" t="s">
        <v>14</v>
      </c>
      <c r="C11" s="7" t="s">
        <v>14</v>
      </c>
      <c r="D11" s="7" t="s">
        <v>14</v>
      </c>
      <c r="E11" s="14" t="s">
        <v>8</v>
      </c>
      <c r="F11" s="14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14" t="s">
        <v>8</v>
      </c>
      <c r="L11" s="14" t="s">
        <v>8</v>
      </c>
      <c r="M11" s="7" t="s">
        <v>14</v>
      </c>
      <c r="N11" s="7" t="s">
        <v>14</v>
      </c>
      <c r="O11" s="7" t="s">
        <v>14</v>
      </c>
      <c r="P11" s="7" t="s">
        <v>14</v>
      </c>
      <c r="Q11" s="7" t="s">
        <v>14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14" t="s">
        <v>8</v>
      </c>
      <c r="Y11" s="14" t="s">
        <v>8</v>
      </c>
      <c r="Z11" s="7" t="s">
        <v>14</v>
      </c>
      <c r="AA11" s="7" t="s">
        <v>14</v>
      </c>
      <c r="AB11" s="7" t="s">
        <v>14</v>
      </c>
      <c r="AC11" s="7" t="s">
        <v>14</v>
      </c>
      <c r="AD11" s="14" t="s">
        <v>8</v>
      </c>
      <c r="AE11" s="14" t="s">
        <v>8</v>
      </c>
      <c r="AG11" s="6">
        <f>OCT!AJ11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tabSelected="1" zoomScale="85" zoomScaleNormal="85" workbookViewId="0">
      <pane xSplit="1" ySplit="3" topLeftCell="B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35</v>
      </c>
      <c r="D4" s="5" t="s">
        <v>35</v>
      </c>
      <c r="E4" s="5" t="s">
        <v>35</v>
      </c>
      <c r="F4" s="14" t="s">
        <v>8</v>
      </c>
      <c r="G4" s="14" t="s">
        <v>8</v>
      </c>
      <c r="H4" s="5" t="s">
        <v>35</v>
      </c>
      <c r="I4" s="23" t="s">
        <v>6</v>
      </c>
      <c r="J4" s="5" t="s">
        <v>35</v>
      </c>
      <c r="K4" s="5" t="s">
        <v>35</v>
      </c>
      <c r="L4" s="5" t="s">
        <v>35</v>
      </c>
      <c r="M4" s="14" t="s">
        <v>8</v>
      </c>
      <c r="N4" s="14" t="s">
        <v>8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14" t="s">
        <v>8</v>
      </c>
      <c r="U4" s="14" t="s">
        <v>8</v>
      </c>
      <c r="V4" s="5" t="s">
        <v>35</v>
      </c>
      <c r="W4" s="5" t="s">
        <v>35</v>
      </c>
      <c r="X4" s="5" t="s">
        <v>35</v>
      </c>
      <c r="Y4" s="5" t="s">
        <v>35</v>
      </c>
      <c r="Z4" s="23" t="s">
        <v>6</v>
      </c>
      <c r="AA4" s="14" t="s">
        <v>8</v>
      </c>
      <c r="AB4" s="14" t="s">
        <v>8</v>
      </c>
      <c r="AC4" s="5" t="s">
        <v>35</v>
      </c>
      <c r="AD4" s="5" t="s">
        <v>35</v>
      </c>
      <c r="AE4" s="5" t="s">
        <v>35</v>
      </c>
      <c r="AF4" s="5" t="s">
        <v>35</v>
      </c>
      <c r="AH4" s="6">
        <f>NOV!AI4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10</v>
      </c>
      <c r="B5" s="23" t="s">
        <v>6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23" t="s">
        <v>6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5" t="s">
        <v>9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23" t="s">
        <v>6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NOV!AI5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12</v>
      </c>
      <c r="B6" s="23" t="s">
        <v>6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23" t="s">
        <v>6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23" t="s">
        <v>6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NOV!AI6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13</v>
      </c>
      <c r="B7" s="7" t="s">
        <v>14</v>
      </c>
      <c r="C7" s="7" t="s">
        <v>14</v>
      </c>
      <c r="D7" s="7" t="s">
        <v>14</v>
      </c>
      <c r="E7" s="7" t="s">
        <v>14</v>
      </c>
      <c r="F7" s="7" t="s">
        <v>14</v>
      </c>
      <c r="G7" s="14" t="s">
        <v>8</v>
      </c>
      <c r="H7" s="14" t="s">
        <v>8</v>
      </c>
      <c r="I7" s="23" t="s">
        <v>6</v>
      </c>
      <c r="J7" s="3" t="s">
        <v>11</v>
      </c>
      <c r="K7" s="3" t="s">
        <v>11</v>
      </c>
      <c r="L7" s="3" t="s">
        <v>11</v>
      </c>
      <c r="M7" s="14" t="s">
        <v>8</v>
      </c>
      <c r="N7" s="14" t="s">
        <v>8</v>
      </c>
      <c r="O7" s="7" t="s">
        <v>14</v>
      </c>
      <c r="P7" s="7" t="s">
        <v>14</v>
      </c>
      <c r="Q7" s="7" t="s">
        <v>14</v>
      </c>
      <c r="R7" s="7" t="s">
        <v>14</v>
      </c>
      <c r="S7" s="7" t="s">
        <v>14</v>
      </c>
      <c r="T7" s="14" t="s">
        <v>8</v>
      </c>
      <c r="U7" s="14" t="s">
        <v>8</v>
      </c>
      <c r="V7" s="3" t="s">
        <v>11</v>
      </c>
      <c r="W7" s="3" t="s">
        <v>11</v>
      </c>
      <c r="X7" s="3" t="s">
        <v>11</v>
      </c>
      <c r="Y7" s="3" t="s">
        <v>11</v>
      </c>
      <c r="Z7" s="14" t="s">
        <v>8</v>
      </c>
      <c r="AA7" s="14" t="s">
        <v>8</v>
      </c>
      <c r="AB7" s="7" t="s">
        <v>14</v>
      </c>
      <c r="AC7" s="7" t="s">
        <v>14</v>
      </c>
      <c r="AD7" s="7" t="s">
        <v>14</v>
      </c>
      <c r="AE7" s="7" t="s">
        <v>14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16</v>
      </c>
      <c r="B8" s="23" t="s">
        <v>6</v>
      </c>
      <c r="C8" s="7" t="s">
        <v>14</v>
      </c>
      <c r="D8" s="7" t="s">
        <v>14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14" t="s">
        <v>8</v>
      </c>
      <c r="L8" s="14" t="s">
        <v>8</v>
      </c>
      <c r="M8" s="7" t="s">
        <v>14</v>
      </c>
      <c r="N8" s="7" t="s">
        <v>14</v>
      </c>
      <c r="O8" s="7" t="s">
        <v>14</v>
      </c>
      <c r="P8" s="7" t="s">
        <v>14</v>
      </c>
      <c r="Q8" s="14" t="s">
        <v>8</v>
      </c>
      <c r="R8" s="14" t="s">
        <v>8</v>
      </c>
      <c r="S8" s="3" t="s">
        <v>11</v>
      </c>
      <c r="T8" s="3" t="s">
        <v>11</v>
      </c>
      <c r="U8" s="3" t="s">
        <v>11</v>
      </c>
      <c r="V8" s="3" t="s">
        <v>11</v>
      </c>
      <c r="W8" s="3" t="s">
        <v>11</v>
      </c>
      <c r="X8" s="14" t="s">
        <v>8</v>
      </c>
      <c r="Y8" s="14" t="s">
        <v>8</v>
      </c>
      <c r="Z8" s="7" t="s">
        <v>14</v>
      </c>
      <c r="AA8" s="7" t="s">
        <v>14</v>
      </c>
      <c r="AB8" s="7" t="s">
        <v>14</v>
      </c>
      <c r="AC8" s="7" t="s">
        <v>14</v>
      </c>
      <c r="AD8" s="14" t="s">
        <v>8</v>
      </c>
      <c r="AE8" s="14" t="s">
        <v>8</v>
      </c>
      <c r="AF8" s="3" t="s">
        <v>11</v>
      </c>
      <c r="AH8" s="6">
        <f>NOV!AI8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3" t="s">
        <v>11</v>
      </c>
      <c r="C9" s="14" t="s">
        <v>8</v>
      </c>
      <c r="D9" s="14" t="s">
        <v>8</v>
      </c>
      <c r="E9" s="7" t="s">
        <v>14</v>
      </c>
      <c r="F9" s="7" t="s">
        <v>14</v>
      </c>
      <c r="G9" s="7" t="s">
        <v>14</v>
      </c>
      <c r="H9" s="7" t="s">
        <v>14</v>
      </c>
      <c r="I9" s="14" t="s">
        <v>8</v>
      </c>
      <c r="J9" s="14" t="s">
        <v>8</v>
      </c>
      <c r="K9" s="7" t="s">
        <v>14</v>
      </c>
      <c r="L9" s="7" t="s">
        <v>14</v>
      </c>
      <c r="M9" s="7" t="s">
        <v>14</v>
      </c>
      <c r="N9" s="7" t="s">
        <v>14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14</v>
      </c>
      <c r="X9" s="7" t="s">
        <v>14</v>
      </c>
      <c r="Y9" s="7" t="s">
        <v>14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NOV!AI9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14" t="s">
        <v>8</v>
      </c>
      <c r="C10" s="14" t="s">
        <v>8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14</v>
      </c>
      <c r="S10" s="7" t="s">
        <v>14</v>
      </c>
      <c r="T10" s="7" t="s">
        <v>14</v>
      </c>
      <c r="U10" s="7" t="s">
        <v>14</v>
      </c>
      <c r="V10" s="14" t="s">
        <v>8</v>
      </c>
      <c r="W10" s="14" t="s">
        <v>8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14</v>
      </c>
      <c r="AE10" s="7" t="s">
        <v>14</v>
      </c>
      <c r="AF10" s="7" t="s">
        <v>14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23" t="s">
        <v>6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14</v>
      </c>
      <c r="J11" s="7" t="s">
        <v>14</v>
      </c>
      <c r="K11" s="33" t="s">
        <v>17</v>
      </c>
      <c r="L11" s="7" t="s">
        <v>14</v>
      </c>
      <c r="M11" s="14" t="s">
        <v>8</v>
      </c>
      <c r="N11" s="14" t="s">
        <v>8</v>
      </c>
      <c r="O11" s="3" t="s">
        <v>11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14</v>
      </c>
      <c r="W11" s="7" t="s">
        <v>14</v>
      </c>
      <c r="X11" s="7" t="s">
        <v>14</v>
      </c>
      <c r="Y11" s="7" t="s">
        <v>14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6">
        <f>NOV!AI11</f>
        <v>22</v>
      </c>
      <c r="AI11" s="15">
        <f t="shared" si="3"/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22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55" t="s">
        <v>23</v>
      </c>
      <c r="G16" s="56"/>
      <c r="H16" s="55" t="s">
        <v>24</v>
      </c>
      <c r="I16" s="62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58" t="s">
        <v>28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29</v>
      </c>
      <c r="G17" s="52"/>
      <c r="H17" s="51" t="s">
        <v>30</v>
      </c>
      <c r="I17" s="63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35</v>
      </c>
      <c r="F18" s="53" t="s">
        <v>36</v>
      </c>
      <c r="G18" s="54"/>
      <c r="H18" s="53" t="s">
        <v>37</v>
      </c>
      <c r="I18" s="57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41</v>
      </c>
      <c r="G19" s="54"/>
      <c r="H19" s="53" t="s">
        <v>42</v>
      </c>
      <c r="I19" s="57"/>
      <c r="M19" s="31" t="s">
        <v>15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14</v>
      </c>
      <c r="F20" s="53" t="s">
        <v>45</v>
      </c>
      <c r="G20" s="54"/>
      <c r="H20" s="53" t="s">
        <v>46</v>
      </c>
      <c r="I20" s="57"/>
      <c r="M20" s="31" t="s">
        <v>7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44" t="s">
        <v>50</v>
      </c>
      <c r="G21" s="45"/>
      <c r="H21" s="44" t="s">
        <v>51</v>
      </c>
      <c r="I21" s="46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15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98F73132-E113-431B-9C7A-21B04A3303F5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2026-01-05T10:04:42Z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