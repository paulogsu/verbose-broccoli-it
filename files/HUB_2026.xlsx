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lufthansagroup.sharepoint.com/sites/LGSPITTopics/Shared Documents/Horarios Service Center/2026/"/>
    </mc:Choice>
  </mc:AlternateContent>
  <xr:revisionPtr revIDLastSave="1037" documentId="8_{A007A88D-81DF-4C08-B688-6EA946788188}" xr6:coauthVersionLast="47" xr6:coauthVersionMax="47" xr10:uidLastSave="{0BAA4D31-52CE-45D5-B626-2B32827F6965}"/>
  <bookViews>
    <workbookView xWindow="-120" yWindow="-120" windowWidth="29040" windowHeight="15840" firstSheet="2" activeTab="1" xr2:uid="{71340874-4206-413C-B9F4-3F501CB4E199}"/>
  </bookViews>
  <sheets>
    <sheet name="Sheet1" sheetId="13" state="hidden" r:id="rId1"/>
    <sheet name="JAN" sheetId="1" r:id="rId2"/>
    <sheet name="FEB" sheetId="2" r:id="rId3"/>
    <sheet name="MAR" sheetId="3" r:id="rId4"/>
    <sheet name="APR" sheetId="4" r:id="rId5"/>
    <sheet name="MAY" sheetId="5" r:id="rId6"/>
    <sheet name="JUN" sheetId="6" r:id="rId7"/>
    <sheet name="JUL" sheetId="7" r:id="rId8"/>
    <sheet name="AUG" sheetId="8" r:id="rId9"/>
    <sheet name="SEP" sheetId="9" r:id="rId10"/>
    <sheet name="OCT" sheetId="10" r:id="rId11"/>
    <sheet name="NOV" sheetId="11" r:id="rId12"/>
    <sheet name="DEC" sheetId="12" r:id="rId13"/>
  </sheets>
  <definedNames>
    <definedName name="_xlnm._FilterDatabase" localSheetId="12" hidden="1">DEC!$E$2:$AI$328</definedName>
    <definedName name="_xlnm._FilterDatabase" localSheetId="1" hidden="1">JAN!$E$4:$AI$47</definedName>
    <definedName name="_xlnm._FilterDatabase" localSheetId="7" hidden="1">JUL!$E$4:$AI$4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1" l="1"/>
  <c r="E50" i="11"/>
  <c r="E51" i="11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E68" i="2"/>
  <c r="F67" i="2"/>
  <c r="F69" i="2" s="1"/>
  <c r="G67" i="2"/>
  <c r="G69" i="2" s="1"/>
  <c r="H67" i="2"/>
  <c r="H69" i="2" s="1"/>
  <c r="I67" i="2"/>
  <c r="I69" i="2" s="1"/>
  <c r="J67" i="2"/>
  <c r="J69" i="2" s="1"/>
  <c r="K67" i="2"/>
  <c r="K69" i="2" s="1"/>
  <c r="L67" i="2"/>
  <c r="L69" i="2" s="1"/>
  <c r="M67" i="2"/>
  <c r="M69" i="2" s="1"/>
  <c r="N67" i="2"/>
  <c r="N69" i="2" s="1"/>
  <c r="O67" i="2"/>
  <c r="O69" i="2" s="1"/>
  <c r="P67" i="2"/>
  <c r="P69" i="2" s="1"/>
  <c r="Q67" i="2"/>
  <c r="Q69" i="2" s="1"/>
  <c r="R67" i="2"/>
  <c r="R69" i="2" s="1"/>
  <c r="S67" i="2"/>
  <c r="S69" i="2" s="1"/>
  <c r="T67" i="2"/>
  <c r="T69" i="2" s="1"/>
  <c r="U67" i="2"/>
  <c r="U69" i="2" s="1"/>
  <c r="V67" i="2"/>
  <c r="V69" i="2" s="1"/>
  <c r="W67" i="2"/>
  <c r="W69" i="2" s="1"/>
  <c r="X67" i="2"/>
  <c r="X69" i="2" s="1"/>
  <c r="Y67" i="2"/>
  <c r="Y69" i="2" s="1"/>
  <c r="Z67" i="2"/>
  <c r="Z69" i="2" s="1"/>
  <c r="AA67" i="2"/>
  <c r="AA69" i="2" s="1"/>
  <c r="AB67" i="2"/>
  <c r="AB69" i="2" s="1"/>
  <c r="AC67" i="2"/>
  <c r="AC69" i="2" s="1"/>
  <c r="AD67" i="2"/>
  <c r="AD69" i="2" s="1"/>
  <c r="AE67" i="2"/>
  <c r="AE69" i="2" s="1"/>
  <c r="AF67" i="2"/>
  <c r="AF69" i="2" s="1"/>
  <c r="E67" i="2"/>
  <c r="E69" i="2" s="1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E64" i="2"/>
  <c r="F63" i="2"/>
  <c r="F65" i="2" s="1"/>
  <c r="G63" i="2"/>
  <c r="G65" i="2" s="1"/>
  <c r="H63" i="2"/>
  <c r="H65" i="2" s="1"/>
  <c r="I63" i="2"/>
  <c r="I65" i="2" s="1"/>
  <c r="J63" i="2"/>
  <c r="J65" i="2" s="1"/>
  <c r="K63" i="2"/>
  <c r="K65" i="2" s="1"/>
  <c r="L63" i="2"/>
  <c r="L65" i="2" s="1"/>
  <c r="M63" i="2"/>
  <c r="M65" i="2" s="1"/>
  <c r="N63" i="2"/>
  <c r="N65" i="2" s="1"/>
  <c r="O63" i="2"/>
  <c r="O65" i="2" s="1"/>
  <c r="P63" i="2"/>
  <c r="P65" i="2" s="1"/>
  <c r="Q63" i="2"/>
  <c r="Q65" i="2" s="1"/>
  <c r="R63" i="2"/>
  <c r="R65" i="2" s="1"/>
  <c r="S63" i="2"/>
  <c r="S65" i="2" s="1"/>
  <c r="T63" i="2"/>
  <c r="T65" i="2" s="1"/>
  <c r="U63" i="2"/>
  <c r="U65" i="2" s="1"/>
  <c r="V63" i="2"/>
  <c r="V65" i="2" s="1"/>
  <c r="W63" i="2"/>
  <c r="W65" i="2" s="1"/>
  <c r="X63" i="2"/>
  <c r="X65" i="2" s="1"/>
  <c r="Y63" i="2"/>
  <c r="Y65" i="2" s="1"/>
  <c r="Z63" i="2"/>
  <c r="Z65" i="2" s="1"/>
  <c r="AA63" i="2"/>
  <c r="AA65" i="2" s="1"/>
  <c r="AB63" i="2"/>
  <c r="AB65" i="2" s="1"/>
  <c r="AC63" i="2"/>
  <c r="AC65" i="2" s="1"/>
  <c r="AD63" i="2"/>
  <c r="AD65" i="2" s="1"/>
  <c r="AE63" i="2"/>
  <c r="AE65" i="2" s="1"/>
  <c r="AF63" i="2"/>
  <c r="AF65" i="2" s="1"/>
  <c r="E63" i="2"/>
  <c r="E65" i="2" s="1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E60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E59" i="2"/>
  <c r="F58" i="2"/>
  <c r="F61" i="2" s="1"/>
  <c r="G58" i="2"/>
  <c r="G61" i="2" s="1"/>
  <c r="H58" i="2"/>
  <c r="H61" i="2" s="1"/>
  <c r="I58" i="2"/>
  <c r="I61" i="2" s="1"/>
  <c r="J58" i="2"/>
  <c r="J61" i="2" s="1"/>
  <c r="K58" i="2"/>
  <c r="K61" i="2" s="1"/>
  <c r="L58" i="2"/>
  <c r="L61" i="2" s="1"/>
  <c r="M58" i="2"/>
  <c r="M61" i="2" s="1"/>
  <c r="N58" i="2"/>
  <c r="N61" i="2" s="1"/>
  <c r="O58" i="2"/>
  <c r="O61" i="2" s="1"/>
  <c r="P58" i="2"/>
  <c r="P61" i="2" s="1"/>
  <c r="Q58" i="2"/>
  <c r="Q61" i="2" s="1"/>
  <c r="R58" i="2"/>
  <c r="R61" i="2" s="1"/>
  <c r="S58" i="2"/>
  <c r="S61" i="2" s="1"/>
  <c r="T58" i="2"/>
  <c r="T61" i="2" s="1"/>
  <c r="U58" i="2"/>
  <c r="U61" i="2" s="1"/>
  <c r="V58" i="2"/>
  <c r="V61" i="2" s="1"/>
  <c r="W58" i="2"/>
  <c r="W61" i="2" s="1"/>
  <c r="X58" i="2"/>
  <c r="X61" i="2" s="1"/>
  <c r="Y58" i="2"/>
  <c r="Y61" i="2" s="1"/>
  <c r="Z58" i="2"/>
  <c r="Z61" i="2" s="1"/>
  <c r="AA58" i="2"/>
  <c r="AA61" i="2" s="1"/>
  <c r="AB58" i="2"/>
  <c r="AB61" i="2" s="1"/>
  <c r="AC58" i="2"/>
  <c r="AC61" i="2" s="1"/>
  <c r="AD58" i="2"/>
  <c r="AD61" i="2" s="1"/>
  <c r="AE58" i="2"/>
  <c r="AE61" i="2" s="1"/>
  <c r="AF58" i="2"/>
  <c r="AF61" i="2" s="1"/>
  <c r="E58" i="2"/>
  <c r="E61" i="2" s="1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E55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E54" i="2"/>
  <c r="F53" i="2"/>
  <c r="F56" i="2" s="1"/>
  <c r="G53" i="2"/>
  <c r="G56" i="2" s="1"/>
  <c r="H53" i="2"/>
  <c r="H56" i="2" s="1"/>
  <c r="I53" i="2"/>
  <c r="I56" i="2" s="1"/>
  <c r="J53" i="2"/>
  <c r="J56" i="2" s="1"/>
  <c r="K53" i="2"/>
  <c r="K56" i="2" s="1"/>
  <c r="L53" i="2"/>
  <c r="L56" i="2" s="1"/>
  <c r="M53" i="2"/>
  <c r="M56" i="2" s="1"/>
  <c r="N53" i="2"/>
  <c r="N56" i="2" s="1"/>
  <c r="O53" i="2"/>
  <c r="O56" i="2" s="1"/>
  <c r="P53" i="2"/>
  <c r="P56" i="2" s="1"/>
  <c r="Q53" i="2"/>
  <c r="Q56" i="2" s="1"/>
  <c r="R53" i="2"/>
  <c r="R56" i="2" s="1"/>
  <c r="S53" i="2"/>
  <c r="S56" i="2" s="1"/>
  <c r="T53" i="2"/>
  <c r="T56" i="2" s="1"/>
  <c r="U53" i="2"/>
  <c r="U56" i="2" s="1"/>
  <c r="V53" i="2"/>
  <c r="V56" i="2" s="1"/>
  <c r="W53" i="2"/>
  <c r="W56" i="2" s="1"/>
  <c r="X53" i="2"/>
  <c r="X56" i="2" s="1"/>
  <c r="Y53" i="2"/>
  <c r="Y56" i="2" s="1"/>
  <c r="Z53" i="2"/>
  <c r="Z56" i="2" s="1"/>
  <c r="AA53" i="2"/>
  <c r="AA56" i="2" s="1"/>
  <c r="AB53" i="2"/>
  <c r="AB56" i="2" s="1"/>
  <c r="AC53" i="2"/>
  <c r="AC56" i="2" s="1"/>
  <c r="AD53" i="2"/>
  <c r="AD56" i="2" s="1"/>
  <c r="AE53" i="2"/>
  <c r="AE56" i="2" s="1"/>
  <c r="AF53" i="2"/>
  <c r="AF56" i="2" s="1"/>
  <c r="E53" i="2"/>
  <c r="E56" i="2" s="1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E50" i="2"/>
  <c r="F49" i="2"/>
  <c r="F51" i="2" s="1"/>
  <c r="G49" i="2"/>
  <c r="G51" i="2" s="1"/>
  <c r="H49" i="2"/>
  <c r="H51" i="2" s="1"/>
  <c r="I49" i="2"/>
  <c r="I51" i="2" s="1"/>
  <c r="J49" i="2"/>
  <c r="J51" i="2" s="1"/>
  <c r="K49" i="2"/>
  <c r="K51" i="2" s="1"/>
  <c r="L49" i="2"/>
  <c r="L51" i="2" s="1"/>
  <c r="M49" i="2"/>
  <c r="M51" i="2" s="1"/>
  <c r="N49" i="2"/>
  <c r="N51" i="2" s="1"/>
  <c r="O49" i="2"/>
  <c r="P49" i="2"/>
  <c r="P51" i="2" s="1"/>
  <c r="Q49" i="2"/>
  <c r="Q51" i="2" s="1"/>
  <c r="R49" i="2"/>
  <c r="S49" i="2"/>
  <c r="S51" i="2" s="1"/>
  <c r="T49" i="2"/>
  <c r="T51" i="2" s="1"/>
  <c r="U49" i="2"/>
  <c r="U51" i="2" s="1"/>
  <c r="V49" i="2"/>
  <c r="V51" i="2" s="1"/>
  <c r="W49" i="2"/>
  <c r="W51" i="2" s="1"/>
  <c r="X49" i="2"/>
  <c r="Y49" i="2"/>
  <c r="Y51" i="2" s="1"/>
  <c r="Z49" i="2"/>
  <c r="Z51" i="2" s="1"/>
  <c r="AA49" i="2"/>
  <c r="AA51" i="2" s="1"/>
  <c r="AB49" i="2"/>
  <c r="AB51" i="2" s="1"/>
  <c r="AC49" i="2"/>
  <c r="AC51" i="2" s="1"/>
  <c r="AD49" i="2"/>
  <c r="AD51" i="2" s="1"/>
  <c r="AE49" i="2"/>
  <c r="AE51" i="2" s="1"/>
  <c r="AF49" i="2"/>
  <c r="AF51" i="2" s="1"/>
  <c r="E49" i="2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5" i="4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5" i="3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5" i="2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E68" i="1"/>
  <c r="F67" i="1"/>
  <c r="F69" i="1" s="1"/>
  <c r="G67" i="1"/>
  <c r="G69" i="1" s="1"/>
  <c r="H67" i="1"/>
  <c r="H69" i="1" s="1"/>
  <c r="I67" i="1"/>
  <c r="I69" i="1" s="1"/>
  <c r="J67" i="1"/>
  <c r="J69" i="1" s="1"/>
  <c r="K67" i="1"/>
  <c r="K69" i="1" s="1"/>
  <c r="L67" i="1"/>
  <c r="L69" i="1" s="1"/>
  <c r="M67" i="1"/>
  <c r="M69" i="1" s="1"/>
  <c r="N67" i="1"/>
  <c r="N69" i="1" s="1"/>
  <c r="O67" i="1"/>
  <c r="O69" i="1" s="1"/>
  <c r="P67" i="1"/>
  <c r="P69" i="1" s="1"/>
  <c r="Q67" i="1"/>
  <c r="Q69" i="1" s="1"/>
  <c r="R67" i="1"/>
  <c r="R69" i="1" s="1"/>
  <c r="S67" i="1"/>
  <c r="S69" i="1" s="1"/>
  <c r="T67" i="1"/>
  <c r="T69" i="1" s="1"/>
  <c r="U67" i="1"/>
  <c r="U69" i="1" s="1"/>
  <c r="V67" i="1"/>
  <c r="V69" i="1" s="1"/>
  <c r="W67" i="1"/>
  <c r="W69" i="1" s="1"/>
  <c r="X67" i="1"/>
  <c r="X69" i="1" s="1"/>
  <c r="Y67" i="1"/>
  <c r="Y69" i="1" s="1"/>
  <c r="Z67" i="1"/>
  <c r="Z69" i="1" s="1"/>
  <c r="AA67" i="1"/>
  <c r="AA69" i="1" s="1"/>
  <c r="AB67" i="1"/>
  <c r="AB69" i="1" s="1"/>
  <c r="AC67" i="1"/>
  <c r="AC69" i="1" s="1"/>
  <c r="AD67" i="1"/>
  <c r="AD69" i="1" s="1"/>
  <c r="AE67" i="1"/>
  <c r="AE69" i="1" s="1"/>
  <c r="AF67" i="1"/>
  <c r="AF69" i="1" s="1"/>
  <c r="AG67" i="1"/>
  <c r="AG69" i="1" s="1"/>
  <c r="AH67" i="1"/>
  <c r="AH69" i="1" s="1"/>
  <c r="AI67" i="1"/>
  <c r="AI69" i="1" s="1"/>
  <c r="E67" i="1"/>
  <c r="E69" i="1" s="1"/>
  <c r="Z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AA64" i="1"/>
  <c r="AB64" i="1"/>
  <c r="AC64" i="1"/>
  <c r="AD64" i="1"/>
  <c r="AE64" i="1"/>
  <c r="AF64" i="1"/>
  <c r="AG64" i="1"/>
  <c r="AH64" i="1"/>
  <c r="AI64" i="1"/>
  <c r="E64" i="1"/>
  <c r="F63" i="1"/>
  <c r="F65" i="1" s="1"/>
  <c r="G63" i="1"/>
  <c r="G65" i="1" s="1"/>
  <c r="H63" i="1"/>
  <c r="H65" i="1" s="1"/>
  <c r="I63" i="1"/>
  <c r="I65" i="1" s="1"/>
  <c r="J63" i="1"/>
  <c r="J65" i="1" s="1"/>
  <c r="K63" i="1"/>
  <c r="K65" i="1" s="1"/>
  <c r="L63" i="1"/>
  <c r="L65" i="1" s="1"/>
  <c r="M63" i="1"/>
  <c r="M65" i="1" s="1"/>
  <c r="N63" i="1"/>
  <c r="N65" i="1" s="1"/>
  <c r="O63" i="1"/>
  <c r="O65" i="1" s="1"/>
  <c r="P63" i="1"/>
  <c r="P65" i="1" s="1"/>
  <c r="Q63" i="1"/>
  <c r="Q65" i="1" s="1"/>
  <c r="R63" i="1"/>
  <c r="R65" i="1" s="1"/>
  <c r="S63" i="1"/>
  <c r="S65" i="1" s="1"/>
  <c r="T63" i="1"/>
  <c r="T65" i="1" s="1"/>
  <c r="U63" i="1"/>
  <c r="U65" i="1" s="1"/>
  <c r="V63" i="1"/>
  <c r="V65" i="1" s="1"/>
  <c r="W63" i="1"/>
  <c r="W65" i="1" s="1"/>
  <c r="X63" i="1"/>
  <c r="X65" i="1" s="1"/>
  <c r="Y63" i="1"/>
  <c r="Y65" i="1" s="1"/>
  <c r="Z63" i="1"/>
  <c r="Z65" i="1" s="1"/>
  <c r="AA63" i="1"/>
  <c r="AA65" i="1" s="1"/>
  <c r="AB63" i="1"/>
  <c r="AB65" i="1" s="1"/>
  <c r="AC63" i="1"/>
  <c r="AC65" i="1" s="1"/>
  <c r="AD63" i="1"/>
  <c r="AD65" i="1" s="1"/>
  <c r="AE63" i="1"/>
  <c r="AE65" i="1" s="1"/>
  <c r="AF63" i="1"/>
  <c r="AF65" i="1" s="1"/>
  <c r="AG63" i="1"/>
  <c r="AG65" i="1" s="1"/>
  <c r="AH63" i="1"/>
  <c r="AH65" i="1" s="1"/>
  <c r="AI63" i="1"/>
  <c r="AI65" i="1" s="1"/>
  <c r="E63" i="1"/>
  <c r="E65" i="1" s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E60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E59" i="1"/>
  <c r="F58" i="1"/>
  <c r="F61" i="1" s="1"/>
  <c r="G58" i="1"/>
  <c r="G61" i="1" s="1"/>
  <c r="H58" i="1"/>
  <c r="H61" i="1" s="1"/>
  <c r="I58" i="1"/>
  <c r="I61" i="1" s="1"/>
  <c r="J58" i="1"/>
  <c r="J61" i="1" s="1"/>
  <c r="K58" i="1"/>
  <c r="K61" i="1" s="1"/>
  <c r="L58" i="1"/>
  <c r="L61" i="1" s="1"/>
  <c r="M58" i="1"/>
  <c r="M61" i="1" s="1"/>
  <c r="N58" i="1"/>
  <c r="N61" i="1" s="1"/>
  <c r="O58" i="1"/>
  <c r="O61" i="1" s="1"/>
  <c r="P58" i="1"/>
  <c r="P61" i="1" s="1"/>
  <c r="Q58" i="1"/>
  <c r="Q61" i="1" s="1"/>
  <c r="R58" i="1"/>
  <c r="R61" i="1" s="1"/>
  <c r="S58" i="1"/>
  <c r="S61" i="1" s="1"/>
  <c r="T58" i="1"/>
  <c r="T61" i="1" s="1"/>
  <c r="U58" i="1"/>
  <c r="U61" i="1" s="1"/>
  <c r="V58" i="1"/>
  <c r="V61" i="1" s="1"/>
  <c r="W58" i="1"/>
  <c r="W61" i="1" s="1"/>
  <c r="X58" i="1"/>
  <c r="X61" i="1" s="1"/>
  <c r="Y58" i="1"/>
  <c r="Y61" i="1" s="1"/>
  <c r="Z58" i="1"/>
  <c r="Z61" i="1" s="1"/>
  <c r="AA58" i="1"/>
  <c r="AA61" i="1" s="1"/>
  <c r="AB58" i="1"/>
  <c r="AB61" i="1" s="1"/>
  <c r="AC58" i="1"/>
  <c r="AC61" i="1" s="1"/>
  <c r="AD58" i="1"/>
  <c r="AD61" i="1" s="1"/>
  <c r="AE58" i="1"/>
  <c r="AE61" i="1" s="1"/>
  <c r="AF58" i="1"/>
  <c r="AF61" i="1" s="1"/>
  <c r="AG58" i="1"/>
  <c r="AG61" i="1" s="1"/>
  <c r="AH58" i="1"/>
  <c r="AH61" i="1" s="1"/>
  <c r="AI58" i="1"/>
  <c r="AI61" i="1" s="1"/>
  <c r="E58" i="1"/>
  <c r="E61" i="1" s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E55" i="1"/>
  <c r="W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E54" i="1"/>
  <c r="F53" i="1"/>
  <c r="F56" i="1" s="1"/>
  <c r="G53" i="1"/>
  <c r="G56" i="1" s="1"/>
  <c r="H53" i="1"/>
  <c r="H56" i="1" s="1"/>
  <c r="I53" i="1"/>
  <c r="I56" i="1" s="1"/>
  <c r="J53" i="1"/>
  <c r="J56" i="1" s="1"/>
  <c r="K53" i="1"/>
  <c r="K56" i="1" s="1"/>
  <c r="L53" i="1"/>
  <c r="L56" i="1" s="1"/>
  <c r="M53" i="1"/>
  <c r="M56" i="1" s="1"/>
  <c r="N53" i="1"/>
  <c r="N56" i="1" s="1"/>
  <c r="O53" i="1"/>
  <c r="O56" i="1" s="1"/>
  <c r="P53" i="1"/>
  <c r="P56" i="1" s="1"/>
  <c r="Q53" i="1"/>
  <c r="Q56" i="1" s="1"/>
  <c r="R53" i="1"/>
  <c r="R56" i="1" s="1"/>
  <c r="S53" i="1"/>
  <c r="S56" i="1" s="1"/>
  <c r="T53" i="1"/>
  <c r="T56" i="1" s="1"/>
  <c r="U53" i="1"/>
  <c r="U56" i="1" s="1"/>
  <c r="V53" i="1"/>
  <c r="V56" i="1" s="1"/>
  <c r="W53" i="1"/>
  <c r="W56" i="1" s="1"/>
  <c r="X53" i="1"/>
  <c r="X56" i="1" s="1"/>
  <c r="Y53" i="1"/>
  <c r="Y56" i="1" s="1"/>
  <c r="Z53" i="1"/>
  <c r="Z56" i="1" s="1"/>
  <c r="AA53" i="1"/>
  <c r="AA56" i="1" s="1"/>
  <c r="AB53" i="1"/>
  <c r="AB56" i="1" s="1"/>
  <c r="AC53" i="1"/>
  <c r="AC56" i="1" s="1"/>
  <c r="AD53" i="1"/>
  <c r="AD56" i="1" s="1"/>
  <c r="AE53" i="1"/>
  <c r="AE56" i="1" s="1"/>
  <c r="AF53" i="1"/>
  <c r="AF56" i="1" s="1"/>
  <c r="AG53" i="1"/>
  <c r="AG56" i="1" s="1"/>
  <c r="AH53" i="1"/>
  <c r="AH56" i="1" s="1"/>
  <c r="AI53" i="1"/>
  <c r="AI56" i="1" s="1"/>
  <c r="E53" i="1"/>
  <c r="E56" i="1" s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E50" i="1"/>
  <c r="F49" i="1"/>
  <c r="F51" i="1" s="1"/>
  <c r="G49" i="1"/>
  <c r="G51" i="1" s="1"/>
  <c r="H49" i="1"/>
  <c r="H51" i="1" s="1"/>
  <c r="I49" i="1"/>
  <c r="I51" i="1" s="1"/>
  <c r="J49" i="1"/>
  <c r="J51" i="1" s="1"/>
  <c r="K49" i="1"/>
  <c r="K51" i="1" s="1"/>
  <c r="L49" i="1"/>
  <c r="L51" i="1" s="1"/>
  <c r="M49" i="1"/>
  <c r="M51" i="1" s="1"/>
  <c r="N49" i="1"/>
  <c r="N51" i="1" s="1"/>
  <c r="O49" i="1"/>
  <c r="O51" i="1" s="1"/>
  <c r="P49" i="1"/>
  <c r="P51" i="1" s="1"/>
  <c r="Q49" i="1"/>
  <c r="Q51" i="1" s="1"/>
  <c r="R49" i="1"/>
  <c r="R51" i="1" s="1"/>
  <c r="S49" i="1"/>
  <c r="S51" i="1" s="1"/>
  <c r="T49" i="1"/>
  <c r="T51" i="1" s="1"/>
  <c r="U49" i="1"/>
  <c r="U51" i="1" s="1"/>
  <c r="V49" i="1"/>
  <c r="V51" i="1" s="1"/>
  <c r="W49" i="1"/>
  <c r="W51" i="1" s="1"/>
  <c r="X49" i="1"/>
  <c r="X51" i="1" s="1"/>
  <c r="Y49" i="1"/>
  <c r="Y51" i="1" s="1"/>
  <c r="Z49" i="1"/>
  <c r="Z51" i="1" s="1"/>
  <c r="AA49" i="1"/>
  <c r="AA51" i="1" s="1"/>
  <c r="AB49" i="1"/>
  <c r="AB51" i="1" s="1"/>
  <c r="AC49" i="1"/>
  <c r="AC51" i="1" s="1"/>
  <c r="AD49" i="1"/>
  <c r="AD51" i="1" s="1"/>
  <c r="AE49" i="1"/>
  <c r="AE51" i="1" s="1"/>
  <c r="AF49" i="1"/>
  <c r="AF51" i="1" s="1"/>
  <c r="AG49" i="1"/>
  <c r="AG51" i="1" s="1"/>
  <c r="AH49" i="1"/>
  <c r="AI49" i="1"/>
  <c r="E49" i="1"/>
  <c r="E51" i="1" s="1"/>
  <c r="AR47" i="11"/>
  <c r="AO47" i="11"/>
  <c r="AP47" i="11" s="1"/>
  <c r="AK47" i="11"/>
  <c r="AL47" i="11" s="1"/>
  <c r="AR46" i="11"/>
  <c r="AO46" i="11"/>
  <c r="AP46" i="11" s="1"/>
  <c r="AK46" i="11"/>
  <c r="AL46" i="11" s="1"/>
  <c r="AR45" i="11"/>
  <c r="AO45" i="11"/>
  <c r="AP45" i="11" s="1"/>
  <c r="AK45" i="11"/>
  <c r="AL45" i="11" s="1"/>
  <c r="AR44" i="11"/>
  <c r="AO44" i="11"/>
  <c r="AP44" i="11" s="1"/>
  <c r="AK44" i="11"/>
  <c r="AL44" i="11" s="1"/>
  <c r="AR43" i="11"/>
  <c r="AO43" i="11"/>
  <c r="AP43" i="11" s="1"/>
  <c r="AK43" i="11"/>
  <c r="AL43" i="11" s="1"/>
  <c r="AR42" i="11"/>
  <c r="AO42" i="11"/>
  <c r="AP42" i="11" s="1"/>
  <c r="AK42" i="11"/>
  <c r="AL42" i="11" s="1"/>
  <c r="AR41" i="11"/>
  <c r="AO41" i="11"/>
  <c r="AP41" i="11" s="1"/>
  <c r="AK41" i="11"/>
  <c r="AL41" i="11" s="1"/>
  <c r="AR40" i="11"/>
  <c r="AO40" i="11"/>
  <c r="AP40" i="11" s="1"/>
  <c r="AK40" i="11"/>
  <c r="AL40" i="11" s="1"/>
  <c r="AR39" i="11"/>
  <c r="AO39" i="11"/>
  <c r="AP39" i="11" s="1"/>
  <c r="AK39" i="11"/>
  <c r="AL39" i="11" s="1"/>
  <c r="AR38" i="11"/>
  <c r="AO38" i="11"/>
  <c r="AP38" i="11" s="1"/>
  <c r="AK38" i="11"/>
  <c r="AL38" i="11" s="1"/>
  <c r="AR37" i="11"/>
  <c r="AO37" i="11"/>
  <c r="AP37" i="11" s="1"/>
  <c r="AK37" i="11"/>
  <c r="AL37" i="11" s="1"/>
  <c r="AR36" i="11"/>
  <c r="AO36" i="11"/>
  <c r="AP36" i="11" s="1"/>
  <c r="AK36" i="11"/>
  <c r="AL36" i="11" s="1"/>
  <c r="AR35" i="11"/>
  <c r="AO35" i="11"/>
  <c r="AP35" i="11" s="1"/>
  <c r="AK35" i="11"/>
  <c r="AL35" i="11" s="1"/>
  <c r="AR34" i="11"/>
  <c r="AO34" i="11"/>
  <c r="AP34" i="11" s="1"/>
  <c r="AK34" i="11"/>
  <c r="AL34" i="11" s="1"/>
  <c r="AR33" i="11"/>
  <c r="AO33" i="11"/>
  <c r="AP33" i="11" s="1"/>
  <c r="AK33" i="11"/>
  <c r="AL33" i="11" s="1"/>
  <c r="AR32" i="11"/>
  <c r="AO32" i="11"/>
  <c r="AP32" i="11" s="1"/>
  <c r="AK32" i="11"/>
  <c r="AL32" i="11" s="1"/>
  <c r="AR31" i="11"/>
  <c r="AO31" i="11"/>
  <c r="AP31" i="11" s="1"/>
  <c r="AK31" i="11"/>
  <c r="AL31" i="11" s="1"/>
  <c r="AR30" i="11"/>
  <c r="AO30" i="11"/>
  <c r="AP30" i="11" s="1"/>
  <c r="AK30" i="11"/>
  <c r="AL30" i="11" s="1"/>
  <c r="AR29" i="11"/>
  <c r="AO29" i="11"/>
  <c r="AP29" i="11" s="1"/>
  <c r="AK29" i="11"/>
  <c r="AL29" i="11" s="1"/>
  <c r="AR28" i="11"/>
  <c r="AO28" i="11"/>
  <c r="AP28" i="11" s="1"/>
  <c r="AK28" i="11"/>
  <c r="AL28" i="11" s="1"/>
  <c r="AR27" i="11"/>
  <c r="AO27" i="11"/>
  <c r="AP27" i="11" s="1"/>
  <c r="AK27" i="11"/>
  <c r="AL27" i="11" s="1"/>
  <c r="AR26" i="11"/>
  <c r="AO26" i="11"/>
  <c r="AP26" i="11" s="1"/>
  <c r="AK26" i="11"/>
  <c r="AL26" i="11" s="1"/>
  <c r="AR25" i="11"/>
  <c r="AO25" i="11"/>
  <c r="AP25" i="11" s="1"/>
  <c r="AK25" i="11"/>
  <c r="AL25" i="11" s="1"/>
  <c r="AR24" i="11"/>
  <c r="AO24" i="11"/>
  <c r="AP24" i="11" s="1"/>
  <c r="AK24" i="11"/>
  <c r="AL24" i="11" s="1"/>
  <c r="AR23" i="11"/>
  <c r="AO23" i="11"/>
  <c r="AP23" i="11" s="1"/>
  <c r="AK23" i="11"/>
  <c r="AL23" i="11" s="1"/>
  <c r="AR22" i="11"/>
  <c r="AO22" i="11"/>
  <c r="AP22" i="11" s="1"/>
  <c r="AK22" i="11"/>
  <c r="AL22" i="11" s="1"/>
  <c r="AR21" i="11"/>
  <c r="AO21" i="11"/>
  <c r="AP21" i="11" s="1"/>
  <c r="AK21" i="11"/>
  <c r="AL21" i="11" s="1"/>
  <c r="AR20" i="11"/>
  <c r="AO20" i="11"/>
  <c r="AP20" i="11" s="1"/>
  <c r="AK20" i="11"/>
  <c r="AL20" i="11" s="1"/>
  <c r="AR19" i="11"/>
  <c r="AO19" i="11"/>
  <c r="AP19" i="11" s="1"/>
  <c r="AK19" i="11"/>
  <c r="AL19" i="11" s="1"/>
  <c r="AR18" i="11"/>
  <c r="AO18" i="11"/>
  <c r="AP18" i="11" s="1"/>
  <c r="AK18" i="11"/>
  <c r="AL18" i="11" s="1"/>
  <c r="AR17" i="11"/>
  <c r="AO17" i="11"/>
  <c r="AP17" i="11" s="1"/>
  <c r="AK17" i="11"/>
  <c r="AL17" i="11" s="1"/>
  <c r="AR16" i="11"/>
  <c r="AO16" i="11"/>
  <c r="AP16" i="11" s="1"/>
  <c r="AK16" i="11"/>
  <c r="AL16" i="11" s="1"/>
  <c r="AR15" i="11"/>
  <c r="AO15" i="11"/>
  <c r="AP15" i="11" s="1"/>
  <c r="AK15" i="11"/>
  <c r="AL15" i="11" s="1"/>
  <c r="AR14" i="11"/>
  <c r="AO14" i="11"/>
  <c r="AP14" i="11" s="1"/>
  <c r="AK14" i="11"/>
  <c r="AL14" i="11" s="1"/>
  <c r="AR13" i="11"/>
  <c r="AO13" i="11"/>
  <c r="AP13" i="11" s="1"/>
  <c r="AK13" i="11"/>
  <c r="AL13" i="11" s="1"/>
  <c r="AR12" i="11"/>
  <c r="AO12" i="11"/>
  <c r="AP12" i="11" s="1"/>
  <c r="AK12" i="11"/>
  <c r="AL12" i="11" s="1"/>
  <c r="AR11" i="11"/>
  <c r="AO11" i="11"/>
  <c r="AP11" i="11" s="1"/>
  <c r="AK11" i="11"/>
  <c r="AL11" i="11" s="1"/>
  <c r="AR10" i="11"/>
  <c r="AO10" i="11"/>
  <c r="AP10" i="11" s="1"/>
  <c r="AK10" i="11"/>
  <c r="AL10" i="11" s="1"/>
  <c r="AR9" i="11"/>
  <c r="AO9" i="11"/>
  <c r="AP9" i="11" s="1"/>
  <c r="AK9" i="11"/>
  <c r="AL9" i="11" s="1"/>
  <c r="AR8" i="11"/>
  <c r="AO8" i="11"/>
  <c r="AP8" i="11" s="1"/>
  <c r="AK8" i="11"/>
  <c r="AL8" i="11" s="1"/>
  <c r="AR7" i="11"/>
  <c r="AO7" i="11"/>
  <c r="AP7" i="11" s="1"/>
  <c r="AK7" i="11"/>
  <c r="AL7" i="11" s="1"/>
  <c r="AR6" i="11"/>
  <c r="AO6" i="11"/>
  <c r="AP6" i="11" s="1"/>
  <c r="AK6" i="11"/>
  <c r="AL6" i="11" s="1"/>
  <c r="AR5" i="11"/>
  <c r="AO5" i="11"/>
  <c r="AP5" i="11" s="1"/>
  <c r="AK5" i="11"/>
  <c r="AL5" i="11" s="1"/>
  <c r="AR47" i="9"/>
  <c r="AO47" i="9"/>
  <c r="AP47" i="9" s="1"/>
  <c r="AK47" i="9"/>
  <c r="AL47" i="9" s="1"/>
  <c r="AR46" i="9"/>
  <c r="AO46" i="9"/>
  <c r="AP46" i="9" s="1"/>
  <c r="AK46" i="9"/>
  <c r="AL46" i="9" s="1"/>
  <c r="AR45" i="9"/>
  <c r="AO45" i="9"/>
  <c r="AP45" i="9" s="1"/>
  <c r="AK45" i="9"/>
  <c r="AL45" i="9" s="1"/>
  <c r="AR44" i="9"/>
  <c r="AO44" i="9"/>
  <c r="AP44" i="9" s="1"/>
  <c r="AK44" i="9"/>
  <c r="AL44" i="9" s="1"/>
  <c r="AR43" i="9"/>
  <c r="AO43" i="9"/>
  <c r="AP43" i="9" s="1"/>
  <c r="AK43" i="9"/>
  <c r="AL43" i="9" s="1"/>
  <c r="AR42" i="9"/>
  <c r="AO42" i="9"/>
  <c r="AP42" i="9" s="1"/>
  <c r="AK42" i="9"/>
  <c r="AL42" i="9" s="1"/>
  <c r="AR41" i="9"/>
  <c r="AO41" i="9"/>
  <c r="AP41" i="9" s="1"/>
  <c r="AK41" i="9"/>
  <c r="AL41" i="9" s="1"/>
  <c r="AR40" i="9"/>
  <c r="AO40" i="9"/>
  <c r="AP40" i="9" s="1"/>
  <c r="AK40" i="9"/>
  <c r="AL40" i="9" s="1"/>
  <c r="AR39" i="9"/>
  <c r="AO39" i="9"/>
  <c r="AP39" i="9" s="1"/>
  <c r="AK39" i="9"/>
  <c r="AL39" i="9" s="1"/>
  <c r="AR38" i="9"/>
  <c r="AO38" i="9"/>
  <c r="AP38" i="9" s="1"/>
  <c r="AK38" i="9"/>
  <c r="AL38" i="9" s="1"/>
  <c r="AR37" i="9"/>
  <c r="AO37" i="9"/>
  <c r="AP37" i="9" s="1"/>
  <c r="AK37" i="9"/>
  <c r="AL37" i="9" s="1"/>
  <c r="AR36" i="9"/>
  <c r="AO36" i="9"/>
  <c r="AP36" i="9" s="1"/>
  <c r="AK36" i="9"/>
  <c r="AL36" i="9" s="1"/>
  <c r="AR35" i="9"/>
  <c r="AO35" i="9"/>
  <c r="AP35" i="9" s="1"/>
  <c r="AK35" i="9"/>
  <c r="AL35" i="9" s="1"/>
  <c r="AR34" i="9"/>
  <c r="AO34" i="9"/>
  <c r="AP34" i="9" s="1"/>
  <c r="AK34" i="9"/>
  <c r="AL34" i="9" s="1"/>
  <c r="AR33" i="9"/>
  <c r="AO33" i="9"/>
  <c r="AP33" i="9" s="1"/>
  <c r="AK33" i="9"/>
  <c r="AL33" i="9" s="1"/>
  <c r="AR32" i="9"/>
  <c r="AO32" i="9"/>
  <c r="AP32" i="9" s="1"/>
  <c r="AK32" i="9"/>
  <c r="AL32" i="9" s="1"/>
  <c r="AR31" i="9"/>
  <c r="AO31" i="9"/>
  <c r="AP31" i="9" s="1"/>
  <c r="AK31" i="9"/>
  <c r="AL31" i="9" s="1"/>
  <c r="AR30" i="9"/>
  <c r="AO30" i="9"/>
  <c r="AP30" i="9" s="1"/>
  <c r="AK30" i="9"/>
  <c r="AL30" i="9" s="1"/>
  <c r="AR29" i="9"/>
  <c r="AO29" i="9"/>
  <c r="AP29" i="9" s="1"/>
  <c r="AK29" i="9"/>
  <c r="AL29" i="9" s="1"/>
  <c r="AR28" i="9"/>
  <c r="AO28" i="9"/>
  <c r="AP28" i="9" s="1"/>
  <c r="AK28" i="9"/>
  <c r="AL28" i="9" s="1"/>
  <c r="AR27" i="9"/>
  <c r="AO27" i="9"/>
  <c r="AP27" i="9" s="1"/>
  <c r="AK27" i="9"/>
  <c r="AL27" i="9" s="1"/>
  <c r="AR26" i="9"/>
  <c r="AO26" i="9"/>
  <c r="AP26" i="9" s="1"/>
  <c r="AK26" i="9"/>
  <c r="AL26" i="9" s="1"/>
  <c r="AR25" i="9"/>
  <c r="AO25" i="9"/>
  <c r="AP25" i="9" s="1"/>
  <c r="AK25" i="9"/>
  <c r="AL25" i="9" s="1"/>
  <c r="AR24" i="9"/>
  <c r="AO24" i="9"/>
  <c r="AP24" i="9" s="1"/>
  <c r="AK24" i="9"/>
  <c r="AL24" i="9" s="1"/>
  <c r="AR23" i="9"/>
  <c r="AO23" i="9"/>
  <c r="AP23" i="9" s="1"/>
  <c r="AK23" i="9"/>
  <c r="AL23" i="9" s="1"/>
  <c r="AR22" i="9"/>
  <c r="AO22" i="9"/>
  <c r="AP22" i="9" s="1"/>
  <c r="AK22" i="9"/>
  <c r="AL22" i="9" s="1"/>
  <c r="AR21" i="9"/>
  <c r="AO21" i="9"/>
  <c r="AP21" i="9" s="1"/>
  <c r="AK21" i="9"/>
  <c r="AL21" i="9" s="1"/>
  <c r="AR20" i="9"/>
  <c r="AO20" i="9"/>
  <c r="AP20" i="9" s="1"/>
  <c r="AK20" i="9"/>
  <c r="AL20" i="9" s="1"/>
  <c r="AR19" i="9"/>
  <c r="AO19" i="9"/>
  <c r="AP19" i="9" s="1"/>
  <c r="AK19" i="9"/>
  <c r="AL19" i="9" s="1"/>
  <c r="AR18" i="9"/>
  <c r="AO18" i="9"/>
  <c r="AP18" i="9" s="1"/>
  <c r="AK18" i="9"/>
  <c r="AL18" i="9" s="1"/>
  <c r="AR17" i="9"/>
  <c r="AO17" i="9"/>
  <c r="AP17" i="9" s="1"/>
  <c r="AK17" i="9"/>
  <c r="AL17" i="9" s="1"/>
  <c r="AR16" i="9"/>
  <c r="AO16" i="9"/>
  <c r="AP16" i="9" s="1"/>
  <c r="AK16" i="9"/>
  <c r="AL16" i="9" s="1"/>
  <c r="AR15" i="9"/>
  <c r="AO15" i="9"/>
  <c r="AP15" i="9" s="1"/>
  <c r="AK15" i="9"/>
  <c r="AL15" i="9" s="1"/>
  <c r="AR14" i="9"/>
  <c r="AO14" i="9"/>
  <c r="AP14" i="9" s="1"/>
  <c r="AK14" i="9"/>
  <c r="AL14" i="9" s="1"/>
  <c r="AR13" i="9"/>
  <c r="AO13" i="9"/>
  <c r="AP13" i="9" s="1"/>
  <c r="AK13" i="9"/>
  <c r="AL13" i="9" s="1"/>
  <c r="AR12" i="9"/>
  <c r="AO12" i="9"/>
  <c r="AP12" i="9" s="1"/>
  <c r="AK12" i="9"/>
  <c r="AL12" i="9" s="1"/>
  <c r="AR11" i="9"/>
  <c r="AO11" i="9"/>
  <c r="AP11" i="9" s="1"/>
  <c r="AK11" i="9"/>
  <c r="AL11" i="9" s="1"/>
  <c r="AR10" i="9"/>
  <c r="AO10" i="9"/>
  <c r="AP10" i="9" s="1"/>
  <c r="AK10" i="9"/>
  <c r="AL10" i="9" s="1"/>
  <c r="AR9" i="9"/>
  <c r="AO9" i="9"/>
  <c r="AP9" i="9" s="1"/>
  <c r="AK9" i="9"/>
  <c r="AL9" i="9" s="1"/>
  <c r="AR8" i="9"/>
  <c r="AO8" i="9"/>
  <c r="AP8" i="9" s="1"/>
  <c r="AK8" i="9"/>
  <c r="AL8" i="9" s="1"/>
  <c r="AR7" i="9"/>
  <c r="AO7" i="9"/>
  <c r="AP7" i="9" s="1"/>
  <c r="AK7" i="9"/>
  <c r="AL7" i="9" s="1"/>
  <c r="AR6" i="9"/>
  <c r="AO6" i="9"/>
  <c r="AP6" i="9" s="1"/>
  <c r="AK6" i="9"/>
  <c r="AL6" i="9" s="1"/>
  <c r="AR5" i="9"/>
  <c r="AO5" i="9"/>
  <c r="AP5" i="9" s="1"/>
  <c r="AK5" i="9"/>
  <c r="AL5" i="9" s="1"/>
  <c r="AR47" i="6"/>
  <c r="AO47" i="6"/>
  <c r="AP47" i="6" s="1"/>
  <c r="AK47" i="6"/>
  <c r="AL47" i="6" s="1"/>
  <c r="AR46" i="6"/>
  <c r="AO46" i="6"/>
  <c r="AP46" i="6" s="1"/>
  <c r="AK46" i="6"/>
  <c r="AL46" i="6" s="1"/>
  <c r="AR45" i="6"/>
  <c r="AO45" i="6"/>
  <c r="AP45" i="6" s="1"/>
  <c r="AK45" i="6"/>
  <c r="AL45" i="6" s="1"/>
  <c r="AR44" i="6"/>
  <c r="AO44" i="6"/>
  <c r="AP44" i="6" s="1"/>
  <c r="AK44" i="6"/>
  <c r="AL44" i="6" s="1"/>
  <c r="AR43" i="6"/>
  <c r="AO43" i="6"/>
  <c r="AP43" i="6" s="1"/>
  <c r="AK43" i="6"/>
  <c r="AL43" i="6" s="1"/>
  <c r="AR42" i="6"/>
  <c r="AO42" i="6"/>
  <c r="AP42" i="6" s="1"/>
  <c r="AK42" i="6"/>
  <c r="AL42" i="6" s="1"/>
  <c r="AR41" i="6"/>
  <c r="AO41" i="6"/>
  <c r="AP41" i="6" s="1"/>
  <c r="AK41" i="6"/>
  <c r="AL41" i="6" s="1"/>
  <c r="AR40" i="6"/>
  <c r="AO40" i="6"/>
  <c r="AP40" i="6" s="1"/>
  <c r="AK40" i="6"/>
  <c r="AL40" i="6" s="1"/>
  <c r="AR39" i="6"/>
  <c r="AO39" i="6"/>
  <c r="AP39" i="6" s="1"/>
  <c r="AK39" i="6"/>
  <c r="AL39" i="6" s="1"/>
  <c r="AR38" i="6"/>
  <c r="AO38" i="6"/>
  <c r="AP38" i="6" s="1"/>
  <c r="AK38" i="6"/>
  <c r="AL38" i="6" s="1"/>
  <c r="AR37" i="6"/>
  <c r="AO37" i="6"/>
  <c r="AP37" i="6" s="1"/>
  <c r="AK37" i="6"/>
  <c r="AL37" i="6" s="1"/>
  <c r="AR36" i="6"/>
  <c r="AO36" i="6"/>
  <c r="AP36" i="6" s="1"/>
  <c r="AK36" i="6"/>
  <c r="AL36" i="6" s="1"/>
  <c r="AR35" i="6"/>
  <c r="AO35" i="6"/>
  <c r="AP35" i="6" s="1"/>
  <c r="AK35" i="6"/>
  <c r="AL35" i="6" s="1"/>
  <c r="AR34" i="6"/>
  <c r="AO34" i="6"/>
  <c r="AP34" i="6" s="1"/>
  <c r="AK34" i="6"/>
  <c r="AL34" i="6" s="1"/>
  <c r="AR33" i="6"/>
  <c r="AO33" i="6"/>
  <c r="AP33" i="6" s="1"/>
  <c r="AK33" i="6"/>
  <c r="AL33" i="6" s="1"/>
  <c r="AR32" i="6"/>
  <c r="AO32" i="6"/>
  <c r="AP32" i="6" s="1"/>
  <c r="AK32" i="6"/>
  <c r="AL32" i="6" s="1"/>
  <c r="AR31" i="6"/>
  <c r="AO31" i="6"/>
  <c r="AP31" i="6" s="1"/>
  <c r="AK31" i="6"/>
  <c r="AL31" i="6" s="1"/>
  <c r="AR30" i="6"/>
  <c r="AO30" i="6"/>
  <c r="AP30" i="6" s="1"/>
  <c r="AK30" i="6"/>
  <c r="AL30" i="6" s="1"/>
  <c r="AR29" i="6"/>
  <c r="AO29" i="6"/>
  <c r="AP29" i="6" s="1"/>
  <c r="AK29" i="6"/>
  <c r="AL29" i="6" s="1"/>
  <c r="AR28" i="6"/>
  <c r="AO28" i="6"/>
  <c r="AP28" i="6" s="1"/>
  <c r="AK28" i="6"/>
  <c r="AL28" i="6" s="1"/>
  <c r="AR27" i="6"/>
  <c r="AO27" i="6"/>
  <c r="AP27" i="6" s="1"/>
  <c r="AK27" i="6"/>
  <c r="AL27" i="6" s="1"/>
  <c r="AR26" i="6"/>
  <c r="AO26" i="6"/>
  <c r="AP26" i="6" s="1"/>
  <c r="AK26" i="6"/>
  <c r="AL26" i="6" s="1"/>
  <c r="AR25" i="6"/>
  <c r="AO25" i="6"/>
  <c r="AP25" i="6" s="1"/>
  <c r="AK25" i="6"/>
  <c r="AL25" i="6" s="1"/>
  <c r="AR24" i="6"/>
  <c r="AO24" i="6"/>
  <c r="AP24" i="6" s="1"/>
  <c r="AK24" i="6"/>
  <c r="AL24" i="6" s="1"/>
  <c r="AR23" i="6"/>
  <c r="AO23" i="6"/>
  <c r="AP23" i="6" s="1"/>
  <c r="AK23" i="6"/>
  <c r="AL23" i="6" s="1"/>
  <c r="AR22" i="6"/>
  <c r="AO22" i="6"/>
  <c r="AP22" i="6" s="1"/>
  <c r="AK22" i="6"/>
  <c r="AL22" i="6" s="1"/>
  <c r="AR21" i="6"/>
  <c r="AO21" i="6"/>
  <c r="AP21" i="6" s="1"/>
  <c r="AK21" i="6"/>
  <c r="AL21" i="6" s="1"/>
  <c r="AR20" i="6"/>
  <c r="AO20" i="6"/>
  <c r="AP20" i="6" s="1"/>
  <c r="AK20" i="6"/>
  <c r="AL20" i="6" s="1"/>
  <c r="AR19" i="6"/>
  <c r="AO19" i="6"/>
  <c r="AP19" i="6" s="1"/>
  <c r="AK19" i="6"/>
  <c r="AL19" i="6" s="1"/>
  <c r="AR18" i="6"/>
  <c r="AO18" i="6"/>
  <c r="AP18" i="6" s="1"/>
  <c r="AK18" i="6"/>
  <c r="AL18" i="6" s="1"/>
  <c r="AR17" i="6"/>
  <c r="AO17" i="6"/>
  <c r="AP17" i="6" s="1"/>
  <c r="AK17" i="6"/>
  <c r="AL17" i="6" s="1"/>
  <c r="AR16" i="6"/>
  <c r="AO16" i="6"/>
  <c r="AP16" i="6" s="1"/>
  <c r="AK16" i="6"/>
  <c r="AL16" i="6" s="1"/>
  <c r="AR15" i="6"/>
  <c r="AO15" i="6"/>
  <c r="AP15" i="6" s="1"/>
  <c r="AK15" i="6"/>
  <c r="AL15" i="6" s="1"/>
  <c r="AR14" i="6"/>
  <c r="AO14" i="6"/>
  <c r="AP14" i="6" s="1"/>
  <c r="AK14" i="6"/>
  <c r="AL14" i="6" s="1"/>
  <c r="AR13" i="6"/>
  <c r="AO13" i="6"/>
  <c r="AP13" i="6" s="1"/>
  <c r="AK13" i="6"/>
  <c r="AL13" i="6" s="1"/>
  <c r="AR12" i="6"/>
  <c r="AO12" i="6"/>
  <c r="AP12" i="6" s="1"/>
  <c r="AK12" i="6"/>
  <c r="AL12" i="6" s="1"/>
  <c r="AR11" i="6"/>
  <c r="AO11" i="6"/>
  <c r="AP11" i="6" s="1"/>
  <c r="AK11" i="6"/>
  <c r="AL11" i="6" s="1"/>
  <c r="AR10" i="6"/>
  <c r="AO10" i="6"/>
  <c r="AP10" i="6" s="1"/>
  <c r="AK10" i="6"/>
  <c r="AL10" i="6" s="1"/>
  <c r="AR9" i="6"/>
  <c r="AO9" i="6"/>
  <c r="AP9" i="6" s="1"/>
  <c r="AK9" i="6"/>
  <c r="AL9" i="6" s="1"/>
  <c r="AR8" i="6"/>
  <c r="AO8" i="6"/>
  <c r="AP8" i="6" s="1"/>
  <c r="AK8" i="6"/>
  <c r="AL8" i="6" s="1"/>
  <c r="AR7" i="6"/>
  <c r="AO7" i="6"/>
  <c r="AP7" i="6" s="1"/>
  <c r="AK7" i="6"/>
  <c r="AL7" i="6" s="1"/>
  <c r="AR6" i="6"/>
  <c r="AO6" i="6"/>
  <c r="AP6" i="6" s="1"/>
  <c r="AK6" i="6"/>
  <c r="AL6" i="6" s="1"/>
  <c r="AR5" i="6"/>
  <c r="AO5" i="6"/>
  <c r="AP5" i="6" s="1"/>
  <c r="AK5" i="6"/>
  <c r="AL5" i="6" s="1"/>
  <c r="AR47" i="4"/>
  <c r="AO47" i="4"/>
  <c r="AP47" i="4" s="1"/>
  <c r="AR46" i="4"/>
  <c r="AO46" i="4"/>
  <c r="AP46" i="4" s="1"/>
  <c r="AR45" i="4"/>
  <c r="AO45" i="4"/>
  <c r="AP45" i="4" s="1"/>
  <c r="AR44" i="4"/>
  <c r="AO44" i="4"/>
  <c r="AP44" i="4" s="1"/>
  <c r="AR43" i="4"/>
  <c r="AO43" i="4"/>
  <c r="AP43" i="4" s="1"/>
  <c r="AR42" i="4"/>
  <c r="AO42" i="4"/>
  <c r="AP42" i="4" s="1"/>
  <c r="AR41" i="4"/>
  <c r="AO41" i="4"/>
  <c r="AP41" i="4" s="1"/>
  <c r="AR40" i="4"/>
  <c r="AO40" i="4"/>
  <c r="AP40" i="4" s="1"/>
  <c r="AR39" i="4"/>
  <c r="AO39" i="4"/>
  <c r="AP39" i="4" s="1"/>
  <c r="AR38" i="4"/>
  <c r="AO38" i="4"/>
  <c r="AP38" i="4" s="1"/>
  <c r="AR37" i="4"/>
  <c r="AO37" i="4"/>
  <c r="AP37" i="4" s="1"/>
  <c r="AR36" i="4"/>
  <c r="AO36" i="4"/>
  <c r="AP36" i="4" s="1"/>
  <c r="AR35" i="4"/>
  <c r="AO35" i="4"/>
  <c r="AP35" i="4" s="1"/>
  <c r="AR34" i="4"/>
  <c r="AO34" i="4"/>
  <c r="AP34" i="4" s="1"/>
  <c r="AR33" i="4"/>
  <c r="AO33" i="4"/>
  <c r="AP33" i="4" s="1"/>
  <c r="AR32" i="4"/>
  <c r="AO32" i="4"/>
  <c r="AP32" i="4" s="1"/>
  <c r="AR31" i="4"/>
  <c r="AO31" i="4"/>
  <c r="AP31" i="4" s="1"/>
  <c r="AR30" i="4"/>
  <c r="AO30" i="4"/>
  <c r="AP30" i="4" s="1"/>
  <c r="AR29" i="4"/>
  <c r="AO29" i="4"/>
  <c r="AP29" i="4" s="1"/>
  <c r="AR28" i="4"/>
  <c r="AO28" i="4"/>
  <c r="AP28" i="4" s="1"/>
  <c r="AR27" i="4"/>
  <c r="AO27" i="4"/>
  <c r="AP27" i="4" s="1"/>
  <c r="AR26" i="4"/>
  <c r="AO26" i="4"/>
  <c r="AP26" i="4" s="1"/>
  <c r="AR25" i="4"/>
  <c r="AO25" i="4"/>
  <c r="AP25" i="4" s="1"/>
  <c r="AR24" i="4"/>
  <c r="AO24" i="4"/>
  <c r="AP24" i="4" s="1"/>
  <c r="AR23" i="4"/>
  <c r="AO23" i="4"/>
  <c r="AP23" i="4" s="1"/>
  <c r="AR22" i="4"/>
  <c r="AO22" i="4"/>
  <c r="AP22" i="4" s="1"/>
  <c r="AR21" i="4"/>
  <c r="AO21" i="4"/>
  <c r="AP21" i="4" s="1"/>
  <c r="AR20" i="4"/>
  <c r="AO20" i="4"/>
  <c r="AP20" i="4" s="1"/>
  <c r="AR19" i="4"/>
  <c r="AO19" i="4"/>
  <c r="AP19" i="4" s="1"/>
  <c r="AR18" i="4"/>
  <c r="AO18" i="4"/>
  <c r="AP18" i="4" s="1"/>
  <c r="AR17" i="4"/>
  <c r="AO17" i="4"/>
  <c r="AP17" i="4" s="1"/>
  <c r="AR16" i="4"/>
  <c r="AO16" i="4"/>
  <c r="AP16" i="4" s="1"/>
  <c r="AR15" i="4"/>
  <c r="AO15" i="4"/>
  <c r="AP15" i="4" s="1"/>
  <c r="AR14" i="4"/>
  <c r="AO14" i="4"/>
  <c r="AP14" i="4" s="1"/>
  <c r="AR13" i="4"/>
  <c r="AO13" i="4"/>
  <c r="AP13" i="4" s="1"/>
  <c r="AR12" i="4"/>
  <c r="AO12" i="4"/>
  <c r="AP12" i="4" s="1"/>
  <c r="AR11" i="4"/>
  <c r="AO11" i="4"/>
  <c r="AP11" i="4" s="1"/>
  <c r="AR10" i="4"/>
  <c r="AO10" i="4"/>
  <c r="AP10" i="4" s="1"/>
  <c r="AR9" i="4"/>
  <c r="AO9" i="4"/>
  <c r="AP9" i="4" s="1"/>
  <c r="AR8" i="4"/>
  <c r="AO8" i="4"/>
  <c r="AP8" i="4" s="1"/>
  <c r="AR7" i="4"/>
  <c r="AO7" i="4"/>
  <c r="AP7" i="4" s="1"/>
  <c r="AR6" i="4"/>
  <c r="AO6" i="4"/>
  <c r="AP6" i="4" s="1"/>
  <c r="AR5" i="4"/>
  <c r="AO5" i="4"/>
  <c r="AP5" i="4" s="1"/>
  <c r="AS47" i="12"/>
  <c r="AP47" i="12"/>
  <c r="AQ47" i="12" s="1"/>
  <c r="AL47" i="12"/>
  <c r="AM47" i="12" s="1"/>
  <c r="AS46" i="12"/>
  <c r="AP46" i="12"/>
  <c r="AQ46" i="12" s="1"/>
  <c r="AL46" i="12"/>
  <c r="AM46" i="12" s="1"/>
  <c r="AS45" i="12"/>
  <c r="AP45" i="12"/>
  <c r="AQ45" i="12" s="1"/>
  <c r="AL45" i="12"/>
  <c r="AM45" i="12" s="1"/>
  <c r="AS44" i="12"/>
  <c r="AP44" i="12"/>
  <c r="AQ44" i="12" s="1"/>
  <c r="AL44" i="12"/>
  <c r="AM44" i="12" s="1"/>
  <c r="AS43" i="12"/>
  <c r="AP43" i="12"/>
  <c r="AQ43" i="12" s="1"/>
  <c r="AL43" i="12"/>
  <c r="AM43" i="12" s="1"/>
  <c r="AS42" i="12"/>
  <c r="AP42" i="12"/>
  <c r="AQ42" i="12" s="1"/>
  <c r="AL42" i="12"/>
  <c r="AM42" i="12" s="1"/>
  <c r="AS41" i="12"/>
  <c r="AP41" i="12"/>
  <c r="AQ41" i="12" s="1"/>
  <c r="AL41" i="12"/>
  <c r="AM41" i="12" s="1"/>
  <c r="AS40" i="12"/>
  <c r="AP40" i="12"/>
  <c r="AQ40" i="12" s="1"/>
  <c r="AL40" i="12"/>
  <c r="AM40" i="12" s="1"/>
  <c r="AS39" i="12"/>
  <c r="AP39" i="12"/>
  <c r="AQ39" i="12" s="1"/>
  <c r="AL39" i="12"/>
  <c r="AM39" i="12" s="1"/>
  <c r="AS38" i="12"/>
  <c r="AP38" i="12"/>
  <c r="AQ38" i="12" s="1"/>
  <c r="AL38" i="12"/>
  <c r="AM38" i="12" s="1"/>
  <c r="AS37" i="12"/>
  <c r="AP37" i="12"/>
  <c r="AQ37" i="12" s="1"/>
  <c r="AL37" i="12"/>
  <c r="AM37" i="12" s="1"/>
  <c r="AS36" i="12"/>
  <c r="AP36" i="12"/>
  <c r="AQ36" i="12" s="1"/>
  <c r="AL36" i="12"/>
  <c r="AM36" i="12" s="1"/>
  <c r="AS35" i="12"/>
  <c r="AP35" i="12"/>
  <c r="AQ35" i="12" s="1"/>
  <c r="AL35" i="12"/>
  <c r="AM35" i="12" s="1"/>
  <c r="AS34" i="12"/>
  <c r="AP34" i="12"/>
  <c r="AQ34" i="12" s="1"/>
  <c r="AL34" i="12"/>
  <c r="AM34" i="12" s="1"/>
  <c r="AS33" i="12"/>
  <c r="AP33" i="12"/>
  <c r="AQ33" i="12" s="1"/>
  <c r="AL33" i="12"/>
  <c r="AM33" i="12" s="1"/>
  <c r="AS32" i="12"/>
  <c r="AP32" i="12"/>
  <c r="AQ32" i="12" s="1"/>
  <c r="AL32" i="12"/>
  <c r="AM32" i="12" s="1"/>
  <c r="AS31" i="12"/>
  <c r="AP31" i="12"/>
  <c r="AQ31" i="12" s="1"/>
  <c r="AL31" i="12"/>
  <c r="AM31" i="12" s="1"/>
  <c r="AS30" i="12"/>
  <c r="AP30" i="12"/>
  <c r="AQ30" i="12" s="1"/>
  <c r="AL30" i="12"/>
  <c r="AM30" i="12" s="1"/>
  <c r="AS29" i="12"/>
  <c r="AP29" i="12"/>
  <c r="AQ29" i="12" s="1"/>
  <c r="AL29" i="12"/>
  <c r="AM29" i="12" s="1"/>
  <c r="AS28" i="12"/>
  <c r="AP28" i="12"/>
  <c r="AQ28" i="12" s="1"/>
  <c r="AL28" i="12"/>
  <c r="AM28" i="12" s="1"/>
  <c r="AS27" i="12"/>
  <c r="AP27" i="12"/>
  <c r="AQ27" i="12" s="1"/>
  <c r="AL27" i="12"/>
  <c r="AM27" i="12" s="1"/>
  <c r="AS26" i="12"/>
  <c r="AP26" i="12"/>
  <c r="AQ26" i="12" s="1"/>
  <c r="AL26" i="12"/>
  <c r="AM26" i="12" s="1"/>
  <c r="AS25" i="12"/>
  <c r="AP25" i="12"/>
  <c r="AQ25" i="12" s="1"/>
  <c r="AL25" i="12"/>
  <c r="AM25" i="12" s="1"/>
  <c r="AS24" i="12"/>
  <c r="AP24" i="12"/>
  <c r="AQ24" i="12" s="1"/>
  <c r="AL24" i="12"/>
  <c r="AM24" i="12" s="1"/>
  <c r="AS23" i="12"/>
  <c r="AP23" i="12"/>
  <c r="AQ23" i="12" s="1"/>
  <c r="AL23" i="12"/>
  <c r="AM23" i="12" s="1"/>
  <c r="AS22" i="12"/>
  <c r="AP22" i="12"/>
  <c r="AQ22" i="12" s="1"/>
  <c r="AL22" i="12"/>
  <c r="AM22" i="12" s="1"/>
  <c r="AS21" i="12"/>
  <c r="AP21" i="12"/>
  <c r="AQ21" i="12" s="1"/>
  <c r="AL21" i="12"/>
  <c r="AM21" i="12" s="1"/>
  <c r="AS20" i="12"/>
  <c r="AP20" i="12"/>
  <c r="AQ20" i="12" s="1"/>
  <c r="AL20" i="12"/>
  <c r="AM20" i="12" s="1"/>
  <c r="AS19" i="12"/>
  <c r="AP19" i="12"/>
  <c r="AQ19" i="12" s="1"/>
  <c r="AL19" i="12"/>
  <c r="AM19" i="12" s="1"/>
  <c r="AS18" i="12"/>
  <c r="AP18" i="12"/>
  <c r="AQ18" i="12" s="1"/>
  <c r="AL18" i="12"/>
  <c r="AM18" i="12" s="1"/>
  <c r="AS17" i="12"/>
  <c r="AP17" i="12"/>
  <c r="AQ17" i="12" s="1"/>
  <c r="AL17" i="12"/>
  <c r="AM17" i="12" s="1"/>
  <c r="AS16" i="12"/>
  <c r="AP16" i="12"/>
  <c r="AQ16" i="12" s="1"/>
  <c r="AL16" i="12"/>
  <c r="AM16" i="12" s="1"/>
  <c r="AS15" i="12"/>
  <c r="AP15" i="12"/>
  <c r="AQ15" i="12" s="1"/>
  <c r="AL15" i="12"/>
  <c r="AM15" i="12" s="1"/>
  <c r="AS14" i="12"/>
  <c r="AP14" i="12"/>
  <c r="AQ14" i="12" s="1"/>
  <c r="AL14" i="12"/>
  <c r="AM14" i="12" s="1"/>
  <c r="AS13" i="12"/>
  <c r="AP13" i="12"/>
  <c r="AQ13" i="12" s="1"/>
  <c r="AL13" i="12"/>
  <c r="AM13" i="12" s="1"/>
  <c r="AS12" i="12"/>
  <c r="AP12" i="12"/>
  <c r="AQ12" i="12" s="1"/>
  <c r="AL12" i="12"/>
  <c r="AM12" i="12" s="1"/>
  <c r="AS11" i="12"/>
  <c r="AP11" i="12"/>
  <c r="AQ11" i="12" s="1"/>
  <c r="AL11" i="12"/>
  <c r="AM11" i="12" s="1"/>
  <c r="AS10" i="12"/>
  <c r="AP10" i="12"/>
  <c r="AQ10" i="12" s="1"/>
  <c r="AL10" i="12"/>
  <c r="AM10" i="12" s="1"/>
  <c r="AS9" i="12"/>
  <c r="AP9" i="12"/>
  <c r="AQ9" i="12" s="1"/>
  <c r="AL9" i="12"/>
  <c r="AM9" i="12" s="1"/>
  <c r="AS8" i="12"/>
  <c r="AP8" i="12"/>
  <c r="AQ8" i="12" s="1"/>
  <c r="AL8" i="12"/>
  <c r="AM8" i="12" s="1"/>
  <c r="AS7" i="12"/>
  <c r="AP7" i="12"/>
  <c r="AQ7" i="12" s="1"/>
  <c r="AL7" i="12"/>
  <c r="AM7" i="12" s="1"/>
  <c r="AS6" i="12"/>
  <c r="AP6" i="12"/>
  <c r="AQ6" i="12" s="1"/>
  <c r="AL6" i="12"/>
  <c r="AM6" i="12" s="1"/>
  <c r="AS5" i="12"/>
  <c r="AP5" i="12"/>
  <c r="AQ5" i="12" s="1"/>
  <c r="AL5" i="12"/>
  <c r="AM5" i="12" s="1"/>
  <c r="AS47" i="10"/>
  <c r="AP47" i="10"/>
  <c r="AQ47" i="10" s="1"/>
  <c r="AL47" i="10"/>
  <c r="AM47" i="10" s="1"/>
  <c r="AS46" i="10"/>
  <c r="AP46" i="10"/>
  <c r="AQ46" i="10" s="1"/>
  <c r="AL46" i="10"/>
  <c r="AM46" i="10" s="1"/>
  <c r="AS45" i="10"/>
  <c r="AP45" i="10"/>
  <c r="AQ45" i="10" s="1"/>
  <c r="AL45" i="10"/>
  <c r="AM45" i="10" s="1"/>
  <c r="AS44" i="10"/>
  <c r="AP44" i="10"/>
  <c r="AQ44" i="10" s="1"/>
  <c r="AL44" i="10"/>
  <c r="AM44" i="10" s="1"/>
  <c r="AS43" i="10"/>
  <c r="AP43" i="10"/>
  <c r="AQ43" i="10" s="1"/>
  <c r="AL43" i="10"/>
  <c r="AM43" i="10" s="1"/>
  <c r="AS42" i="10"/>
  <c r="AP42" i="10"/>
  <c r="AQ42" i="10" s="1"/>
  <c r="AL42" i="10"/>
  <c r="AM42" i="10" s="1"/>
  <c r="AS41" i="10"/>
  <c r="AP41" i="10"/>
  <c r="AQ41" i="10" s="1"/>
  <c r="AL41" i="10"/>
  <c r="AM41" i="10" s="1"/>
  <c r="AS40" i="10"/>
  <c r="AP40" i="10"/>
  <c r="AQ40" i="10" s="1"/>
  <c r="AL40" i="10"/>
  <c r="AM40" i="10" s="1"/>
  <c r="AS39" i="10"/>
  <c r="AP39" i="10"/>
  <c r="AQ39" i="10" s="1"/>
  <c r="AL39" i="10"/>
  <c r="AM39" i="10" s="1"/>
  <c r="AS38" i="10"/>
  <c r="AP38" i="10"/>
  <c r="AQ38" i="10" s="1"/>
  <c r="AL38" i="10"/>
  <c r="AM38" i="10" s="1"/>
  <c r="AS37" i="10"/>
  <c r="AP37" i="10"/>
  <c r="AQ37" i="10" s="1"/>
  <c r="AL37" i="10"/>
  <c r="AM37" i="10" s="1"/>
  <c r="AS36" i="10"/>
  <c r="AP36" i="10"/>
  <c r="AQ36" i="10" s="1"/>
  <c r="AL36" i="10"/>
  <c r="AM36" i="10" s="1"/>
  <c r="AS35" i="10"/>
  <c r="AP35" i="10"/>
  <c r="AQ35" i="10" s="1"/>
  <c r="AL35" i="10"/>
  <c r="AM35" i="10" s="1"/>
  <c r="AS34" i="10"/>
  <c r="AP34" i="10"/>
  <c r="AQ34" i="10" s="1"/>
  <c r="AL34" i="10"/>
  <c r="AM34" i="10" s="1"/>
  <c r="AS33" i="10"/>
  <c r="AP33" i="10"/>
  <c r="AQ33" i="10" s="1"/>
  <c r="AL33" i="10"/>
  <c r="AM33" i="10" s="1"/>
  <c r="AS32" i="10"/>
  <c r="AP32" i="10"/>
  <c r="AQ32" i="10" s="1"/>
  <c r="AL32" i="10"/>
  <c r="AM32" i="10" s="1"/>
  <c r="AS31" i="10"/>
  <c r="AP31" i="10"/>
  <c r="AQ31" i="10" s="1"/>
  <c r="AL31" i="10"/>
  <c r="AM31" i="10" s="1"/>
  <c r="AS30" i="10"/>
  <c r="AP30" i="10"/>
  <c r="AQ30" i="10" s="1"/>
  <c r="AL30" i="10"/>
  <c r="AM30" i="10" s="1"/>
  <c r="AS29" i="10"/>
  <c r="AP29" i="10"/>
  <c r="AQ29" i="10" s="1"/>
  <c r="AL29" i="10"/>
  <c r="AM29" i="10" s="1"/>
  <c r="AS28" i="10"/>
  <c r="AP28" i="10"/>
  <c r="AQ28" i="10" s="1"/>
  <c r="AL28" i="10"/>
  <c r="AM28" i="10" s="1"/>
  <c r="AS27" i="10"/>
  <c r="AP27" i="10"/>
  <c r="AQ27" i="10" s="1"/>
  <c r="AL27" i="10"/>
  <c r="AM27" i="10" s="1"/>
  <c r="AS26" i="10"/>
  <c r="AP26" i="10"/>
  <c r="AQ26" i="10" s="1"/>
  <c r="AL26" i="10"/>
  <c r="AM26" i="10" s="1"/>
  <c r="AS25" i="10"/>
  <c r="AP25" i="10"/>
  <c r="AQ25" i="10" s="1"/>
  <c r="AL25" i="10"/>
  <c r="AM25" i="10" s="1"/>
  <c r="AS24" i="10"/>
  <c r="AP24" i="10"/>
  <c r="AQ24" i="10" s="1"/>
  <c r="AL24" i="10"/>
  <c r="AM24" i="10" s="1"/>
  <c r="AS23" i="10"/>
  <c r="AP23" i="10"/>
  <c r="AQ23" i="10" s="1"/>
  <c r="AL23" i="10"/>
  <c r="AM23" i="10" s="1"/>
  <c r="AS22" i="10"/>
  <c r="AP22" i="10"/>
  <c r="AQ22" i="10" s="1"/>
  <c r="AL22" i="10"/>
  <c r="AM22" i="10" s="1"/>
  <c r="AS21" i="10"/>
  <c r="AP21" i="10"/>
  <c r="AQ21" i="10" s="1"/>
  <c r="AL21" i="10"/>
  <c r="AM21" i="10" s="1"/>
  <c r="AS20" i="10"/>
  <c r="AP20" i="10"/>
  <c r="AQ20" i="10" s="1"/>
  <c r="AL20" i="10"/>
  <c r="AM20" i="10" s="1"/>
  <c r="AS19" i="10"/>
  <c r="AP19" i="10"/>
  <c r="AQ19" i="10" s="1"/>
  <c r="AL19" i="10"/>
  <c r="AM19" i="10" s="1"/>
  <c r="AS18" i="10"/>
  <c r="AP18" i="10"/>
  <c r="AQ18" i="10" s="1"/>
  <c r="AL18" i="10"/>
  <c r="AM18" i="10" s="1"/>
  <c r="AS17" i="10"/>
  <c r="AP17" i="10"/>
  <c r="AQ17" i="10" s="1"/>
  <c r="AL17" i="10"/>
  <c r="AM17" i="10" s="1"/>
  <c r="AS16" i="10"/>
  <c r="AP16" i="10"/>
  <c r="AQ16" i="10" s="1"/>
  <c r="AL16" i="10"/>
  <c r="AM16" i="10" s="1"/>
  <c r="AS15" i="10"/>
  <c r="AP15" i="10"/>
  <c r="AQ15" i="10" s="1"/>
  <c r="AL15" i="10"/>
  <c r="AM15" i="10" s="1"/>
  <c r="AS14" i="10"/>
  <c r="AP14" i="10"/>
  <c r="AQ14" i="10" s="1"/>
  <c r="AL14" i="10"/>
  <c r="AM14" i="10" s="1"/>
  <c r="AS13" i="10"/>
  <c r="AP13" i="10"/>
  <c r="AQ13" i="10" s="1"/>
  <c r="AL13" i="10"/>
  <c r="AM13" i="10" s="1"/>
  <c r="AS12" i="10"/>
  <c r="AP12" i="10"/>
  <c r="AQ12" i="10" s="1"/>
  <c r="AL12" i="10"/>
  <c r="AM12" i="10" s="1"/>
  <c r="AS11" i="10"/>
  <c r="AP11" i="10"/>
  <c r="AQ11" i="10" s="1"/>
  <c r="AL11" i="10"/>
  <c r="AM11" i="10" s="1"/>
  <c r="AS10" i="10"/>
  <c r="AP10" i="10"/>
  <c r="AQ10" i="10" s="1"/>
  <c r="AL10" i="10"/>
  <c r="AM10" i="10" s="1"/>
  <c r="AS9" i="10"/>
  <c r="AP9" i="10"/>
  <c r="AQ9" i="10" s="1"/>
  <c r="AL9" i="10"/>
  <c r="AM9" i="10" s="1"/>
  <c r="AS8" i="10"/>
  <c r="AP8" i="10"/>
  <c r="AQ8" i="10" s="1"/>
  <c r="AL8" i="10"/>
  <c r="AM8" i="10" s="1"/>
  <c r="AS7" i="10"/>
  <c r="AP7" i="10"/>
  <c r="AQ7" i="10" s="1"/>
  <c r="AL7" i="10"/>
  <c r="AM7" i="10" s="1"/>
  <c r="AS6" i="10"/>
  <c r="AP6" i="10"/>
  <c r="AQ6" i="10" s="1"/>
  <c r="AL6" i="10"/>
  <c r="AM6" i="10" s="1"/>
  <c r="AS5" i="10"/>
  <c r="AP5" i="10"/>
  <c r="AQ5" i="10" s="1"/>
  <c r="AL5" i="10"/>
  <c r="AM5" i="10" s="1"/>
  <c r="AS47" i="8"/>
  <c r="AP47" i="8"/>
  <c r="AQ47" i="8" s="1"/>
  <c r="AL47" i="8"/>
  <c r="AM47" i="8" s="1"/>
  <c r="AS46" i="8"/>
  <c r="AP46" i="8"/>
  <c r="AQ46" i="8" s="1"/>
  <c r="AL46" i="8"/>
  <c r="AM46" i="8" s="1"/>
  <c r="AS45" i="8"/>
  <c r="AP45" i="8"/>
  <c r="AQ45" i="8" s="1"/>
  <c r="AL45" i="8"/>
  <c r="AM45" i="8" s="1"/>
  <c r="AS44" i="8"/>
  <c r="AP44" i="8"/>
  <c r="AQ44" i="8" s="1"/>
  <c r="AL44" i="8"/>
  <c r="AM44" i="8" s="1"/>
  <c r="AS43" i="8"/>
  <c r="AP43" i="8"/>
  <c r="AQ43" i="8" s="1"/>
  <c r="AL43" i="8"/>
  <c r="AM43" i="8" s="1"/>
  <c r="AS42" i="8"/>
  <c r="AP42" i="8"/>
  <c r="AQ42" i="8" s="1"/>
  <c r="AL42" i="8"/>
  <c r="AM42" i="8" s="1"/>
  <c r="AS41" i="8"/>
  <c r="AP41" i="8"/>
  <c r="AQ41" i="8" s="1"/>
  <c r="AL41" i="8"/>
  <c r="AM41" i="8" s="1"/>
  <c r="AS40" i="8"/>
  <c r="AP40" i="8"/>
  <c r="AQ40" i="8" s="1"/>
  <c r="AL40" i="8"/>
  <c r="AM40" i="8" s="1"/>
  <c r="AS39" i="8"/>
  <c r="AP39" i="8"/>
  <c r="AQ39" i="8" s="1"/>
  <c r="AL39" i="8"/>
  <c r="AM39" i="8" s="1"/>
  <c r="AS38" i="8"/>
  <c r="AP38" i="8"/>
  <c r="AQ38" i="8" s="1"/>
  <c r="AL38" i="8"/>
  <c r="AM38" i="8" s="1"/>
  <c r="AS37" i="8"/>
  <c r="AP37" i="8"/>
  <c r="AQ37" i="8" s="1"/>
  <c r="AL37" i="8"/>
  <c r="AM37" i="8" s="1"/>
  <c r="AS36" i="8"/>
  <c r="AP36" i="8"/>
  <c r="AQ36" i="8" s="1"/>
  <c r="AL36" i="8"/>
  <c r="AM36" i="8" s="1"/>
  <c r="AS35" i="8"/>
  <c r="AP35" i="8"/>
  <c r="AQ35" i="8" s="1"/>
  <c r="AL35" i="8"/>
  <c r="AM35" i="8" s="1"/>
  <c r="AS34" i="8"/>
  <c r="AP34" i="8"/>
  <c r="AQ34" i="8" s="1"/>
  <c r="AL34" i="8"/>
  <c r="AM34" i="8" s="1"/>
  <c r="AS33" i="8"/>
  <c r="AP33" i="8"/>
  <c r="AQ33" i="8" s="1"/>
  <c r="AL33" i="8"/>
  <c r="AM33" i="8" s="1"/>
  <c r="AS32" i="8"/>
  <c r="AP32" i="8"/>
  <c r="AQ32" i="8" s="1"/>
  <c r="AL32" i="8"/>
  <c r="AM32" i="8" s="1"/>
  <c r="AS31" i="8"/>
  <c r="AP31" i="8"/>
  <c r="AQ31" i="8" s="1"/>
  <c r="AL31" i="8"/>
  <c r="AM31" i="8" s="1"/>
  <c r="AS30" i="8"/>
  <c r="AP30" i="8"/>
  <c r="AQ30" i="8" s="1"/>
  <c r="AL30" i="8"/>
  <c r="AM30" i="8" s="1"/>
  <c r="AS29" i="8"/>
  <c r="AP29" i="8"/>
  <c r="AQ29" i="8" s="1"/>
  <c r="AL29" i="8"/>
  <c r="AM29" i="8" s="1"/>
  <c r="AS28" i="8"/>
  <c r="AP28" i="8"/>
  <c r="AQ28" i="8" s="1"/>
  <c r="AL28" i="8"/>
  <c r="AM28" i="8" s="1"/>
  <c r="AS27" i="8"/>
  <c r="AP27" i="8"/>
  <c r="AQ27" i="8" s="1"/>
  <c r="AL27" i="8"/>
  <c r="AM27" i="8" s="1"/>
  <c r="AS26" i="8"/>
  <c r="AP26" i="8"/>
  <c r="AQ26" i="8" s="1"/>
  <c r="AL26" i="8"/>
  <c r="AM26" i="8" s="1"/>
  <c r="AS25" i="8"/>
  <c r="AP25" i="8"/>
  <c r="AQ25" i="8" s="1"/>
  <c r="AL25" i="8"/>
  <c r="AM25" i="8" s="1"/>
  <c r="AS24" i="8"/>
  <c r="AP24" i="8"/>
  <c r="AQ24" i="8" s="1"/>
  <c r="AL24" i="8"/>
  <c r="AM24" i="8" s="1"/>
  <c r="AS23" i="8"/>
  <c r="AP23" i="8"/>
  <c r="AQ23" i="8" s="1"/>
  <c r="AL23" i="8"/>
  <c r="AM23" i="8" s="1"/>
  <c r="AS22" i="8"/>
  <c r="AP22" i="8"/>
  <c r="AQ22" i="8" s="1"/>
  <c r="AL22" i="8"/>
  <c r="AM22" i="8" s="1"/>
  <c r="AS21" i="8"/>
  <c r="AP21" i="8"/>
  <c r="AQ21" i="8" s="1"/>
  <c r="AL21" i="8"/>
  <c r="AM21" i="8" s="1"/>
  <c r="AS20" i="8"/>
  <c r="AP20" i="8"/>
  <c r="AQ20" i="8" s="1"/>
  <c r="AL20" i="8"/>
  <c r="AM20" i="8" s="1"/>
  <c r="AS19" i="8"/>
  <c r="AP19" i="8"/>
  <c r="AQ19" i="8" s="1"/>
  <c r="AL19" i="8"/>
  <c r="AM19" i="8" s="1"/>
  <c r="AS18" i="8"/>
  <c r="AP18" i="8"/>
  <c r="AQ18" i="8" s="1"/>
  <c r="AL18" i="8"/>
  <c r="AM18" i="8" s="1"/>
  <c r="AS17" i="8"/>
  <c r="AP17" i="8"/>
  <c r="AQ17" i="8" s="1"/>
  <c r="AL17" i="8"/>
  <c r="AM17" i="8" s="1"/>
  <c r="AS16" i="8"/>
  <c r="AP16" i="8"/>
  <c r="AQ16" i="8" s="1"/>
  <c r="AL16" i="8"/>
  <c r="AM16" i="8" s="1"/>
  <c r="AS15" i="8"/>
  <c r="AP15" i="8"/>
  <c r="AQ15" i="8" s="1"/>
  <c r="AL15" i="8"/>
  <c r="AM15" i="8" s="1"/>
  <c r="AS14" i="8"/>
  <c r="AP14" i="8"/>
  <c r="AQ14" i="8" s="1"/>
  <c r="AL14" i="8"/>
  <c r="AM14" i="8" s="1"/>
  <c r="AS13" i="8"/>
  <c r="AP13" i="8"/>
  <c r="AQ13" i="8" s="1"/>
  <c r="AL13" i="8"/>
  <c r="AM13" i="8" s="1"/>
  <c r="AS12" i="8"/>
  <c r="AP12" i="8"/>
  <c r="AQ12" i="8" s="1"/>
  <c r="AL12" i="8"/>
  <c r="AM12" i="8" s="1"/>
  <c r="AS11" i="8"/>
  <c r="AP11" i="8"/>
  <c r="AQ11" i="8" s="1"/>
  <c r="AL11" i="8"/>
  <c r="AM11" i="8" s="1"/>
  <c r="AS10" i="8"/>
  <c r="AP10" i="8"/>
  <c r="AQ10" i="8" s="1"/>
  <c r="AL10" i="8"/>
  <c r="AM10" i="8" s="1"/>
  <c r="AS9" i="8"/>
  <c r="AP9" i="8"/>
  <c r="AQ9" i="8" s="1"/>
  <c r="AL9" i="8"/>
  <c r="AM9" i="8" s="1"/>
  <c r="AS8" i="8"/>
  <c r="AP8" i="8"/>
  <c r="AQ8" i="8" s="1"/>
  <c r="AL8" i="8"/>
  <c r="AM8" i="8" s="1"/>
  <c r="AS7" i="8"/>
  <c r="AP7" i="8"/>
  <c r="AQ7" i="8" s="1"/>
  <c r="AL7" i="8"/>
  <c r="AM7" i="8" s="1"/>
  <c r="AS6" i="8"/>
  <c r="AP6" i="8"/>
  <c r="AQ6" i="8" s="1"/>
  <c r="AL6" i="8"/>
  <c r="AM6" i="8" s="1"/>
  <c r="AS5" i="8"/>
  <c r="AP5" i="8"/>
  <c r="AQ5" i="8" s="1"/>
  <c r="AL5" i="8"/>
  <c r="AM5" i="8" s="1"/>
  <c r="AS47" i="7"/>
  <c r="AP47" i="7"/>
  <c r="AQ47" i="7" s="1"/>
  <c r="AL47" i="7"/>
  <c r="AM47" i="7" s="1"/>
  <c r="AS46" i="7"/>
  <c r="AP46" i="7"/>
  <c r="AQ46" i="7" s="1"/>
  <c r="AL46" i="7"/>
  <c r="AM46" i="7" s="1"/>
  <c r="AS45" i="7"/>
  <c r="AP45" i="7"/>
  <c r="AQ45" i="7" s="1"/>
  <c r="AL45" i="7"/>
  <c r="AM45" i="7" s="1"/>
  <c r="AS44" i="7"/>
  <c r="AP44" i="7"/>
  <c r="AQ44" i="7" s="1"/>
  <c r="AL44" i="7"/>
  <c r="AM44" i="7" s="1"/>
  <c r="AS43" i="7"/>
  <c r="AP43" i="7"/>
  <c r="AQ43" i="7" s="1"/>
  <c r="AL43" i="7"/>
  <c r="AM43" i="7" s="1"/>
  <c r="AS42" i="7"/>
  <c r="AP42" i="7"/>
  <c r="AQ42" i="7" s="1"/>
  <c r="AL42" i="7"/>
  <c r="AM42" i="7" s="1"/>
  <c r="AS41" i="7"/>
  <c r="AP41" i="7"/>
  <c r="AQ41" i="7" s="1"/>
  <c r="AL41" i="7"/>
  <c r="AM41" i="7" s="1"/>
  <c r="AS40" i="7"/>
  <c r="AP40" i="7"/>
  <c r="AQ40" i="7" s="1"/>
  <c r="AL40" i="7"/>
  <c r="AM40" i="7" s="1"/>
  <c r="AS39" i="7"/>
  <c r="AP39" i="7"/>
  <c r="AQ39" i="7" s="1"/>
  <c r="AL39" i="7"/>
  <c r="AM39" i="7" s="1"/>
  <c r="AS38" i="7"/>
  <c r="AP38" i="7"/>
  <c r="AQ38" i="7" s="1"/>
  <c r="AL38" i="7"/>
  <c r="AM38" i="7" s="1"/>
  <c r="AS37" i="7"/>
  <c r="AP37" i="7"/>
  <c r="AQ37" i="7" s="1"/>
  <c r="AL37" i="7"/>
  <c r="AM37" i="7" s="1"/>
  <c r="AS36" i="7"/>
  <c r="AP36" i="7"/>
  <c r="AQ36" i="7" s="1"/>
  <c r="AL36" i="7"/>
  <c r="AM36" i="7" s="1"/>
  <c r="AS35" i="7"/>
  <c r="AP35" i="7"/>
  <c r="AQ35" i="7" s="1"/>
  <c r="AL35" i="7"/>
  <c r="AM35" i="7" s="1"/>
  <c r="AS34" i="7"/>
  <c r="AP34" i="7"/>
  <c r="AQ34" i="7" s="1"/>
  <c r="AL34" i="7"/>
  <c r="AM34" i="7" s="1"/>
  <c r="AS33" i="7"/>
  <c r="AP33" i="7"/>
  <c r="AQ33" i="7" s="1"/>
  <c r="AL33" i="7"/>
  <c r="AM33" i="7" s="1"/>
  <c r="AS32" i="7"/>
  <c r="AP32" i="7"/>
  <c r="AQ32" i="7" s="1"/>
  <c r="AL32" i="7"/>
  <c r="AM32" i="7" s="1"/>
  <c r="AS31" i="7"/>
  <c r="AP31" i="7"/>
  <c r="AQ31" i="7" s="1"/>
  <c r="AL31" i="7"/>
  <c r="AM31" i="7" s="1"/>
  <c r="AS30" i="7"/>
  <c r="AP30" i="7"/>
  <c r="AQ30" i="7" s="1"/>
  <c r="AL30" i="7"/>
  <c r="AM30" i="7" s="1"/>
  <c r="AS29" i="7"/>
  <c r="AP29" i="7"/>
  <c r="AQ29" i="7" s="1"/>
  <c r="AL29" i="7"/>
  <c r="AM29" i="7" s="1"/>
  <c r="AS28" i="7"/>
  <c r="AP28" i="7"/>
  <c r="AQ28" i="7" s="1"/>
  <c r="AL28" i="7"/>
  <c r="AM28" i="7" s="1"/>
  <c r="AS27" i="7"/>
  <c r="AP27" i="7"/>
  <c r="AQ27" i="7" s="1"/>
  <c r="AL27" i="7"/>
  <c r="AM27" i="7" s="1"/>
  <c r="AS26" i="7"/>
  <c r="AP26" i="7"/>
  <c r="AQ26" i="7" s="1"/>
  <c r="AL26" i="7"/>
  <c r="AM26" i="7" s="1"/>
  <c r="AS25" i="7"/>
  <c r="AP25" i="7"/>
  <c r="AQ25" i="7" s="1"/>
  <c r="AL25" i="7"/>
  <c r="AM25" i="7" s="1"/>
  <c r="AS24" i="7"/>
  <c r="AP24" i="7"/>
  <c r="AQ24" i="7" s="1"/>
  <c r="AL24" i="7"/>
  <c r="AM24" i="7" s="1"/>
  <c r="AS23" i="7"/>
  <c r="AP23" i="7"/>
  <c r="AQ23" i="7" s="1"/>
  <c r="AL23" i="7"/>
  <c r="AM23" i="7" s="1"/>
  <c r="AS22" i="7"/>
  <c r="AP22" i="7"/>
  <c r="AQ22" i="7" s="1"/>
  <c r="AL22" i="7"/>
  <c r="AM22" i="7" s="1"/>
  <c r="AS21" i="7"/>
  <c r="AP21" i="7"/>
  <c r="AQ21" i="7" s="1"/>
  <c r="AL21" i="7"/>
  <c r="AM21" i="7" s="1"/>
  <c r="AS20" i="7"/>
  <c r="AP20" i="7"/>
  <c r="AQ20" i="7" s="1"/>
  <c r="AL20" i="7"/>
  <c r="AM20" i="7" s="1"/>
  <c r="AS19" i="7"/>
  <c r="AP19" i="7"/>
  <c r="AQ19" i="7" s="1"/>
  <c r="AL19" i="7"/>
  <c r="AM19" i="7" s="1"/>
  <c r="AS18" i="7"/>
  <c r="AP18" i="7"/>
  <c r="AQ18" i="7" s="1"/>
  <c r="AL18" i="7"/>
  <c r="AM18" i="7" s="1"/>
  <c r="AS17" i="7"/>
  <c r="AP17" i="7"/>
  <c r="AQ17" i="7" s="1"/>
  <c r="AL17" i="7"/>
  <c r="AM17" i="7" s="1"/>
  <c r="AS16" i="7"/>
  <c r="AP16" i="7"/>
  <c r="AQ16" i="7" s="1"/>
  <c r="AL16" i="7"/>
  <c r="AM16" i="7" s="1"/>
  <c r="AS15" i="7"/>
  <c r="AP15" i="7"/>
  <c r="AQ15" i="7" s="1"/>
  <c r="AL15" i="7"/>
  <c r="AM15" i="7" s="1"/>
  <c r="AS14" i="7"/>
  <c r="AP14" i="7"/>
  <c r="AQ14" i="7" s="1"/>
  <c r="AL14" i="7"/>
  <c r="AM14" i="7" s="1"/>
  <c r="AS13" i="7"/>
  <c r="AP13" i="7"/>
  <c r="AQ13" i="7" s="1"/>
  <c r="AL13" i="7"/>
  <c r="AM13" i="7" s="1"/>
  <c r="AS12" i="7"/>
  <c r="AP12" i="7"/>
  <c r="AQ12" i="7" s="1"/>
  <c r="AL12" i="7"/>
  <c r="AM12" i="7" s="1"/>
  <c r="AS11" i="7"/>
  <c r="AP11" i="7"/>
  <c r="AQ11" i="7" s="1"/>
  <c r="AL11" i="7"/>
  <c r="AM11" i="7" s="1"/>
  <c r="AS10" i="7"/>
  <c r="AP10" i="7"/>
  <c r="AQ10" i="7" s="1"/>
  <c r="AL10" i="7"/>
  <c r="AM10" i="7" s="1"/>
  <c r="AS9" i="7"/>
  <c r="AP9" i="7"/>
  <c r="AQ9" i="7" s="1"/>
  <c r="AL9" i="7"/>
  <c r="AM9" i="7" s="1"/>
  <c r="AS8" i="7"/>
  <c r="AP8" i="7"/>
  <c r="AQ8" i="7" s="1"/>
  <c r="AL8" i="7"/>
  <c r="AM8" i="7" s="1"/>
  <c r="AS7" i="7"/>
  <c r="AP7" i="7"/>
  <c r="AQ7" i="7" s="1"/>
  <c r="AL7" i="7"/>
  <c r="AM7" i="7" s="1"/>
  <c r="AS6" i="7"/>
  <c r="AP6" i="7"/>
  <c r="AQ6" i="7" s="1"/>
  <c r="AL6" i="7"/>
  <c r="AM6" i="7" s="1"/>
  <c r="AS5" i="7"/>
  <c r="AP5" i="7"/>
  <c r="AQ5" i="7" s="1"/>
  <c r="AL5" i="7"/>
  <c r="AM5" i="7" s="1"/>
  <c r="AS47" i="5"/>
  <c r="AP47" i="5"/>
  <c r="AQ47" i="5" s="1"/>
  <c r="AL47" i="5"/>
  <c r="AM47" i="5" s="1"/>
  <c r="AS46" i="5"/>
  <c r="AP46" i="5"/>
  <c r="AQ46" i="5" s="1"/>
  <c r="AL46" i="5"/>
  <c r="AM46" i="5" s="1"/>
  <c r="AS45" i="5"/>
  <c r="AP45" i="5"/>
  <c r="AQ45" i="5" s="1"/>
  <c r="AL45" i="5"/>
  <c r="AM45" i="5" s="1"/>
  <c r="AS44" i="5"/>
  <c r="AP44" i="5"/>
  <c r="AQ44" i="5" s="1"/>
  <c r="AL44" i="5"/>
  <c r="AM44" i="5" s="1"/>
  <c r="AS43" i="5"/>
  <c r="AP43" i="5"/>
  <c r="AQ43" i="5" s="1"/>
  <c r="AL43" i="5"/>
  <c r="AM43" i="5" s="1"/>
  <c r="AS42" i="5"/>
  <c r="AP42" i="5"/>
  <c r="AQ42" i="5" s="1"/>
  <c r="AL42" i="5"/>
  <c r="AM42" i="5" s="1"/>
  <c r="AS41" i="5"/>
  <c r="AP41" i="5"/>
  <c r="AQ41" i="5" s="1"/>
  <c r="AL41" i="5"/>
  <c r="AM41" i="5" s="1"/>
  <c r="AS40" i="5"/>
  <c r="AP40" i="5"/>
  <c r="AQ40" i="5" s="1"/>
  <c r="AL40" i="5"/>
  <c r="AM40" i="5" s="1"/>
  <c r="AS39" i="5"/>
  <c r="AP39" i="5"/>
  <c r="AQ39" i="5" s="1"/>
  <c r="AL39" i="5"/>
  <c r="AM39" i="5" s="1"/>
  <c r="AS38" i="5"/>
  <c r="AP38" i="5"/>
  <c r="AQ38" i="5" s="1"/>
  <c r="AL38" i="5"/>
  <c r="AM38" i="5" s="1"/>
  <c r="AS37" i="5"/>
  <c r="AP37" i="5"/>
  <c r="AQ37" i="5" s="1"/>
  <c r="AL37" i="5"/>
  <c r="AM37" i="5" s="1"/>
  <c r="AS36" i="5"/>
  <c r="AP36" i="5"/>
  <c r="AQ36" i="5" s="1"/>
  <c r="AL36" i="5"/>
  <c r="AM36" i="5" s="1"/>
  <c r="AS35" i="5"/>
  <c r="AP35" i="5"/>
  <c r="AQ35" i="5" s="1"/>
  <c r="AL35" i="5"/>
  <c r="AM35" i="5" s="1"/>
  <c r="AS34" i="5"/>
  <c r="AP34" i="5"/>
  <c r="AQ34" i="5" s="1"/>
  <c r="AL34" i="5"/>
  <c r="AM34" i="5" s="1"/>
  <c r="AS33" i="5"/>
  <c r="AP33" i="5"/>
  <c r="AQ33" i="5" s="1"/>
  <c r="AL33" i="5"/>
  <c r="AM33" i="5" s="1"/>
  <c r="AS32" i="5"/>
  <c r="AP32" i="5"/>
  <c r="AQ32" i="5" s="1"/>
  <c r="AL32" i="5"/>
  <c r="AM32" i="5" s="1"/>
  <c r="AS31" i="5"/>
  <c r="AP31" i="5"/>
  <c r="AQ31" i="5" s="1"/>
  <c r="AL31" i="5"/>
  <c r="AM31" i="5" s="1"/>
  <c r="AS30" i="5"/>
  <c r="AP30" i="5"/>
  <c r="AQ30" i="5" s="1"/>
  <c r="AL30" i="5"/>
  <c r="AM30" i="5" s="1"/>
  <c r="AS29" i="5"/>
  <c r="AP29" i="5"/>
  <c r="AQ29" i="5" s="1"/>
  <c r="AL29" i="5"/>
  <c r="AM29" i="5" s="1"/>
  <c r="AS28" i="5"/>
  <c r="AP28" i="5"/>
  <c r="AQ28" i="5" s="1"/>
  <c r="AL28" i="5"/>
  <c r="AM28" i="5" s="1"/>
  <c r="AS27" i="5"/>
  <c r="AP27" i="5"/>
  <c r="AQ27" i="5" s="1"/>
  <c r="AL27" i="5"/>
  <c r="AM27" i="5" s="1"/>
  <c r="AS26" i="5"/>
  <c r="AP26" i="5"/>
  <c r="AQ26" i="5" s="1"/>
  <c r="AL26" i="5"/>
  <c r="AM26" i="5" s="1"/>
  <c r="AS25" i="5"/>
  <c r="AP25" i="5"/>
  <c r="AQ25" i="5" s="1"/>
  <c r="AL25" i="5"/>
  <c r="AM25" i="5" s="1"/>
  <c r="AS24" i="5"/>
  <c r="AP24" i="5"/>
  <c r="AQ24" i="5" s="1"/>
  <c r="AL24" i="5"/>
  <c r="AM24" i="5" s="1"/>
  <c r="AS23" i="5"/>
  <c r="AP23" i="5"/>
  <c r="AQ23" i="5" s="1"/>
  <c r="AL23" i="5"/>
  <c r="AM23" i="5" s="1"/>
  <c r="AS22" i="5"/>
  <c r="AP22" i="5"/>
  <c r="AQ22" i="5" s="1"/>
  <c r="AL22" i="5"/>
  <c r="AM22" i="5" s="1"/>
  <c r="AS21" i="5"/>
  <c r="AP21" i="5"/>
  <c r="AQ21" i="5" s="1"/>
  <c r="AL21" i="5"/>
  <c r="AM21" i="5" s="1"/>
  <c r="AS20" i="5"/>
  <c r="AP20" i="5"/>
  <c r="AQ20" i="5" s="1"/>
  <c r="AL20" i="5"/>
  <c r="AM20" i="5" s="1"/>
  <c r="AS19" i="5"/>
  <c r="AP19" i="5"/>
  <c r="AQ19" i="5" s="1"/>
  <c r="AL19" i="5"/>
  <c r="AM19" i="5" s="1"/>
  <c r="AS18" i="5"/>
  <c r="AP18" i="5"/>
  <c r="AQ18" i="5" s="1"/>
  <c r="AL18" i="5"/>
  <c r="AM18" i="5" s="1"/>
  <c r="AS17" i="5"/>
  <c r="AP17" i="5"/>
  <c r="AQ17" i="5" s="1"/>
  <c r="AL17" i="5"/>
  <c r="AM17" i="5" s="1"/>
  <c r="AS16" i="5"/>
  <c r="AP16" i="5"/>
  <c r="AQ16" i="5" s="1"/>
  <c r="AL16" i="5"/>
  <c r="AM16" i="5" s="1"/>
  <c r="AS15" i="5"/>
  <c r="AP15" i="5"/>
  <c r="AQ15" i="5" s="1"/>
  <c r="AL15" i="5"/>
  <c r="AM15" i="5" s="1"/>
  <c r="AS14" i="5"/>
  <c r="AP14" i="5"/>
  <c r="AQ14" i="5" s="1"/>
  <c r="AL14" i="5"/>
  <c r="AM14" i="5" s="1"/>
  <c r="AS13" i="5"/>
  <c r="AP13" i="5"/>
  <c r="AQ13" i="5" s="1"/>
  <c r="AL13" i="5"/>
  <c r="AM13" i="5" s="1"/>
  <c r="AS12" i="5"/>
  <c r="AP12" i="5"/>
  <c r="AQ12" i="5" s="1"/>
  <c r="AL12" i="5"/>
  <c r="AM12" i="5" s="1"/>
  <c r="AS11" i="5"/>
  <c r="AP11" i="5"/>
  <c r="AQ11" i="5" s="1"/>
  <c r="AL11" i="5"/>
  <c r="AM11" i="5" s="1"/>
  <c r="AS10" i="5"/>
  <c r="AP10" i="5"/>
  <c r="AQ10" i="5" s="1"/>
  <c r="AL10" i="5"/>
  <c r="AM10" i="5" s="1"/>
  <c r="AS9" i="5"/>
  <c r="AP9" i="5"/>
  <c r="AQ9" i="5" s="1"/>
  <c r="AL9" i="5"/>
  <c r="AM9" i="5" s="1"/>
  <c r="AS8" i="5"/>
  <c r="AP8" i="5"/>
  <c r="AQ8" i="5" s="1"/>
  <c r="AL8" i="5"/>
  <c r="AM8" i="5" s="1"/>
  <c r="AS7" i="5"/>
  <c r="AP7" i="5"/>
  <c r="AQ7" i="5" s="1"/>
  <c r="AL7" i="5"/>
  <c r="AM7" i="5" s="1"/>
  <c r="AS6" i="5"/>
  <c r="AP6" i="5"/>
  <c r="AQ6" i="5" s="1"/>
  <c r="AL6" i="5"/>
  <c r="AM6" i="5" s="1"/>
  <c r="AS5" i="5"/>
  <c r="AP5" i="5"/>
  <c r="AQ5" i="5" s="1"/>
  <c r="AL5" i="5"/>
  <c r="AM5" i="5" s="1"/>
  <c r="AS47" i="3"/>
  <c r="AP47" i="3"/>
  <c r="AQ47" i="3" s="1"/>
  <c r="AS46" i="3"/>
  <c r="AP46" i="3"/>
  <c r="AQ46" i="3" s="1"/>
  <c r="AS45" i="3"/>
  <c r="AP45" i="3"/>
  <c r="AQ45" i="3" s="1"/>
  <c r="AS44" i="3"/>
  <c r="AP44" i="3"/>
  <c r="AQ44" i="3" s="1"/>
  <c r="AS43" i="3"/>
  <c r="AP43" i="3"/>
  <c r="AQ43" i="3" s="1"/>
  <c r="AS42" i="3"/>
  <c r="AP42" i="3"/>
  <c r="AQ42" i="3" s="1"/>
  <c r="AS41" i="3"/>
  <c r="AP41" i="3"/>
  <c r="AQ41" i="3" s="1"/>
  <c r="AS40" i="3"/>
  <c r="AP40" i="3"/>
  <c r="AQ40" i="3" s="1"/>
  <c r="AS39" i="3"/>
  <c r="AP39" i="3"/>
  <c r="AQ39" i="3" s="1"/>
  <c r="AS38" i="3"/>
  <c r="AP38" i="3"/>
  <c r="AQ38" i="3" s="1"/>
  <c r="AS37" i="3"/>
  <c r="AP37" i="3"/>
  <c r="AQ37" i="3" s="1"/>
  <c r="AS36" i="3"/>
  <c r="AP36" i="3"/>
  <c r="AQ36" i="3" s="1"/>
  <c r="AS35" i="3"/>
  <c r="AP35" i="3"/>
  <c r="AQ35" i="3" s="1"/>
  <c r="AS34" i="3"/>
  <c r="AP34" i="3"/>
  <c r="AQ34" i="3" s="1"/>
  <c r="AS33" i="3"/>
  <c r="AP33" i="3"/>
  <c r="AQ33" i="3" s="1"/>
  <c r="AS32" i="3"/>
  <c r="AP32" i="3"/>
  <c r="AQ32" i="3" s="1"/>
  <c r="AS31" i="3"/>
  <c r="AP31" i="3"/>
  <c r="AQ31" i="3" s="1"/>
  <c r="AS30" i="3"/>
  <c r="AP30" i="3"/>
  <c r="AQ30" i="3" s="1"/>
  <c r="AS29" i="3"/>
  <c r="AP29" i="3"/>
  <c r="AQ29" i="3" s="1"/>
  <c r="AS28" i="3"/>
  <c r="AP28" i="3"/>
  <c r="AQ28" i="3" s="1"/>
  <c r="AS27" i="3"/>
  <c r="AP27" i="3"/>
  <c r="AQ27" i="3" s="1"/>
  <c r="AS26" i="3"/>
  <c r="AP26" i="3"/>
  <c r="AQ26" i="3" s="1"/>
  <c r="AS25" i="3"/>
  <c r="AP25" i="3"/>
  <c r="AQ25" i="3" s="1"/>
  <c r="AS24" i="3"/>
  <c r="AP24" i="3"/>
  <c r="AQ24" i="3" s="1"/>
  <c r="AS23" i="3"/>
  <c r="AP23" i="3"/>
  <c r="AQ23" i="3" s="1"/>
  <c r="AS22" i="3"/>
  <c r="AP22" i="3"/>
  <c r="AQ22" i="3" s="1"/>
  <c r="AS21" i="3"/>
  <c r="AP21" i="3"/>
  <c r="AQ21" i="3" s="1"/>
  <c r="AS20" i="3"/>
  <c r="AP20" i="3"/>
  <c r="AQ20" i="3" s="1"/>
  <c r="AS19" i="3"/>
  <c r="AP19" i="3"/>
  <c r="AQ19" i="3" s="1"/>
  <c r="AS18" i="3"/>
  <c r="AP18" i="3"/>
  <c r="AQ18" i="3" s="1"/>
  <c r="AS17" i="3"/>
  <c r="AP17" i="3"/>
  <c r="AQ17" i="3" s="1"/>
  <c r="AS16" i="3"/>
  <c r="AP16" i="3"/>
  <c r="AQ16" i="3" s="1"/>
  <c r="AS15" i="3"/>
  <c r="AP15" i="3"/>
  <c r="AQ15" i="3" s="1"/>
  <c r="AS14" i="3"/>
  <c r="AP14" i="3"/>
  <c r="AQ14" i="3" s="1"/>
  <c r="AS13" i="3"/>
  <c r="AP13" i="3"/>
  <c r="AQ13" i="3" s="1"/>
  <c r="AS12" i="3"/>
  <c r="AP12" i="3"/>
  <c r="AQ12" i="3" s="1"/>
  <c r="AS11" i="3"/>
  <c r="AP11" i="3"/>
  <c r="AQ11" i="3" s="1"/>
  <c r="AS10" i="3"/>
  <c r="AP10" i="3"/>
  <c r="AQ10" i="3" s="1"/>
  <c r="AS9" i="3"/>
  <c r="AP9" i="3"/>
  <c r="AQ9" i="3" s="1"/>
  <c r="AS8" i="3"/>
  <c r="AP8" i="3"/>
  <c r="AQ8" i="3" s="1"/>
  <c r="AS7" i="3"/>
  <c r="AP7" i="3"/>
  <c r="AQ7" i="3" s="1"/>
  <c r="AS6" i="3"/>
  <c r="AP6" i="3"/>
  <c r="AQ6" i="3" s="1"/>
  <c r="AS5" i="3"/>
  <c r="AP5" i="3"/>
  <c r="AQ5" i="3" s="1"/>
  <c r="AP47" i="2"/>
  <c r="AM47" i="2"/>
  <c r="AN47" i="2" s="1"/>
  <c r="AP46" i="2"/>
  <c r="AM46" i="2"/>
  <c r="AN46" i="2" s="1"/>
  <c r="AP45" i="2"/>
  <c r="AM45" i="2"/>
  <c r="AN45" i="2" s="1"/>
  <c r="AP44" i="2"/>
  <c r="AM44" i="2"/>
  <c r="AN44" i="2" s="1"/>
  <c r="AP43" i="2"/>
  <c r="AM43" i="2"/>
  <c r="AN43" i="2" s="1"/>
  <c r="AP42" i="2"/>
  <c r="AM42" i="2"/>
  <c r="AN42" i="2" s="1"/>
  <c r="AP41" i="2"/>
  <c r="AM41" i="2"/>
  <c r="AN41" i="2" s="1"/>
  <c r="AP40" i="2"/>
  <c r="AM40" i="2"/>
  <c r="AN40" i="2" s="1"/>
  <c r="AP39" i="2"/>
  <c r="AM39" i="2"/>
  <c r="AN39" i="2" s="1"/>
  <c r="AP38" i="2"/>
  <c r="AM38" i="2"/>
  <c r="AN38" i="2" s="1"/>
  <c r="AP37" i="2"/>
  <c r="AM37" i="2"/>
  <c r="AN37" i="2" s="1"/>
  <c r="AP36" i="2"/>
  <c r="AM36" i="2"/>
  <c r="AN36" i="2" s="1"/>
  <c r="AP35" i="2"/>
  <c r="AM35" i="2"/>
  <c r="AN35" i="2" s="1"/>
  <c r="AP34" i="2"/>
  <c r="AM34" i="2"/>
  <c r="AN34" i="2" s="1"/>
  <c r="AP33" i="2"/>
  <c r="AM33" i="2"/>
  <c r="AN33" i="2" s="1"/>
  <c r="AP32" i="2"/>
  <c r="AM32" i="2"/>
  <c r="AN32" i="2" s="1"/>
  <c r="AP31" i="2"/>
  <c r="AM31" i="2"/>
  <c r="AN31" i="2" s="1"/>
  <c r="AP30" i="2"/>
  <c r="AM30" i="2"/>
  <c r="AN30" i="2" s="1"/>
  <c r="AP29" i="2"/>
  <c r="AM29" i="2"/>
  <c r="AN29" i="2" s="1"/>
  <c r="AP28" i="2"/>
  <c r="AM28" i="2"/>
  <c r="AN28" i="2" s="1"/>
  <c r="AP27" i="2"/>
  <c r="AM27" i="2"/>
  <c r="AN27" i="2" s="1"/>
  <c r="AP26" i="2"/>
  <c r="AM26" i="2"/>
  <c r="AN26" i="2" s="1"/>
  <c r="AP25" i="2"/>
  <c r="AM25" i="2"/>
  <c r="AN25" i="2" s="1"/>
  <c r="AP24" i="2"/>
  <c r="AM24" i="2"/>
  <c r="AN24" i="2" s="1"/>
  <c r="AP23" i="2"/>
  <c r="AM23" i="2"/>
  <c r="AN23" i="2" s="1"/>
  <c r="AP22" i="2"/>
  <c r="AM22" i="2"/>
  <c r="AN22" i="2" s="1"/>
  <c r="AP21" i="2"/>
  <c r="AM21" i="2"/>
  <c r="AN21" i="2" s="1"/>
  <c r="AP20" i="2"/>
  <c r="AM20" i="2"/>
  <c r="AN20" i="2" s="1"/>
  <c r="AP19" i="2"/>
  <c r="AM19" i="2"/>
  <c r="AN19" i="2" s="1"/>
  <c r="AP18" i="2"/>
  <c r="AM18" i="2"/>
  <c r="AN18" i="2" s="1"/>
  <c r="AP17" i="2"/>
  <c r="AM17" i="2"/>
  <c r="AN17" i="2" s="1"/>
  <c r="AP16" i="2"/>
  <c r="AM16" i="2"/>
  <c r="AN16" i="2" s="1"/>
  <c r="AP15" i="2"/>
  <c r="AM15" i="2"/>
  <c r="AN15" i="2" s="1"/>
  <c r="AP14" i="2"/>
  <c r="AM14" i="2"/>
  <c r="AN14" i="2" s="1"/>
  <c r="AP13" i="2"/>
  <c r="AM13" i="2"/>
  <c r="AN13" i="2" s="1"/>
  <c r="AP12" i="2"/>
  <c r="AM12" i="2"/>
  <c r="AN12" i="2" s="1"/>
  <c r="AP11" i="2"/>
  <c r="AM11" i="2"/>
  <c r="AN11" i="2" s="1"/>
  <c r="AP10" i="2"/>
  <c r="AM10" i="2"/>
  <c r="AN10" i="2" s="1"/>
  <c r="AP9" i="2"/>
  <c r="AM9" i="2"/>
  <c r="AN9" i="2" s="1"/>
  <c r="AP8" i="2"/>
  <c r="AM8" i="2"/>
  <c r="AN8" i="2" s="1"/>
  <c r="AP7" i="2"/>
  <c r="AM7" i="2"/>
  <c r="AN7" i="2" s="1"/>
  <c r="AP6" i="2"/>
  <c r="AM6" i="2"/>
  <c r="AN6" i="2" s="1"/>
  <c r="AP5" i="2"/>
  <c r="AM5" i="2"/>
  <c r="AN5" i="2" s="1"/>
  <c r="AT27" i="1"/>
  <c r="AQ27" i="1"/>
  <c r="AR27" i="1" s="1"/>
  <c r="AM27" i="1"/>
  <c r="AN27" i="1" s="1"/>
  <c r="AH27" i="2" s="1"/>
  <c r="AJ27" i="2" s="1"/>
  <c r="AK27" i="3" s="1"/>
  <c r="AM27" i="3" s="1"/>
  <c r="AJ27" i="4" s="1"/>
  <c r="AL27" i="4" s="1"/>
  <c r="AT26" i="1"/>
  <c r="AQ26" i="1"/>
  <c r="AR26" i="1" s="1"/>
  <c r="AM26" i="1"/>
  <c r="AN26" i="1" s="1"/>
  <c r="AH26" i="2" s="1"/>
  <c r="AJ26" i="2" s="1"/>
  <c r="AK26" i="3" s="1"/>
  <c r="AM26" i="3" s="1"/>
  <c r="AJ26" i="4" s="1"/>
  <c r="AL26" i="4" s="1"/>
  <c r="AT25" i="1"/>
  <c r="AQ25" i="1"/>
  <c r="AR25" i="1" s="1"/>
  <c r="AM25" i="1"/>
  <c r="AN25" i="1" s="1"/>
  <c r="AH25" i="2" s="1"/>
  <c r="AT24" i="1"/>
  <c r="AQ24" i="1"/>
  <c r="AR24" i="1" s="1"/>
  <c r="AM24" i="1"/>
  <c r="AN24" i="1" s="1"/>
  <c r="AH24" i="2" s="1"/>
  <c r="AJ24" i="2" s="1"/>
  <c r="AK24" i="3" s="1"/>
  <c r="AM24" i="3" s="1"/>
  <c r="AJ24" i="4" s="1"/>
  <c r="AL24" i="4" s="1"/>
  <c r="AT23" i="1"/>
  <c r="AQ23" i="1"/>
  <c r="AR23" i="1" s="1"/>
  <c r="AM23" i="1"/>
  <c r="AN23" i="1" s="1"/>
  <c r="AH23" i="2" s="1"/>
  <c r="AJ23" i="2" s="1"/>
  <c r="AK23" i="3" s="1"/>
  <c r="AM23" i="3" s="1"/>
  <c r="AJ23" i="4" s="1"/>
  <c r="AL23" i="4" s="1"/>
  <c r="AT22" i="1"/>
  <c r="AQ22" i="1"/>
  <c r="AR22" i="1" s="1"/>
  <c r="AM22" i="1"/>
  <c r="AN22" i="1" s="1"/>
  <c r="AH22" i="2" s="1"/>
  <c r="AJ22" i="2" s="1"/>
  <c r="AK22" i="3" s="1"/>
  <c r="AM22" i="3" s="1"/>
  <c r="AJ22" i="4" s="1"/>
  <c r="AL22" i="4" s="1"/>
  <c r="AT21" i="1"/>
  <c r="AQ21" i="1"/>
  <c r="AR21" i="1" s="1"/>
  <c r="AM21" i="1"/>
  <c r="AN21" i="1" s="1"/>
  <c r="AH21" i="2" s="1"/>
  <c r="AJ21" i="2" s="1"/>
  <c r="AK21" i="3" s="1"/>
  <c r="AM21" i="3" s="1"/>
  <c r="AJ21" i="4" s="1"/>
  <c r="AL21" i="4" s="1"/>
  <c r="AT20" i="1"/>
  <c r="AQ20" i="1"/>
  <c r="AR20" i="1" s="1"/>
  <c r="AM20" i="1"/>
  <c r="AN20" i="1" s="1"/>
  <c r="AH20" i="2" s="1"/>
  <c r="AJ20" i="2" s="1"/>
  <c r="AK20" i="3" s="1"/>
  <c r="AM20" i="3" s="1"/>
  <c r="AJ20" i="4" s="1"/>
  <c r="AL20" i="4" s="1"/>
  <c r="AT19" i="1"/>
  <c r="AQ19" i="1"/>
  <c r="AR19" i="1" s="1"/>
  <c r="AM19" i="1"/>
  <c r="AN19" i="1" s="1"/>
  <c r="AH19" i="2" s="1"/>
  <c r="AJ19" i="2" s="1"/>
  <c r="AK19" i="3" s="1"/>
  <c r="AM19" i="3" s="1"/>
  <c r="AJ19" i="4" s="1"/>
  <c r="AL19" i="4" s="1"/>
  <c r="AT18" i="1"/>
  <c r="AQ18" i="1"/>
  <c r="AR18" i="1" s="1"/>
  <c r="AM18" i="1"/>
  <c r="AN18" i="1" s="1"/>
  <c r="AH18" i="2" s="1"/>
  <c r="AJ18" i="2" s="1"/>
  <c r="AK18" i="3" s="1"/>
  <c r="AM18" i="3" s="1"/>
  <c r="AJ18" i="4" s="1"/>
  <c r="AL18" i="4" s="1"/>
  <c r="AT17" i="1"/>
  <c r="AQ17" i="1"/>
  <c r="AR17" i="1" s="1"/>
  <c r="AM17" i="1"/>
  <c r="AN17" i="1" s="1"/>
  <c r="AH17" i="2" s="1"/>
  <c r="AJ17" i="2" s="1"/>
  <c r="AK17" i="3" s="1"/>
  <c r="AM17" i="3" s="1"/>
  <c r="AJ17" i="4" s="1"/>
  <c r="AL17" i="4" s="1"/>
  <c r="AT16" i="1"/>
  <c r="AQ16" i="1"/>
  <c r="AR16" i="1" s="1"/>
  <c r="AM16" i="1"/>
  <c r="AN16" i="1" s="1"/>
  <c r="AH16" i="2" s="1"/>
  <c r="AJ16" i="2" s="1"/>
  <c r="AK16" i="3" s="1"/>
  <c r="AM16" i="3" s="1"/>
  <c r="AJ16" i="4" s="1"/>
  <c r="AL16" i="4" s="1"/>
  <c r="AT15" i="1"/>
  <c r="AQ15" i="1"/>
  <c r="AR15" i="1" s="1"/>
  <c r="AM15" i="1"/>
  <c r="AN15" i="1" s="1"/>
  <c r="AH15" i="2" s="1"/>
  <c r="AJ15" i="2" s="1"/>
  <c r="AK15" i="3" s="1"/>
  <c r="AM15" i="3" s="1"/>
  <c r="AJ15" i="4" s="1"/>
  <c r="AL15" i="4" s="1"/>
  <c r="AT14" i="1"/>
  <c r="AQ14" i="1"/>
  <c r="AR14" i="1" s="1"/>
  <c r="AM14" i="1"/>
  <c r="AN14" i="1" s="1"/>
  <c r="AH14" i="2" s="1"/>
  <c r="AJ14" i="2" s="1"/>
  <c r="AK14" i="3" s="1"/>
  <c r="AM14" i="3" s="1"/>
  <c r="AJ14" i="4" s="1"/>
  <c r="AL14" i="4" s="1"/>
  <c r="AT13" i="1"/>
  <c r="AQ13" i="1"/>
  <c r="AR13" i="1" s="1"/>
  <c r="AM13" i="1"/>
  <c r="AN13" i="1" s="1"/>
  <c r="AH13" i="2" s="1"/>
  <c r="AT12" i="1"/>
  <c r="AQ12" i="1"/>
  <c r="AR12" i="1" s="1"/>
  <c r="AM12" i="1"/>
  <c r="AN12" i="1" s="1"/>
  <c r="AH12" i="2" s="1"/>
  <c r="AT11" i="1"/>
  <c r="AQ11" i="1"/>
  <c r="AR11" i="1" s="1"/>
  <c r="AM11" i="1"/>
  <c r="AN11" i="1" s="1"/>
  <c r="AH11" i="2" s="1"/>
  <c r="AJ11" i="2" s="1"/>
  <c r="AK11" i="3" s="1"/>
  <c r="AT10" i="1"/>
  <c r="AQ10" i="1"/>
  <c r="AR10" i="1" s="1"/>
  <c r="AM10" i="1"/>
  <c r="AN10" i="1" s="1"/>
  <c r="AH10" i="2" s="1"/>
  <c r="AJ10" i="2" s="1"/>
  <c r="AK10" i="3" s="1"/>
  <c r="AM10" i="3" s="1"/>
  <c r="AJ10" i="4" s="1"/>
  <c r="AL10" i="4" s="1"/>
  <c r="AT9" i="1"/>
  <c r="AQ9" i="1"/>
  <c r="AR9" i="1" s="1"/>
  <c r="AM9" i="1"/>
  <c r="AN9" i="1" s="1"/>
  <c r="AH9" i="2" s="1"/>
  <c r="AJ9" i="2" s="1"/>
  <c r="AK9" i="3" s="1"/>
  <c r="AM9" i="3" s="1"/>
  <c r="AJ9" i="4" s="1"/>
  <c r="AL9" i="4" s="1"/>
  <c r="AT8" i="1"/>
  <c r="AQ8" i="1"/>
  <c r="AR8" i="1" s="1"/>
  <c r="AM8" i="1"/>
  <c r="AN8" i="1" s="1"/>
  <c r="AH8" i="2" s="1"/>
  <c r="AJ8" i="2" s="1"/>
  <c r="AK8" i="3" s="1"/>
  <c r="AM8" i="3" s="1"/>
  <c r="AJ8" i="4" s="1"/>
  <c r="AL8" i="4" s="1"/>
  <c r="AT7" i="1"/>
  <c r="AQ7" i="1"/>
  <c r="AR7" i="1" s="1"/>
  <c r="AM7" i="1"/>
  <c r="AN7" i="1" s="1"/>
  <c r="AH7" i="2" s="1"/>
  <c r="AJ7" i="2" s="1"/>
  <c r="AK7" i="3" s="1"/>
  <c r="AM7" i="3" s="1"/>
  <c r="AJ7" i="4" s="1"/>
  <c r="AL7" i="4" s="1"/>
  <c r="AT6" i="1"/>
  <c r="AQ6" i="1"/>
  <c r="AR6" i="1" s="1"/>
  <c r="AM6" i="1"/>
  <c r="AN6" i="1" s="1"/>
  <c r="AH6" i="2" s="1"/>
  <c r="AJ6" i="2" s="1"/>
  <c r="AK6" i="3" s="1"/>
  <c r="AM6" i="3" s="1"/>
  <c r="AJ6" i="4" s="1"/>
  <c r="AL6" i="4" s="1"/>
  <c r="AT5" i="1"/>
  <c r="AQ5" i="1"/>
  <c r="AR5" i="1" s="1"/>
  <c r="AM5" i="1"/>
  <c r="AN5" i="1" s="1"/>
  <c r="AH5" i="2" s="1"/>
  <c r="AT39" i="1"/>
  <c r="AQ39" i="1"/>
  <c r="AR39" i="1" s="1"/>
  <c r="AM39" i="1"/>
  <c r="AN39" i="1" s="1"/>
  <c r="AH39" i="2" s="1"/>
  <c r="AJ39" i="2" s="1"/>
  <c r="AK39" i="3" s="1"/>
  <c r="AM39" i="3" s="1"/>
  <c r="AJ39" i="4" s="1"/>
  <c r="AL39" i="4" s="1"/>
  <c r="AT38" i="1"/>
  <c r="AQ38" i="1"/>
  <c r="AR38" i="1" s="1"/>
  <c r="AM38" i="1"/>
  <c r="AN38" i="1" s="1"/>
  <c r="AH38" i="2" s="1"/>
  <c r="AJ38" i="2" s="1"/>
  <c r="AK38" i="3" s="1"/>
  <c r="AM38" i="3" s="1"/>
  <c r="AJ38" i="4" s="1"/>
  <c r="AL38" i="4" s="1"/>
  <c r="AT37" i="1"/>
  <c r="AQ37" i="1"/>
  <c r="AR37" i="1" s="1"/>
  <c r="AM37" i="1"/>
  <c r="AN37" i="1" s="1"/>
  <c r="AH37" i="2" s="1"/>
  <c r="AJ37" i="2" s="1"/>
  <c r="AK37" i="3" s="1"/>
  <c r="AM37" i="3" s="1"/>
  <c r="AJ37" i="4" s="1"/>
  <c r="AL37" i="4" s="1"/>
  <c r="AT36" i="1"/>
  <c r="AQ36" i="1"/>
  <c r="AR36" i="1" s="1"/>
  <c r="AM36" i="1"/>
  <c r="AN36" i="1" s="1"/>
  <c r="AH36" i="2" s="1"/>
  <c r="AT35" i="1"/>
  <c r="AQ35" i="1"/>
  <c r="AR35" i="1" s="1"/>
  <c r="AM35" i="1"/>
  <c r="AN35" i="1" s="1"/>
  <c r="AH35" i="2" s="1"/>
  <c r="AJ35" i="2" s="1"/>
  <c r="AK35" i="3" s="1"/>
  <c r="AM35" i="3" s="1"/>
  <c r="AJ35" i="4" s="1"/>
  <c r="AL35" i="4" s="1"/>
  <c r="AT34" i="1"/>
  <c r="AQ34" i="1"/>
  <c r="AR34" i="1" s="1"/>
  <c r="AM34" i="1"/>
  <c r="AN34" i="1" s="1"/>
  <c r="AH34" i="2" s="1"/>
  <c r="AJ34" i="2" s="1"/>
  <c r="AK34" i="3" s="1"/>
  <c r="AM34" i="3" s="1"/>
  <c r="AJ34" i="4" s="1"/>
  <c r="AL34" i="4" s="1"/>
  <c r="AT33" i="1"/>
  <c r="AQ33" i="1"/>
  <c r="AR33" i="1" s="1"/>
  <c r="AM33" i="1"/>
  <c r="AN33" i="1" s="1"/>
  <c r="AH33" i="2" s="1"/>
  <c r="AJ33" i="2" s="1"/>
  <c r="AK33" i="3" s="1"/>
  <c r="AM33" i="3" s="1"/>
  <c r="AJ33" i="4" s="1"/>
  <c r="AL33" i="4" s="1"/>
  <c r="AT32" i="1"/>
  <c r="AQ32" i="1"/>
  <c r="AR32" i="1" s="1"/>
  <c r="AM32" i="1"/>
  <c r="AN32" i="1" s="1"/>
  <c r="AH32" i="2" s="1"/>
  <c r="AJ32" i="2" s="1"/>
  <c r="AK32" i="3" s="1"/>
  <c r="AM32" i="3" s="1"/>
  <c r="AJ32" i="4" s="1"/>
  <c r="AL32" i="4" s="1"/>
  <c r="AT31" i="1"/>
  <c r="AQ31" i="1"/>
  <c r="AR31" i="1" s="1"/>
  <c r="AM31" i="1"/>
  <c r="AN31" i="1" s="1"/>
  <c r="AH31" i="2" s="1"/>
  <c r="AJ31" i="2" s="1"/>
  <c r="AK31" i="3" s="1"/>
  <c r="AM31" i="3" s="1"/>
  <c r="AJ31" i="4" s="1"/>
  <c r="AL31" i="4" s="1"/>
  <c r="AT30" i="1"/>
  <c r="AQ30" i="1"/>
  <c r="AR30" i="1" s="1"/>
  <c r="AM30" i="1"/>
  <c r="AN30" i="1" s="1"/>
  <c r="AH30" i="2" s="1"/>
  <c r="AJ30" i="2" s="1"/>
  <c r="AK30" i="3" s="1"/>
  <c r="AM30" i="3" s="1"/>
  <c r="AJ30" i="4" s="1"/>
  <c r="AL30" i="4" s="1"/>
  <c r="AT29" i="1"/>
  <c r="AQ29" i="1"/>
  <c r="AR29" i="1" s="1"/>
  <c r="AM29" i="1"/>
  <c r="AN29" i="1" s="1"/>
  <c r="AH29" i="2" s="1"/>
  <c r="AJ29" i="2" s="1"/>
  <c r="AK29" i="3" s="1"/>
  <c r="AM29" i="3" s="1"/>
  <c r="AJ29" i="4" s="1"/>
  <c r="AL29" i="4" s="1"/>
  <c r="AT28" i="1"/>
  <c r="AQ28" i="1"/>
  <c r="AR28" i="1" s="1"/>
  <c r="AM28" i="1"/>
  <c r="AN28" i="1" s="1"/>
  <c r="AH28" i="2" s="1"/>
  <c r="AJ28" i="2" s="1"/>
  <c r="AK28" i="3" s="1"/>
  <c r="AM28" i="3" s="1"/>
  <c r="AJ28" i="4" s="1"/>
  <c r="AL28" i="4" s="1"/>
  <c r="E50" i="12"/>
  <c r="E49" i="12"/>
  <c r="E50" i="10"/>
  <c r="E49" i="10"/>
  <c r="E50" i="9"/>
  <c r="E49" i="9"/>
  <c r="E50" i="8"/>
  <c r="E49" i="8"/>
  <c r="E51" i="8" s="1"/>
  <c r="E50" i="7"/>
  <c r="E49" i="7"/>
  <c r="E50" i="6"/>
  <c r="E49" i="6"/>
  <c r="E50" i="5"/>
  <c r="E49" i="5"/>
  <c r="E50" i="4"/>
  <c r="E49" i="4"/>
  <c r="E50" i="3"/>
  <c r="E49" i="3"/>
  <c r="AH51" i="1" l="1"/>
  <c r="AI51" i="1"/>
  <c r="E51" i="2"/>
  <c r="X51" i="2"/>
  <c r="O51" i="2"/>
  <c r="R51" i="2"/>
  <c r="AJ12" i="2"/>
  <c r="AK12" i="3" s="1"/>
  <c r="AM12" i="3" s="1"/>
  <c r="AJ12" i="4" s="1"/>
  <c r="AL12" i="4" s="1"/>
  <c r="AM11" i="3"/>
  <c r="AJ11" i="4" s="1"/>
  <c r="AL11" i="4" s="1"/>
  <c r="AJ5" i="2"/>
  <c r="AK5" i="3" s="1"/>
  <c r="AM5" i="3" s="1"/>
  <c r="AJ5" i="4" s="1"/>
  <c r="AL5" i="4" s="1"/>
  <c r="AJ36" i="2"/>
  <c r="AK36" i="3" s="1"/>
  <c r="AM36" i="3" s="1"/>
  <c r="AJ36" i="4" s="1"/>
  <c r="AL36" i="4" s="1"/>
  <c r="AJ25" i="2"/>
  <c r="AK25" i="3" s="1"/>
  <c r="AM25" i="3" s="1"/>
  <c r="AJ25" i="4" s="1"/>
  <c r="AL25" i="4" s="1"/>
  <c r="AJ13" i="2"/>
  <c r="AK13" i="3" s="1"/>
  <c r="AM13" i="3" s="1"/>
  <c r="AJ13" i="4" s="1"/>
  <c r="AL13" i="4" s="1"/>
  <c r="E51" i="4"/>
  <c r="E51" i="5"/>
  <c r="E51" i="12"/>
  <c r="E51" i="7"/>
  <c r="E51" i="3"/>
  <c r="E51" i="6"/>
  <c r="E51" i="10"/>
  <c r="E51" i="9"/>
  <c r="AT40" i="1"/>
  <c r="AT41" i="1"/>
  <c r="AT42" i="1"/>
  <c r="AT43" i="1"/>
  <c r="AT44" i="1"/>
  <c r="AT45" i="1"/>
  <c r="AT46" i="1"/>
  <c r="AT47" i="1"/>
  <c r="AQ40" i="1"/>
  <c r="AQ41" i="1"/>
  <c r="AQ42" i="1"/>
  <c r="AQ43" i="1"/>
  <c r="AQ44" i="1"/>
  <c r="AQ45" i="1"/>
  <c r="AQ46" i="1"/>
  <c r="AQ47" i="1"/>
  <c r="AR47" i="1" l="1"/>
  <c r="AM47" i="1"/>
  <c r="AR46" i="1"/>
  <c r="AM46" i="1"/>
  <c r="AR45" i="1"/>
  <c r="AM45" i="1"/>
  <c r="AR44" i="1"/>
  <c r="AM44" i="1"/>
  <c r="AR43" i="1"/>
  <c r="AM43" i="1"/>
  <c r="AR42" i="1"/>
  <c r="AM42" i="1"/>
  <c r="AR41" i="1"/>
  <c r="AM41" i="1"/>
  <c r="AR40" i="1"/>
  <c r="AM40" i="1"/>
  <c r="AN42" i="1" l="1"/>
  <c r="AH42" i="2" s="1"/>
  <c r="AJ42" i="2" s="1"/>
  <c r="AK42" i="3" s="1"/>
  <c r="AM42" i="3" s="1"/>
  <c r="AJ42" i="4" s="1"/>
  <c r="AL42" i="4" s="1"/>
  <c r="AN46" i="1"/>
  <c r="AH46" i="2" s="1"/>
  <c r="AJ46" i="2" s="1"/>
  <c r="AK46" i="3" s="1"/>
  <c r="AM46" i="3" s="1"/>
  <c r="AJ46" i="4" s="1"/>
  <c r="AL46" i="4" s="1"/>
  <c r="AN43" i="1"/>
  <c r="AH43" i="2" s="1"/>
  <c r="AJ43" i="2" s="1"/>
  <c r="AK43" i="3" s="1"/>
  <c r="AM43" i="3" s="1"/>
  <c r="AJ43" i="4" s="1"/>
  <c r="AL43" i="4" s="1"/>
  <c r="AN47" i="1"/>
  <c r="AH47" i="2" s="1"/>
  <c r="AJ47" i="2" s="1"/>
  <c r="AK47" i="3" s="1"/>
  <c r="AM47" i="3" s="1"/>
  <c r="AJ47" i="4" s="1"/>
  <c r="AL47" i="4" s="1"/>
  <c r="AN40" i="1"/>
  <c r="AH40" i="2" s="1"/>
  <c r="AJ40" i="2" s="1"/>
  <c r="AK40" i="3" s="1"/>
  <c r="AM40" i="3" s="1"/>
  <c r="AJ40" i="4" s="1"/>
  <c r="AL40" i="4" s="1"/>
  <c r="AN44" i="1"/>
  <c r="AH44" i="2" s="1"/>
  <c r="AJ44" i="2" s="1"/>
  <c r="AK44" i="3" s="1"/>
  <c r="AM44" i="3" s="1"/>
  <c r="AJ44" i="4" s="1"/>
  <c r="AL44" i="4" s="1"/>
  <c r="AN41" i="1"/>
  <c r="AH41" i="2" s="1"/>
  <c r="AJ41" i="2" s="1"/>
  <c r="AK41" i="3" s="1"/>
  <c r="AM41" i="3" s="1"/>
  <c r="AJ41" i="4" s="1"/>
  <c r="AL41" i="4" s="1"/>
  <c r="AN45" i="1"/>
  <c r="AH45" i="2" s="1"/>
  <c r="AJ45" i="2" s="1"/>
  <c r="AK45" i="3" s="1"/>
  <c r="AM45" i="3" s="1"/>
  <c r="AJ45" i="4" s="1"/>
  <c r="AL4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tc={401D6B54-7C7F-434F-9482-14271F475AD1}</author>
    <author>tc={EDE7D929-3C3C-496E-9266-CC8A935352E9}</author>
    <author>tc={6A2B5595-ABA4-4BF1-94BD-188C47EC1E28}</author>
    <author>tc={ADC8F540-9EDA-4CAD-A7AA-B5954EB8E2BB}</author>
    <author>tc={ED7278AD-CB4F-4CC8-9353-44DBC5357F8A}</author>
    <author>tc={37052FBD-41C2-4EB5-B873-9EC4BB3F112D}</author>
    <author>tc={58A29D52-B393-41E1-8165-32B520554C6E}</author>
    <author>tc={38EF4BD5-2288-4BF0-AB6C-9B63722F2415}</author>
    <author>tc={B5353613-72FC-412B-9CF9-BB9724593B05}</author>
    <author>tc={104DD14B-85AF-4D09-8DCD-3DB66804766F}</author>
    <author>tc={195B7C54-10BC-4EF5-9B6D-354AB8A0C0E7}</author>
    <author>tc={929FD28A-5300-4FC8-AC1B-0C013F207575}</author>
    <author>tc={E5AB98F4-8E05-4D6A-A434-F76CDE1B87B7}</author>
    <author>tc={76864CD5-B98D-4C37-BC51-7FA578103AF1}</author>
    <author>tc={FEC5E116-4F76-4816-BBD6-FD700C3EA669}</author>
    <author>tc={5AFD5403-8B66-4726-8AB8-02D3D5369F81}</author>
    <author>tc={83919CB6-7923-4FC5-AD06-45F4BF0B8401}</author>
    <author>tc={C8DCFB08-3D4C-4CD2-B757-3A3DE4171196}</author>
    <author>tc={5B148438-7C8F-4FD9-95DD-F2C7814B248A}</author>
    <author>tc={27306F0B-750E-4D9F-8D37-FE4D991D0892}</author>
    <author>tc={196F726A-AA48-48F5-A2BF-5BF02CAF292B}</author>
    <author>tc={CDC8C4C2-B8C5-4860-A41E-A0E4D27A7D5C}</author>
    <author>tc={90FB15F0-7F69-4549-BD40-6CF8FA2C4EB0}</author>
    <author>tc={EB545D4D-4A4B-46AC-B2E7-DBEB31A786EE}</author>
    <author>tc={904788F9-0BD0-4C33-91B4-5810E0B5E9AC}</author>
    <author>tc={7D1A78F8-2524-450E-BDA7-106867275546}</author>
    <author>tc={5F531EF4-E865-4257-B62E-8082784A434D}</author>
    <author>tc={8E4B1E66-6A3A-4BA5-8831-C14A5B56A02F}</author>
    <author>tc={0BB4075B-059C-4F47-AA95-EB6031137EEB}</author>
    <author>tc={3FCE5C4D-07BD-4BEE-A48D-3616975D13B0}</author>
    <author>tc={95346EA4-03E0-4A12-AE8D-7C9804C3918E}</author>
  </authors>
  <commentList>
    <comment ref="F6" authorId="0" shapeId="0" xr:uid="{401D6B54-7C7F-434F-9482-14271F475AD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@PINTO, MIGUEL SM+Inad a partir das 18H</t>
      </text>
    </comment>
    <comment ref="K6" authorId="1" shapeId="0" xr:uid="{EDE7D929-3C3C-496E-9266-CC8A935352E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@PINTO, MIGUEL Reunião PVT/PFS às 11:30H</t>
      </text>
    </comment>
    <comment ref="AI11" authorId="2" shapeId="0" xr:uid="{6A2B5595-ABA4-4BF1-94BD-188C47EC1E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 @BEST, MARCOS </t>
      </text>
    </comment>
    <comment ref="AC13" authorId="3" shapeId="0" xr:uid="{ADC8F540-9EDA-4CAD-A7AA-B5954EB8E2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 direta com a Ines Coelho @BEST, MARCOS </t>
      </text>
    </comment>
    <comment ref="O14" authorId="4" shapeId="0" xr:uid="{ED7278AD-CB4F-4CC8-9353-44DBC5357F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 direta com a Ines Coelho @BEST, MARCOS </t>
      </text>
    </comment>
    <comment ref="AF14" authorId="5" shapeId="0" xr:uid="{37052FBD-41C2-4EB5-B873-9EC4BB3F11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 com a Ines Coelho 
@BEST, MARCOS </t>
      </text>
    </comment>
    <comment ref="O19" authorId="6" shapeId="0" xr:uid="{58A29D52-B393-41E1-8165-32B520554C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 direta com o Samuel Neves @BEST, MARCOS </t>
      </text>
    </comment>
    <comment ref="AC19" authorId="7" shapeId="0" xr:uid="{38EF4BD5-2288-4BF0-AB6C-9B63722F24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Pedido de troca direta com o Bessa @BEST, MARCOS </t>
      </text>
    </comment>
    <comment ref="AF19" authorId="8" shapeId="0" xr:uid="{B5353613-72FC-412B-9CF9-BB9724593B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 com o Samuel Neves @BEST, MARCOS </t>
      </text>
    </comment>
    <comment ref="N21" authorId="9" shapeId="0" xr:uid="{104DD14B-85AF-4D09-8DCD-3DB6680476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 de S3 feita a 30DEC25 @FERREIRA, CATARINA </t>
      </text>
    </comment>
    <comment ref="N22" authorId="10" shapeId="0" xr:uid="{195B7C54-10BC-4EF5-9B6D-354AB8A0C0E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 @BEST, MARCOS </t>
      </text>
    </comment>
    <comment ref="R22" authorId="11" shapeId="0" xr:uid="{929FD28A-5300-4FC8-AC1B-0C013F207575}">
      <text>
        <t>[Threaded comment]
Your version of Excel allows you to read this threaded comment; however, any edits to it will get removed if the file is opened in a newer version of Excel. Learn more: https://go.microsoft.com/fwlink/?linkid=870924
Comment:
    Aprovado por RH</t>
      </text>
    </comment>
    <comment ref="O26" authorId="12" shapeId="0" xr:uid="{E5AB98F4-8E05-4D6A-A434-F76CDE1B87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Revisao LHX com Telma Carvalho @FERREIRA, CATARINA </t>
      </text>
    </comment>
    <comment ref="S29" authorId="13" shapeId="0" xr:uid="{76864CD5-B98D-4C37-BC51-7FA578103A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 @BEST, MARCOS </t>
      </text>
    </comment>
    <comment ref="T29" authorId="14" shapeId="0" xr:uid="{FEC5E116-4F76-4816-BBD6-FD700C3EA6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 @BEST, MARCOS </t>
      </text>
    </comment>
    <comment ref="U29" authorId="15" shapeId="0" xr:uid="{5AFD5403-8B66-4726-8AB8-02D3D5369F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 @BEST, MARCOS </t>
      </text>
    </comment>
    <comment ref="V29" authorId="16" shapeId="0" xr:uid="{83919CB6-7923-4FC5-AD06-45F4BF0B840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 @BEST, MARCOS </t>
      </text>
    </comment>
    <comment ref="E30" authorId="17" shapeId="0" xr:uid="{C8DCFB08-3D4C-4CD2-B757-3A3DE4171196}">
      <text>
        <t>[Threaded comment]
Your version of Excel allows you to read this threaded comment; however, any edits to it will get removed if the file is opened in a newer version of Excel. Learn more: https://go.microsoft.com/fwlink/?linkid=870924
Comment:
    LHX</t>
      </text>
    </comment>
    <comment ref="K42" authorId="18" shapeId="0" xr:uid="{5B148438-7C8F-4FD9-95DD-F2C7814B248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@ABREU, TIAGO Reunião PVT/PFS Tool às 11:30H</t>
      </text>
    </comment>
    <comment ref="L42" authorId="19" shapeId="0" xr:uid="{27306F0B-750E-4D9F-8D37-FE4D991D089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@ABREU, TIAGO  Reunião Facilitation às 14:00H</t>
      </text>
    </comment>
    <comment ref="I43" authorId="20" shapeId="0" xr:uid="{196F726A-AA48-48F5-A2BF-5BF02CAF292B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aprovada com Bárbara Martins</t>
      </text>
    </comment>
    <comment ref="J43" authorId="21" shapeId="0" xr:uid="{CDC8C4C2-B8C5-4860-A41E-A0E4D27A7D5C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 Hub</t>
      </text>
    </comment>
    <comment ref="J44" authorId="22" shapeId="0" xr:uid="{90FB15F0-7F69-4549-BD40-6CF8FA2C4EB0}">
      <text>
        <t>[Threaded comment]
Your version of Excel allows you to read this threaded comment; however, any edits to it will get removed if the file is opened in a newer version of Excel. Learn more: https://go.microsoft.com/fwlink/?linkid=870924
Comment:
    @BASTOS, TASSIANA  SM+TRSC</t>
      </text>
    </comment>
    <comment ref="K44" authorId="23" shapeId="0" xr:uid="{EB545D4D-4A4B-46AC-B2E7-DBEB31A786E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@BASTOS, TASSIANA SM+INAD</t>
      </text>
    </comment>
    <comment ref="F45" authorId="24" shapeId="0" xr:uid="{904788F9-0BD0-4C33-91B4-5810E0B5E9AC}">
      <text>
        <t>[Threaded comment]
Your version of Excel allows you to read this threaded comment; however, any edits to it will get removed if the file is opened in a newer version of Excel. Learn more: https://go.microsoft.com/fwlink/?linkid=870924
Comment:
    SM a partir das 14H e Inad a partir das 10H</t>
      </text>
    </comment>
    <comment ref="F46" authorId="25" shapeId="0" xr:uid="{7D1A78F8-2524-450E-BDA7-106867275546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 (Até Às 10H)</t>
      </text>
    </comment>
    <comment ref="G47" authorId="26" shapeId="0" xr:uid="{5F531EF4-E865-4257-B62E-8082784A434D}">
      <text>
        <t>[Threaded comment]
Your version of Excel allows you to read this threaded comment; however, any edits to it will get removed if the file is opened in a newer version of Excel. Learn more: https://go.microsoft.com/fwlink/?linkid=870924
Comment:
    apoio TRSC</t>
      </text>
    </comment>
    <comment ref="J47" authorId="27" shapeId="0" xr:uid="{8E4B1E66-6A3A-4BA5-8831-C14A5B56A02F}">
      <text>
        <t>[Threaded comment]
Your version of Excel allows you to read this threaded comment; however, any edits to it will get removed if the file is opened in a newer version of Excel. Learn more: https://go.microsoft.com/fwlink/?linkid=870924
Comment:
    apoio TRSC</t>
      </text>
    </comment>
    <comment ref="K47" authorId="28" shapeId="0" xr:uid="{0BB4075B-059C-4F47-AA95-EB6031137EEB}">
      <text>
        <t>[Threaded comment]
Your version of Excel allows you to read this threaded comment; however, any edits to it will get removed if the file is opened in a newer version of Excel. Learn more: https://go.microsoft.com/fwlink/?linkid=870924
Comment:
    apoio TRSC</t>
      </text>
    </comment>
    <comment ref="L47" authorId="29" shapeId="0" xr:uid="{3FCE5C4D-07BD-4BEE-A48D-3616975D13B0}">
      <text>
        <t>[Threaded comment]
Your version of Excel allows you to read this threaded comment; however, any edits to it will get removed if the file is opened in a newer version of Excel. Learn more: https://go.microsoft.com/fwlink/?linkid=870924
Comment:
    apoio TRSC</t>
      </text>
    </comment>
    <comment ref="M47" authorId="30" shapeId="0" xr:uid="{95346EA4-03E0-4A12-AE8D-7C9804C3918E}">
      <text>
        <t>[Threaded comment]
Your version of Excel allows you to read this threaded comment; however, any edits to it will get removed if the file is opened in a newer version of Excel. Learn more: https://go.microsoft.com/fwlink/?linkid=870924
Comment:
    apoio TRSC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tc={0F75C089-F086-41D4-9610-33CDE03A54AF}</author>
  </authors>
  <commentList>
    <comment ref="U18" authorId="0" shapeId="0" xr:uid="{0F75C089-F086-41D4-9610-33CDE03A54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Reforco de Turno @BEST, MARCOS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tc={D7D4D83F-6451-49EC-9F95-C1EDD194D6D7}</author>
    <author>tc={90149DFC-6EB0-4F52-98F3-8955C0FC1E9E}</author>
    <author>tc={A28ED082-1A74-4542-94D8-BBB4F060411C}</author>
    <author>tc={07BB764D-5D84-4A41-BA9C-38E805047A1C}</author>
    <author>tc={517CAA9D-FB13-44AC-8514-8875E4D7C1D0}</author>
    <author>tc={7CCC17F3-BFE6-4F9B-90C5-D270600F58FD}</author>
    <author>tc={4F056409-D4CD-4E28-AFDD-868F6CB73D13}</author>
  </authors>
  <commentList>
    <comment ref="L7" authorId="0" shapeId="0" xr:uid="{D7D4D83F-6451-49EC-9F95-C1EDD194D6D7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com Catarina Pereira</t>
      </text>
    </comment>
    <comment ref="Q7" authorId="1" shapeId="0" xr:uid="{90149DFC-6EB0-4F52-98F3-8955C0FC1E9E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aprovada com Catarina Pereira</t>
      </text>
    </comment>
    <comment ref="L11" authorId="2" shapeId="0" xr:uid="{A28ED082-1A74-4542-94D8-BBB4F060411C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com JSS</t>
      </text>
    </comment>
    <comment ref="Q11" authorId="3" shapeId="0" xr:uid="{07BB764D-5D84-4A41-BA9C-38E805047A1C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aprovada com Joao Santos Silva</t>
      </text>
    </comment>
    <comment ref="V23" authorId="4" shapeId="0" xr:uid="{517CAA9D-FB13-44AC-8514-8875E4D7C1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Reforco de turno @BEST, MARCOS </t>
      </text>
    </comment>
    <comment ref="J24" authorId="5" shapeId="0" xr:uid="{7CCC17F3-BFE6-4F9B-90C5-D270600F58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 @BEST, MARCOS </t>
      </text>
    </comment>
    <comment ref="K24" authorId="6" shapeId="0" xr:uid="{4F056409-D4CD-4E28-AFDD-868F6CB73D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 @BEST, MARCOS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tc={3DE56FE7-D848-4093-BF6F-1D2C3103DA38}</author>
  </authors>
  <commentList>
    <comment ref="G32" authorId="0" shapeId="0" xr:uid="{3DE56FE7-D848-4093-BF6F-1D2C3103DA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Reforco de turno @BEST, MARCOS @MARTINS, JESSICA </t>
      </text>
    </comment>
  </commentList>
</comments>
</file>

<file path=xl/sharedStrings.xml><?xml version="1.0" encoding="utf-8"?>
<sst xmlns="http://schemas.openxmlformats.org/spreadsheetml/2006/main" count="19187" uniqueCount="263">
  <si>
    <t>Not Finalized</t>
  </si>
  <si>
    <t xml:space="preserve">Finalized </t>
  </si>
  <si>
    <t>HUB Services</t>
  </si>
  <si>
    <t>LGSP - Lufthansa Ground Services Portugal              NIF : 509 842 593          Atividade: CAE 52230.R3           Sede e local de trabalho: Avenida da Boavista ED.Burgo, 1837 sala 13.1          Horario de Funcionamento: 24/7          IRT: Não Aplicável</t>
  </si>
  <si>
    <t>Ferias 2025</t>
  </si>
  <si>
    <t>Ferias 2026</t>
  </si>
  <si>
    <t>Dias Trabalhados</t>
  </si>
  <si>
    <t>Janeiro</t>
  </si>
  <si>
    <t>Qui</t>
  </si>
  <si>
    <t>Sex</t>
  </si>
  <si>
    <t>Sab</t>
  </si>
  <si>
    <t>Dom</t>
  </si>
  <si>
    <t>Seg</t>
  </si>
  <si>
    <t>Ter</t>
  </si>
  <si>
    <t>Qua</t>
  </si>
  <si>
    <t>Used</t>
  </si>
  <si>
    <t>Left</t>
  </si>
  <si>
    <t>Hub Services Supervision</t>
  </si>
  <si>
    <t>Catarina Ferreira</t>
  </si>
  <si>
    <t>FERREIRA, CATARINA</t>
  </si>
  <si>
    <t>H</t>
  </si>
  <si>
    <t>P06</t>
  </si>
  <si>
    <t>F</t>
  </si>
  <si>
    <t>P14</t>
  </si>
  <si>
    <t>Miguel Pinto</t>
  </si>
  <si>
    <t>PINTO, MIGUEL</t>
  </si>
  <si>
    <t>B</t>
  </si>
  <si>
    <t>João Santos Silva</t>
  </si>
  <si>
    <t>SANTOS SILVA, JOAO</t>
  </si>
  <si>
    <t>P22</t>
  </si>
  <si>
    <t>S3</t>
  </si>
  <si>
    <t>Ana Magalhães</t>
  </si>
  <si>
    <t>MAGALHAES, ANA CATARINA</t>
  </si>
  <si>
    <t>UA</t>
  </si>
  <si>
    <t>Jorge Gonçalves</t>
  </si>
  <si>
    <t>GONCALVES, JORGE</t>
  </si>
  <si>
    <t>U</t>
  </si>
  <si>
    <t>Sara Medeiros</t>
  </si>
  <si>
    <t>MEDEIROS, SARA</t>
  </si>
  <si>
    <t>Catarina Pereira</t>
  </si>
  <si>
    <t>PEREIRA, CATARINA</t>
  </si>
  <si>
    <t>P11</t>
  </si>
  <si>
    <t>P07</t>
  </si>
  <si>
    <t>Catia Martins</t>
  </si>
  <si>
    <t>MARTINS, CATIA</t>
  </si>
  <si>
    <t>Remote Passenger Recovery Team</t>
  </si>
  <si>
    <t>Ricardo Bessa</t>
  </si>
  <si>
    <t>BESSA, RICARDO</t>
  </si>
  <si>
    <t>Samuel Neves</t>
  </si>
  <si>
    <t>NEVES, SAMUEL</t>
  </si>
  <si>
    <t>Ricardo Medeiros</t>
  </si>
  <si>
    <t>MEDEIROS, RICARDO</t>
  </si>
  <si>
    <t>Joana Pinheiro</t>
  </si>
  <si>
    <t>PINHEIRO, JOANA</t>
  </si>
  <si>
    <t>Bruna Lima</t>
  </si>
  <si>
    <t>LIMA, BRUNA</t>
  </si>
  <si>
    <t>Ivo Latourrette</t>
  </si>
  <si>
    <t>LATOURRETTE, IVO</t>
  </si>
  <si>
    <t>Inês Coelho</t>
  </si>
  <si>
    <t>COELHO, INES</t>
  </si>
  <si>
    <t>Jose Alves</t>
  </si>
  <si>
    <t>ALVES, JOSE</t>
  </si>
  <si>
    <t>Alefe Sobral</t>
  </si>
  <si>
    <t>SOBRAL, ALEFE</t>
  </si>
  <si>
    <t>Gonçalo Pereira</t>
  </si>
  <si>
    <t>PEREIRA, GONCALO</t>
  </si>
  <si>
    <t>P13</t>
  </si>
  <si>
    <t>E</t>
  </si>
  <si>
    <t>Carlos Carvalhais</t>
  </si>
  <si>
    <t>CARVALHAIS, CARLOS</t>
  </si>
  <si>
    <t>Ines Pilre</t>
  </si>
  <si>
    <t>PILRE, INES</t>
  </si>
  <si>
    <t>Hubs Services Team</t>
  </si>
  <si>
    <t>Raquel Oliveira</t>
  </si>
  <si>
    <t>OLIVEIRA, RAQUEL ALEXANDRA</t>
  </si>
  <si>
    <t>Rafael Silva</t>
  </si>
  <si>
    <t>SILVA, RAFAEL</t>
  </si>
  <si>
    <t>Jose Borges</t>
  </si>
  <si>
    <t>BORGES, JOSE</t>
  </si>
  <si>
    <t>Josue Fula</t>
  </si>
  <si>
    <t>FULA, JOSUE</t>
  </si>
  <si>
    <t>K</t>
  </si>
  <si>
    <t>Barbara Pereira</t>
  </si>
  <si>
    <t>PEREIRA, BARBARA</t>
  </si>
  <si>
    <t>P10</t>
  </si>
  <si>
    <t>Dulani Monteiro</t>
  </si>
  <si>
    <t>MONTEIRO, DULANI</t>
  </si>
  <si>
    <t>Diogo Arantes</t>
  </si>
  <si>
    <t>ARANTES, DIOGO</t>
  </si>
  <si>
    <t>Jessica Martins</t>
  </si>
  <si>
    <t>MARTINS, JESSICA</t>
  </si>
  <si>
    <t>Carla Ferreira</t>
  </si>
  <si>
    <t>FERREIRA, CARLA</t>
  </si>
  <si>
    <t>Rafael Medina</t>
  </si>
  <si>
    <t>MEDINA, RAFAEL</t>
  </si>
  <si>
    <t>Catia Neves</t>
  </si>
  <si>
    <t>NEVES, CATIA</t>
  </si>
  <si>
    <t>LHX &amp; Catering</t>
  </si>
  <si>
    <t>Ana Telma Carvalho</t>
  </si>
  <si>
    <t>CARVALHO, ANA</t>
  </si>
  <si>
    <t>H05</t>
  </si>
  <si>
    <t>Catia Craveiro</t>
  </si>
  <si>
    <t>CRAVEIRO, CATIA</t>
  </si>
  <si>
    <t>Maria Vitoria Almeida</t>
  </si>
  <si>
    <t>ALMEIDA, MARIA VITORIA</t>
  </si>
  <si>
    <t>Jessica Santos</t>
  </si>
  <si>
    <t>SANTOS, JESSICA</t>
  </si>
  <si>
    <t>M</t>
  </si>
  <si>
    <t>INAD HUB/CG/DEPO</t>
  </si>
  <si>
    <t>Cristiana Ferreira</t>
  </si>
  <si>
    <t>FERREIRA, CRISTIANA MARGARIDA</t>
  </si>
  <si>
    <t>Mauro Silva</t>
  </si>
  <si>
    <t>SILVA, MAURO</t>
  </si>
  <si>
    <t>P08/</t>
  </si>
  <si>
    <t>Tiago Abreu</t>
  </si>
  <si>
    <t>ABREU, TIAGO</t>
  </si>
  <si>
    <t>P08</t>
  </si>
  <si>
    <t>Maria Burca</t>
  </si>
  <si>
    <t>BURCA, MARIA</t>
  </si>
  <si>
    <t>Tassiana Bastos</t>
  </si>
  <si>
    <t>BASTOS, TASSIANA</t>
  </si>
  <si>
    <t>Barbara Martins</t>
  </si>
  <si>
    <t>MARTINS, BARBARA</t>
  </si>
  <si>
    <t>FINJ</t>
  </si>
  <si>
    <t>Marcos Costa</t>
  </si>
  <si>
    <t>COSTA, MARCOS FELIPE</t>
  </si>
  <si>
    <t>Tatiana Monteiro</t>
  </si>
  <si>
    <t>MONTEIRO, TATIANA</t>
  </si>
  <si>
    <t>TOTAL Dia</t>
  </si>
  <si>
    <t>Folga</t>
  </si>
  <si>
    <t>FJ</t>
  </si>
  <si>
    <t>Falta Justificada</t>
  </si>
  <si>
    <t>Legenda</t>
  </si>
  <si>
    <t>Horário</t>
  </si>
  <si>
    <t>Pausa</t>
  </si>
  <si>
    <t>A</t>
  </si>
  <si>
    <t>Folga de compensacao</t>
  </si>
  <si>
    <t>Falta Injustificada</t>
  </si>
  <si>
    <t>Home Office</t>
  </si>
  <si>
    <t>22h00-06h00</t>
  </si>
  <si>
    <t>02h00 - 02h30</t>
  </si>
  <si>
    <t>Feriado</t>
  </si>
  <si>
    <t>Licenca</t>
  </si>
  <si>
    <t>P</t>
  </si>
  <si>
    <t>Presencial</t>
  </si>
  <si>
    <t>P23</t>
  </si>
  <si>
    <t>23h00-07h00</t>
  </si>
  <si>
    <t>03h00 - 03h30</t>
  </si>
  <si>
    <t>Ferias</t>
  </si>
  <si>
    <t>-</t>
  </si>
  <si>
    <t>45min</t>
  </si>
  <si>
    <t>H03/</t>
  </si>
  <si>
    <t>03h30-11h30</t>
  </si>
  <si>
    <t>07h30 - 08h00</t>
  </si>
  <si>
    <t>Ferias do ano anterior</t>
  </si>
  <si>
    <t>S1</t>
  </si>
  <si>
    <t>/</t>
  </si>
  <si>
    <t>30min</t>
  </si>
  <si>
    <t>05h00-13h00</t>
  </si>
  <si>
    <t>09h00 - 09h30</t>
  </si>
  <si>
    <t>Feriado nao aprovado</t>
  </si>
  <si>
    <t>Ausente</t>
  </si>
  <si>
    <t>*</t>
  </si>
  <si>
    <t>15min</t>
  </si>
  <si>
    <t>H05/</t>
  </si>
  <si>
    <t>05h30-13h30</t>
  </si>
  <si>
    <t>09h30 - 10h00</t>
  </si>
  <si>
    <t>Dia de ferias nao aprovado</t>
  </si>
  <si>
    <t>K1</t>
  </si>
  <si>
    <t>P05-</t>
  </si>
  <si>
    <t>05h45-13h45</t>
  </si>
  <si>
    <t>09h45 - 10h15</t>
  </si>
  <si>
    <t>Birthday</t>
  </si>
  <si>
    <t>K2</t>
  </si>
  <si>
    <t>06h00 - 14h00</t>
  </si>
  <si>
    <t>10h00 - 10h30</t>
  </si>
  <si>
    <t>B*</t>
  </si>
  <si>
    <t>Birthday - dia alternativo</t>
  </si>
  <si>
    <t>K6</t>
  </si>
  <si>
    <t>P06/</t>
  </si>
  <si>
    <t>06h30 - 14h30</t>
  </si>
  <si>
    <t>10h30 - 11h00</t>
  </si>
  <si>
    <t>TR</t>
  </si>
  <si>
    <t>Training</t>
  </si>
  <si>
    <t>P06-</t>
  </si>
  <si>
    <t xml:space="preserve">06h45 - 14h45 </t>
  </si>
  <si>
    <t>10h45 - 11h15</t>
  </si>
  <si>
    <t>Ausencia Especial</t>
  </si>
  <si>
    <t>EM</t>
  </si>
  <si>
    <t>07h00-15h00</t>
  </si>
  <si>
    <t>11h00 - 11h30</t>
  </si>
  <si>
    <t>TB</t>
  </si>
  <si>
    <t>Team Building</t>
  </si>
  <si>
    <t>J</t>
  </si>
  <si>
    <t>P07*</t>
  </si>
  <si>
    <t>07h15-15h15</t>
  </si>
  <si>
    <t>11h15 - 11h45</t>
  </si>
  <si>
    <t>R</t>
  </si>
  <si>
    <t>Viagem em Servico</t>
  </si>
  <si>
    <t>NO</t>
  </si>
  <si>
    <t>P07/</t>
  </si>
  <si>
    <t>07h30 - 15h30</t>
  </si>
  <si>
    <t>11h30 - 12h00</t>
  </si>
  <si>
    <t>D</t>
  </si>
  <si>
    <t>Viagem em Servico Alemanha</t>
  </si>
  <si>
    <t>CM1</t>
  </si>
  <si>
    <t>P07-</t>
  </si>
  <si>
    <t>07h45 - 15h45</t>
  </si>
  <si>
    <t>11h45 - 12h15</t>
  </si>
  <si>
    <t xml:space="preserve">SE </t>
  </si>
  <si>
    <t>Servico Especial</t>
  </si>
  <si>
    <t>V</t>
  </si>
  <si>
    <t>Solidariedade</t>
  </si>
  <si>
    <t>08h00-16h00</t>
  </si>
  <si>
    <t>12h00 - 12h30</t>
  </si>
  <si>
    <t>P08*</t>
  </si>
  <si>
    <t>08h15-16h15</t>
  </si>
  <si>
    <t>12h15 - 12h45</t>
  </si>
  <si>
    <t>08h30-16h30</t>
  </si>
  <si>
    <t>12h30 - 13h30</t>
  </si>
  <si>
    <t>P08-</t>
  </si>
  <si>
    <t>08h45-16h45</t>
  </si>
  <si>
    <t>12h45 - 13h15</t>
  </si>
  <si>
    <t>P09</t>
  </si>
  <si>
    <t>09h00-17h00</t>
  </si>
  <si>
    <t>13h00 - 13h30</t>
  </si>
  <si>
    <t>P09*</t>
  </si>
  <si>
    <t>09h15-17h15</t>
  </si>
  <si>
    <t>13h15 - 13h45</t>
  </si>
  <si>
    <t>10h00-18h00</t>
  </si>
  <si>
    <t>14h00 - 14h30</t>
  </si>
  <si>
    <t>11h00-19h00</t>
  </si>
  <si>
    <t>15h00 - 15h30</t>
  </si>
  <si>
    <t>P12</t>
  </si>
  <si>
    <t>12h00-20h00</t>
  </si>
  <si>
    <t>16h00 - 16h30</t>
  </si>
  <si>
    <t>13h00-21h00</t>
  </si>
  <si>
    <t>17h00 - 17h30</t>
  </si>
  <si>
    <t>14h00-22h00</t>
  </si>
  <si>
    <t>18h00 - 18h30</t>
  </si>
  <si>
    <t>P15</t>
  </si>
  <si>
    <t>15h00-23h00</t>
  </si>
  <si>
    <t>19h00 - 19h30</t>
  </si>
  <si>
    <t>P16</t>
  </si>
  <si>
    <t>16h00-00h00</t>
  </si>
  <si>
    <t>20h00 - 20h30</t>
  </si>
  <si>
    <t>H17</t>
  </si>
  <si>
    <t>17h00-01h00</t>
  </si>
  <si>
    <t>21h00 - 21h30</t>
  </si>
  <si>
    <t>LGSP - Lufthansa Ground Services Portugal         NIF : 509 842 593       Atividade: CAE 52230.R3        Sede e local de trabalho: Avenida da Boavista ED.Burgo, 1837 sala 13.1       Horario de Funcionamento: 24/7        IRT : Nao Aplicavel</t>
  </si>
  <si>
    <t>Fevereiro</t>
  </si>
  <si>
    <t>Marco</t>
  </si>
  <si>
    <t>Servico</t>
  </si>
  <si>
    <t>TOTAL TURNO X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</si>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</sst>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b/>
      <sz val="12"/>
      <name val="Lufthansa Office Text"/>
      <family val="2"/>
    </font>
    <font>
      <sz val="12"/>
      <name val="Lufthansa Office Text"/>
      <family val="2"/>
    </font>
    <font>
      <sz val="11"/>
      <color theme="1"/>
      <name val="Lufthansa Office Text"/>
      <family val="2"/>
    </font>
    <font>
      <b/>
      <sz val="18"/>
      <color rgb="FFFFFFFF"/>
      <name val="Lufthansa Office Text"/>
      <family val="2"/>
    </font>
    <font>
      <sz val="10"/>
      <color rgb="FF000000"/>
      <name val="Lufthansa Office Text"/>
      <family val="2"/>
    </font>
    <font>
      <sz val="10"/>
      <color theme="1"/>
      <name val="Lufthansa Office Text"/>
      <family val="2"/>
    </font>
    <font>
      <b/>
      <sz val="16"/>
      <color theme="0"/>
      <name val="Lufthansa Office Text"/>
      <family val="2"/>
    </font>
    <font>
      <b/>
      <sz val="10"/>
      <color theme="0"/>
      <name val="Lufthansa Office Text"/>
      <family val="2"/>
    </font>
    <font>
      <b/>
      <sz val="10"/>
      <color theme="1"/>
      <name val="Lufthansa Office Text"/>
      <family val="2"/>
    </font>
    <font>
      <sz val="9"/>
      <color theme="0"/>
      <name val="Lufthansa Office Text"/>
      <family val="2"/>
    </font>
    <font>
      <sz val="10"/>
      <color rgb="FFFF0000"/>
      <name val="Lufthansa Office Text"/>
      <family val="2"/>
    </font>
    <font>
      <sz val="10"/>
      <name val="Lufthansa Office Text"/>
      <family val="2"/>
    </font>
    <font>
      <sz val="10"/>
      <color rgb="FFFFFFFF"/>
      <name val="Lufthansa Office Text"/>
      <family val="2"/>
    </font>
    <font>
      <sz val="10"/>
      <color rgb="FF203764"/>
      <name val="Lufthansa Office Text"/>
      <family val="2"/>
    </font>
    <font>
      <sz val="10"/>
      <color rgb="FF9C5700"/>
      <name val="Lufthansa Office Text"/>
      <family val="2"/>
    </font>
    <font>
      <sz val="9"/>
      <color theme="1"/>
      <name val="Lufthansa Office Text"/>
      <family val="2"/>
    </font>
    <font>
      <b/>
      <sz val="8"/>
      <color rgb="FF000000"/>
      <name val="Lufthansa Office Text"/>
      <family val="2"/>
    </font>
    <font>
      <sz val="10"/>
      <color theme="0"/>
      <name val="Lufthansa Office Text"/>
      <family val="2"/>
    </font>
    <font>
      <sz val="10"/>
      <color theme="8" tint="-0.249977111117893"/>
      <name val="Lufthansa Office Text"/>
      <family val="2"/>
    </font>
    <font>
      <sz val="10"/>
      <color theme="9" tint="-0.499984740745262"/>
      <name val="Lufthansa Office Text"/>
      <family val="2"/>
    </font>
    <font>
      <sz val="10"/>
      <color theme="5" tint="-0.499984740745262"/>
      <name val="Lufthansa Office Text"/>
      <family val="2"/>
    </font>
    <font>
      <sz val="10"/>
      <color rgb="FF005654"/>
      <name val="Lufthansa Office Text"/>
      <family val="2"/>
    </font>
    <font>
      <sz val="10"/>
      <color theme="0" tint="-4.9989318521683403E-2"/>
      <name val="Lufthansa Office Text"/>
      <family val="2"/>
    </font>
    <font>
      <sz val="8"/>
      <color theme="1"/>
      <name val="Lufthansa Office Text"/>
      <family val="2"/>
    </font>
  </fonts>
  <fills count="57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63F9C7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9D46DB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FF6699"/>
        <bgColor rgb="FF000000"/>
      </patternFill>
    </fill>
    <fill>
      <patternFill patternType="solid">
        <fgColor rgb="FF66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3" tint="0.499984740745262"/>
        <bgColor rgb="FF000000"/>
      </patternFill>
    </fill>
    <fill>
      <patternFill patternType="solid">
        <fgColor theme="3" tint="0.249977111117893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5" tint="-0.499984740745262"/>
        <bgColor rgb="FF000000"/>
      </patternFill>
    </fill>
    <fill>
      <patternFill patternType="solid">
        <fgColor theme="3" tint="9.9978637043366805E-2"/>
        <bgColor rgb="FF000000"/>
      </patternFill>
    </fill>
    <fill>
      <patternFill patternType="solid">
        <fgColor rgb="FFA9E292"/>
        <bgColor rgb="FF000000"/>
      </patternFill>
    </fill>
    <fill>
      <patternFill patternType="solid">
        <fgColor rgb="FF65CB41"/>
        <bgColor rgb="FF000000"/>
      </patternFill>
    </fill>
    <fill>
      <patternFill patternType="solid">
        <fgColor rgb="FF4BA42C"/>
        <bgColor rgb="FF000000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theme="8" tint="-0.499984740745262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2AA9A6"/>
        <bgColor rgb="FF000000"/>
      </patternFill>
    </fill>
    <fill>
      <patternFill patternType="solid">
        <fgColor rgb="FF207E7C"/>
        <bgColor rgb="FF000000"/>
      </patternFill>
    </fill>
    <fill>
      <patternFill patternType="solid">
        <fgColor rgb="FFD5FFFE"/>
        <bgColor rgb="FF000000"/>
      </patternFill>
    </fill>
    <fill>
      <patternFill patternType="solid">
        <fgColor theme="1" tint="0.34998626667073579"/>
        <bgColor rgb="FF000000"/>
      </patternFill>
    </fill>
    <fill>
      <patternFill patternType="solid">
        <fgColor theme="1" tint="0.14999847407452621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6337778862885"/>
        <bgColor rgb="FF000000"/>
      </patternFill>
    </fill>
    <fill>
      <patternFill patternType="solid">
        <fgColor rgb="FF782170"/>
        <bgColor rgb="FF000000"/>
      </patternFill>
    </fill>
    <fill>
      <patternFill patternType="solid">
        <fgColor rgb="FFD7EBC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215C98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6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3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3" fillId="0" borderId="0" xfId="0" applyFont="1"/>
    <xf numFmtId="0" fontId="6" fillId="0" borderId="0" xfId="0" applyFont="1"/>
    <xf numFmtId="0" fontId="6" fillId="8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/>
    </xf>
    <xf numFmtId="0" fontId="9" fillId="0" borderId="0" xfId="0" applyFont="1"/>
    <xf numFmtId="0" fontId="11" fillId="8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2" fillId="10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/>
    </xf>
    <xf numFmtId="0" fontId="13" fillId="13" borderId="9" xfId="0" applyFont="1" applyFill="1" applyBorder="1" applyAlignment="1">
      <alignment horizontal="center" vertical="center"/>
    </xf>
    <xf numFmtId="0" fontId="5" fillId="14" borderId="9" xfId="0" applyFont="1" applyFill="1" applyBorder="1" applyAlignment="1">
      <alignment horizontal="center" vertical="center"/>
    </xf>
    <xf numFmtId="0" fontId="12" fillId="15" borderId="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3" fillId="18" borderId="0" xfId="0" applyFont="1" applyFill="1"/>
    <xf numFmtId="0" fontId="3" fillId="19" borderId="0" xfId="0" applyFont="1" applyFill="1"/>
    <xf numFmtId="0" fontId="3" fillId="0" borderId="0" xfId="0" applyFont="1" applyAlignment="1">
      <alignment horizontal="center" vertical="center" textRotation="90" wrapText="1"/>
    </xf>
    <xf numFmtId="0" fontId="2" fillId="2" borderId="26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14" fillId="22" borderId="9" xfId="0" applyFont="1" applyFill="1" applyBorder="1" applyAlignment="1">
      <alignment horizontal="center" vertical="center"/>
    </xf>
    <xf numFmtId="0" fontId="18" fillId="23" borderId="9" xfId="0" applyFont="1" applyFill="1" applyBorder="1" applyAlignment="1">
      <alignment horizontal="center" vertical="center"/>
    </xf>
    <xf numFmtId="0" fontId="18" fillId="29" borderId="9" xfId="0" applyFont="1" applyFill="1" applyBorder="1" applyAlignment="1">
      <alignment horizontal="center" vertical="center"/>
    </xf>
    <xf numFmtId="0" fontId="20" fillId="32" borderId="9" xfId="0" applyFont="1" applyFill="1" applyBorder="1" applyAlignment="1">
      <alignment horizontal="center" vertical="center"/>
    </xf>
    <xf numFmtId="0" fontId="20" fillId="20" borderId="9" xfId="0" applyFont="1" applyFill="1" applyBorder="1" applyAlignment="1">
      <alignment horizontal="center" vertical="center"/>
    </xf>
    <xf numFmtId="0" fontId="20" fillId="31" borderId="9" xfId="0" applyFont="1" applyFill="1" applyBorder="1" applyAlignment="1">
      <alignment horizontal="center" vertical="center"/>
    </xf>
    <xf numFmtId="0" fontId="15" fillId="36" borderId="9" xfId="0" applyFont="1" applyFill="1" applyBorder="1" applyAlignment="1">
      <alignment horizontal="center" vertical="center"/>
    </xf>
    <xf numFmtId="0" fontId="15" fillId="39" borderId="9" xfId="0" applyFont="1" applyFill="1" applyBorder="1" applyAlignment="1">
      <alignment horizontal="center" vertical="center"/>
    </xf>
    <xf numFmtId="0" fontId="22" fillId="40" borderId="9" xfId="0" applyFont="1" applyFill="1" applyBorder="1" applyAlignment="1">
      <alignment horizontal="center" vertical="center"/>
    </xf>
    <xf numFmtId="0" fontId="18" fillId="41" borderId="9" xfId="0" applyFont="1" applyFill="1" applyBorder="1" applyAlignment="1">
      <alignment horizontal="center" vertical="center"/>
    </xf>
    <xf numFmtId="0" fontId="22" fillId="43" borderId="9" xfId="0" applyFont="1" applyFill="1" applyBorder="1" applyAlignment="1">
      <alignment horizontal="center" vertical="center"/>
    </xf>
    <xf numFmtId="0" fontId="14" fillId="21" borderId="9" xfId="0" applyFont="1" applyFill="1" applyBorder="1" applyAlignment="1">
      <alignment horizontal="center" vertical="center"/>
    </xf>
    <xf numFmtId="0" fontId="18" fillId="24" borderId="9" xfId="0" applyFont="1" applyFill="1" applyBorder="1" applyAlignment="1">
      <alignment horizontal="center" vertical="center"/>
    </xf>
    <xf numFmtId="0" fontId="18" fillId="30" borderId="9" xfId="0" applyFont="1" applyFill="1" applyBorder="1" applyAlignment="1">
      <alignment horizontal="center" vertical="center"/>
    </xf>
    <xf numFmtId="0" fontId="18" fillId="34" borderId="9" xfId="0" applyFont="1" applyFill="1" applyBorder="1" applyAlignment="1">
      <alignment horizontal="center" vertical="center"/>
    </xf>
    <xf numFmtId="0" fontId="18" fillId="44" borderId="9" xfId="0" applyFont="1" applyFill="1" applyBorder="1" applyAlignment="1">
      <alignment horizontal="center" vertical="center"/>
    </xf>
    <xf numFmtId="0" fontId="18" fillId="45" borderId="9" xfId="0" applyFont="1" applyFill="1" applyBorder="1" applyAlignment="1">
      <alignment horizontal="center" vertical="center"/>
    </xf>
    <xf numFmtId="0" fontId="18" fillId="33" borderId="9" xfId="0" applyFont="1" applyFill="1" applyBorder="1" applyAlignment="1">
      <alignment horizontal="center" vertical="center"/>
    </xf>
    <xf numFmtId="0" fontId="18" fillId="42" borderId="9" xfId="0" applyFont="1" applyFill="1" applyBorder="1" applyAlignment="1">
      <alignment horizontal="center" vertical="center"/>
    </xf>
    <xf numFmtId="0" fontId="19" fillId="25" borderId="9" xfId="0" applyFont="1" applyFill="1" applyBorder="1" applyAlignment="1">
      <alignment horizontal="center" vertical="center"/>
    </xf>
    <xf numFmtId="0" fontId="19" fillId="26" borderId="9" xfId="0" applyFont="1" applyFill="1" applyBorder="1" applyAlignment="1">
      <alignment horizontal="center" vertical="center"/>
    </xf>
    <xf numFmtId="0" fontId="19" fillId="27" borderId="9" xfId="0" applyFont="1" applyFill="1" applyBorder="1" applyAlignment="1">
      <alignment horizontal="center" vertical="center"/>
    </xf>
    <xf numFmtId="0" fontId="18" fillId="28" borderId="9" xfId="0" applyFont="1" applyFill="1" applyBorder="1" applyAlignment="1">
      <alignment horizontal="center" vertical="center"/>
    </xf>
    <xf numFmtId="0" fontId="18" fillId="38" borderId="9" xfId="0" applyFont="1" applyFill="1" applyBorder="1" applyAlignment="1">
      <alignment horizontal="center" vertical="center"/>
    </xf>
    <xf numFmtId="0" fontId="21" fillId="35" borderId="9" xfId="0" applyFont="1" applyFill="1" applyBorder="1" applyAlignment="1">
      <alignment horizontal="center" vertical="center"/>
    </xf>
    <xf numFmtId="0" fontId="18" fillId="37" borderId="9" xfId="0" applyFont="1" applyFill="1" applyBorder="1" applyAlignment="1">
      <alignment horizontal="center" vertical="center"/>
    </xf>
    <xf numFmtId="0" fontId="18" fillId="46" borderId="0" xfId="0" applyFont="1" applyFill="1" applyAlignment="1">
      <alignment horizontal="center"/>
    </xf>
    <xf numFmtId="0" fontId="6" fillId="4" borderId="9" xfId="0" applyFont="1" applyFill="1" applyBorder="1" applyAlignment="1">
      <alignment horizontal="center" vertical="center"/>
    </xf>
    <xf numFmtId="0" fontId="21" fillId="47" borderId="9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5" fillId="49" borderId="9" xfId="0" applyFont="1" applyFill="1" applyBorder="1" applyAlignment="1">
      <alignment horizontal="center" vertical="center"/>
    </xf>
    <xf numFmtId="0" fontId="14" fillId="50" borderId="9" xfId="0" applyFont="1" applyFill="1" applyBorder="1" applyAlignment="1">
      <alignment horizontal="center" vertical="center"/>
    </xf>
    <xf numFmtId="0" fontId="21" fillId="51" borderId="9" xfId="0" applyFont="1" applyFill="1" applyBorder="1" applyAlignment="1">
      <alignment horizontal="center" vertical="center"/>
    </xf>
    <xf numFmtId="0" fontId="6" fillId="41" borderId="9" xfId="0" applyFont="1" applyFill="1" applyBorder="1" applyAlignment="1">
      <alignment horizontal="center" vertical="center"/>
    </xf>
    <xf numFmtId="0" fontId="6" fillId="43" borderId="9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35" borderId="9" xfId="0" applyFont="1" applyFill="1" applyBorder="1" applyAlignment="1">
      <alignment horizontal="center" vertical="center"/>
    </xf>
    <xf numFmtId="0" fontId="23" fillId="48" borderId="9" xfId="0" applyFont="1" applyFill="1" applyBorder="1" applyAlignment="1">
      <alignment horizontal="center" vertical="center"/>
    </xf>
    <xf numFmtId="0" fontId="18" fillId="5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21" fillId="47" borderId="32" xfId="0" applyFont="1" applyFill="1" applyBorder="1" applyAlignment="1">
      <alignment horizontal="center" vertical="center"/>
    </xf>
    <xf numFmtId="0" fontId="18" fillId="34" borderId="32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6" fillId="8" borderId="34" xfId="0" applyFont="1" applyFill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18" fillId="34" borderId="35" xfId="0" applyFont="1" applyFill="1" applyBorder="1" applyAlignment="1">
      <alignment horizontal="center" vertical="center"/>
    </xf>
    <xf numFmtId="0" fontId="21" fillId="47" borderId="35" xfId="0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vertical="center"/>
    </xf>
    <xf numFmtId="0" fontId="2" fillId="5" borderId="38" xfId="0" applyFont="1" applyFill="1" applyBorder="1" applyAlignment="1">
      <alignment horizontal="center" vertical="center"/>
    </xf>
    <xf numFmtId="0" fontId="21" fillId="47" borderId="29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8" fillId="34" borderId="29" xfId="0" applyFont="1" applyFill="1" applyBorder="1" applyAlignment="1">
      <alignment horizontal="center" vertical="center"/>
    </xf>
    <xf numFmtId="0" fontId="21" fillId="47" borderId="30" xfId="0" applyFont="1" applyFill="1" applyBorder="1" applyAlignment="1">
      <alignment horizontal="center" vertical="center"/>
    </xf>
    <xf numFmtId="0" fontId="13" fillId="13" borderId="32" xfId="0" applyFont="1" applyFill="1" applyBorder="1" applyAlignment="1">
      <alignment horizontal="center" vertical="center"/>
    </xf>
    <xf numFmtId="0" fontId="14" fillId="50" borderId="32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8" fillId="34" borderId="13" xfId="0" applyFont="1" applyFill="1" applyBorder="1" applyAlignment="1">
      <alignment horizontal="center" vertical="center"/>
    </xf>
    <xf numFmtId="0" fontId="21" fillId="47" borderId="13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14" fillId="50" borderId="29" xfId="0" applyFont="1" applyFill="1" applyBorder="1" applyAlignment="1">
      <alignment horizontal="center" vertical="center"/>
    </xf>
    <xf numFmtId="0" fontId="14" fillId="50" borderId="13" xfId="0" applyFont="1" applyFill="1" applyBorder="1" applyAlignment="1">
      <alignment horizontal="center" vertical="center"/>
    </xf>
    <xf numFmtId="0" fontId="13" fillId="13" borderId="13" xfId="0" applyFont="1" applyFill="1" applyBorder="1" applyAlignment="1">
      <alignment horizontal="center" vertical="center"/>
    </xf>
    <xf numFmtId="0" fontId="18" fillId="52" borderId="29" xfId="0" applyFont="1" applyFill="1" applyBorder="1" applyAlignment="1">
      <alignment horizontal="center" vertical="center"/>
    </xf>
    <xf numFmtId="0" fontId="21" fillId="51" borderId="29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18" fillId="52" borderId="32" xfId="0" applyFont="1" applyFill="1" applyBorder="1" applyAlignment="1">
      <alignment horizontal="center" vertical="center"/>
    </xf>
    <xf numFmtId="0" fontId="18" fillId="34" borderId="36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6" fillId="14" borderId="13" xfId="0" applyFont="1" applyFill="1" applyBorder="1" applyAlignment="1">
      <alignment horizontal="center" vertical="center"/>
    </xf>
    <xf numFmtId="0" fontId="21" fillId="47" borderId="39" xfId="0" applyFont="1" applyFill="1" applyBorder="1" applyAlignment="1">
      <alignment horizontal="center" vertical="center"/>
    </xf>
    <xf numFmtId="0" fontId="6" fillId="11" borderId="29" xfId="0" applyFont="1" applyFill="1" applyBorder="1" applyAlignment="1">
      <alignment horizontal="center" vertical="center"/>
    </xf>
    <xf numFmtId="0" fontId="18" fillId="34" borderId="39" xfId="0" applyFont="1" applyFill="1" applyBorder="1" applyAlignment="1">
      <alignment horizontal="center" vertical="center"/>
    </xf>
    <xf numFmtId="0" fontId="21" fillId="51" borderId="30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18" fillId="34" borderId="41" xfId="0" applyFont="1" applyFill="1" applyBorder="1" applyAlignment="1">
      <alignment horizontal="center" vertical="center"/>
    </xf>
    <xf numFmtId="0" fontId="21" fillId="47" borderId="4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13" fillId="13" borderId="35" xfId="0" applyFont="1" applyFill="1" applyBorder="1" applyAlignment="1">
      <alignment horizontal="center" vertical="center"/>
    </xf>
    <xf numFmtId="0" fontId="6" fillId="8" borderId="44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18" fillId="52" borderId="46" xfId="0" applyFont="1" applyFill="1" applyBorder="1" applyAlignment="1">
      <alignment horizontal="center" vertical="center"/>
    </xf>
    <xf numFmtId="0" fontId="21" fillId="51" borderId="46" xfId="0" applyFont="1" applyFill="1" applyBorder="1" applyAlignment="1">
      <alignment horizontal="center" vertical="center"/>
    </xf>
    <xf numFmtId="0" fontId="18" fillId="24" borderId="46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1" fillId="51" borderId="50" xfId="0" applyFont="1" applyFill="1" applyBorder="1" applyAlignment="1">
      <alignment horizontal="center" vertical="center"/>
    </xf>
    <xf numFmtId="0" fontId="6" fillId="4" borderId="49" xfId="0" applyFont="1" applyFill="1" applyBorder="1" applyAlignment="1">
      <alignment horizontal="center" vertical="center"/>
    </xf>
    <xf numFmtId="0" fontId="18" fillId="52" borderId="50" xfId="0" applyFont="1" applyFill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8" fillId="34" borderId="46" xfId="0" applyFont="1" applyFill="1" applyBorder="1" applyAlignment="1">
      <alignment horizontal="center" vertical="center"/>
    </xf>
    <xf numFmtId="0" fontId="21" fillId="47" borderId="46" xfId="0" applyFont="1" applyFill="1" applyBorder="1" applyAlignment="1">
      <alignment horizontal="center" vertical="center"/>
    </xf>
    <xf numFmtId="0" fontId="6" fillId="16" borderId="46" xfId="0" applyFont="1" applyFill="1" applyBorder="1" applyAlignment="1">
      <alignment horizontal="center"/>
    </xf>
    <xf numFmtId="0" fontId="6" fillId="0" borderId="46" xfId="0" applyFont="1" applyBorder="1" applyAlignment="1">
      <alignment horizontal="center" vertical="center"/>
    </xf>
    <xf numFmtId="0" fontId="6" fillId="53" borderId="9" xfId="0" applyFont="1" applyFill="1" applyBorder="1" applyAlignment="1">
      <alignment horizontal="center" vertical="center"/>
    </xf>
    <xf numFmtId="0" fontId="13" fillId="13" borderId="30" xfId="0" applyFont="1" applyFill="1" applyBorder="1" applyAlignment="1">
      <alignment horizontal="center" vertical="center"/>
    </xf>
    <xf numFmtId="0" fontId="6" fillId="11" borderId="32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18" fillId="52" borderId="60" xfId="0" applyFont="1" applyFill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21" fillId="51" borderId="60" xfId="0" applyFont="1" applyFill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6" fillId="54" borderId="9" xfId="0" applyFont="1" applyFill="1" applyBorder="1" applyAlignment="1">
      <alignment horizontal="center" vertical="center"/>
    </xf>
    <xf numFmtId="0" fontId="14" fillId="50" borderId="46" xfId="0" applyFont="1" applyFill="1" applyBorder="1" applyAlignment="1">
      <alignment horizontal="center" vertical="center"/>
    </xf>
    <xf numFmtId="0" fontId="13" fillId="13" borderId="46" xfId="0" applyFont="1" applyFill="1" applyBorder="1" applyAlignment="1">
      <alignment horizontal="center" vertical="center"/>
    </xf>
    <xf numFmtId="0" fontId="14" fillId="50" borderId="22" xfId="0" applyFont="1" applyFill="1" applyBorder="1" applyAlignment="1">
      <alignment horizontal="center" vertical="center"/>
    </xf>
    <xf numFmtId="0" fontId="18" fillId="34" borderId="24" xfId="0" applyFont="1" applyFill="1" applyBorder="1" applyAlignment="1">
      <alignment horizontal="center" vertical="center"/>
    </xf>
    <xf numFmtId="0" fontId="21" fillId="47" borderId="24" xfId="0" applyFont="1" applyFill="1" applyBorder="1" applyAlignment="1">
      <alignment horizontal="center" vertical="center"/>
    </xf>
    <xf numFmtId="0" fontId="21" fillId="47" borderId="14" xfId="0" applyFont="1" applyFill="1" applyBorder="1" applyAlignment="1">
      <alignment horizontal="center" vertical="center"/>
    </xf>
    <xf numFmtId="0" fontId="18" fillId="34" borderId="14" xfId="0" applyFont="1" applyFill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/>
    </xf>
    <xf numFmtId="0" fontId="18" fillId="34" borderId="30" xfId="0" applyFont="1" applyFill="1" applyBorder="1" applyAlignment="1">
      <alignment horizontal="center" vertical="center"/>
    </xf>
    <xf numFmtId="0" fontId="14" fillId="50" borderId="35" xfId="0" applyFont="1" applyFill="1" applyBorder="1" applyAlignment="1">
      <alignment horizontal="center" vertical="center"/>
    </xf>
    <xf numFmtId="0" fontId="21" fillId="47" borderId="36" xfId="0" applyFont="1" applyFill="1" applyBorder="1" applyAlignment="1">
      <alignment horizontal="center" vertical="center"/>
    </xf>
    <xf numFmtId="0" fontId="14" fillId="50" borderId="14" xfId="0" applyFont="1" applyFill="1" applyBorder="1" applyAlignment="1">
      <alignment horizontal="center" vertical="center"/>
    </xf>
    <xf numFmtId="0" fontId="6" fillId="14" borderId="29" xfId="0" applyFont="1" applyFill="1" applyBorder="1" applyAlignment="1">
      <alignment horizontal="center" vertical="center"/>
    </xf>
    <xf numFmtId="0" fontId="14" fillId="50" borderId="30" xfId="0" applyFont="1" applyFill="1" applyBorder="1" applyAlignment="1">
      <alignment horizontal="center" vertical="center"/>
    </xf>
    <xf numFmtId="0" fontId="6" fillId="14" borderId="35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/>
    </xf>
    <xf numFmtId="0" fontId="21" fillId="55" borderId="13" xfId="0" applyFont="1" applyFill="1" applyBorder="1" applyAlignment="1">
      <alignment horizontal="center" vertical="center"/>
    </xf>
    <xf numFmtId="0" fontId="21" fillId="51" borderId="32" xfId="0" applyFont="1" applyFill="1" applyBorder="1" applyAlignment="1">
      <alignment horizontal="center" vertical="center"/>
    </xf>
    <xf numFmtId="0" fontId="6" fillId="41" borderId="32" xfId="0" applyFont="1" applyFill="1" applyBorder="1" applyAlignment="1">
      <alignment horizontal="center" vertical="center"/>
    </xf>
    <xf numFmtId="0" fontId="6" fillId="43" borderId="3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/>
    </xf>
    <xf numFmtId="0" fontId="6" fillId="11" borderId="13" xfId="0" applyFont="1" applyFill="1" applyBorder="1" applyAlignment="1">
      <alignment horizontal="center" vertical="center"/>
    </xf>
    <xf numFmtId="0" fontId="6" fillId="0" borderId="62" xfId="0" applyFont="1" applyBorder="1"/>
    <xf numFmtId="0" fontId="6" fillId="0" borderId="63" xfId="0" applyFont="1" applyBorder="1"/>
    <xf numFmtId="0" fontId="6" fillId="0" borderId="64" xfId="0" applyFont="1" applyBorder="1"/>
    <xf numFmtId="0" fontId="21" fillId="51" borderId="39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21" fillId="51" borderId="13" xfId="0" applyFont="1" applyFill="1" applyBorder="1" applyAlignment="1">
      <alignment horizontal="center" vertical="center"/>
    </xf>
    <xf numFmtId="0" fontId="18" fillId="52" borderId="13" xfId="0" applyFont="1" applyFill="1" applyBorder="1" applyAlignment="1">
      <alignment horizontal="center" vertical="center"/>
    </xf>
    <xf numFmtId="0" fontId="18" fillId="52" borderId="39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/>
    </xf>
    <xf numFmtId="0" fontId="2" fillId="5" borderId="21" xfId="0" applyFont="1" applyFill="1" applyBorder="1" applyAlignment="1">
      <alignment horizontal="center" vertical="center"/>
    </xf>
    <xf numFmtId="0" fontId="18" fillId="52" borderId="30" xfId="0" applyFont="1" applyFill="1" applyBorder="1" applyAlignment="1">
      <alignment horizontal="center" vertical="center"/>
    </xf>
    <xf numFmtId="0" fontId="6" fillId="41" borderId="29" xfId="0" applyFont="1" applyFill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24" fillId="8" borderId="29" xfId="0" applyFont="1" applyFill="1" applyBorder="1" applyAlignment="1">
      <alignment horizontal="center" vertical="center"/>
    </xf>
    <xf numFmtId="0" fontId="14" fillId="50" borderId="39" xfId="0" applyFont="1" applyFill="1" applyBorder="1" applyAlignment="1">
      <alignment horizontal="center" vertical="center"/>
    </xf>
    <xf numFmtId="0" fontId="6" fillId="41" borderId="30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/>
    </xf>
    <xf numFmtId="0" fontId="21" fillId="47" borderId="60" xfId="0" applyFont="1" applyFill="1" applyBorder="1" applyAlignment="1">
      <alignment horizontal="center" vertical="center"/>
    </xf>
    <xf numFmtId="0" fontId="21" fillId="47" borderId="48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8" fillId="34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1" fillId="47" borderId="4" xfId="0" applyFont="1" applyFill="1" applyBorder="1" applyAlignment="1">
      <alignment horizontal="center" vertical="center"/>
    </xf>
    <xf numFmtId="0" fontId="21" fillId="47" borderId="5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1" fillId="56" borderId="10" xfId="0" applyFont="1" applyFill="1" applyBorder="1" applyAlignment="1">
      <alignment horizontal="center" vertical="center"/>
    </xf>
    <xf numFmtId="0" fontId="6" fillId="8" borderId="68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8" fillId="34" borderId="7" xfId="0" applyFont="1" applyFill="1" applyBorder="1" applyAlignment="1">
      <alignment horizontal="center" vertical="center"/>
    </xf>
    <xf numFmtId="0" fontId="21" fillId="47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18" fillId="34" borderId="5" xfId="0" applyFont="1" applyFill="1" applyBorder="1" applyAlignment="1">
      <alignment horizontal="center" vertical="center"/>
    </xf>
    <xf numFmtId="0" fontId="13" fillId="13" borderId="10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21" fillId="47" borderId="8" xfId="0" applyFont="1" applyFill="1" applyBorder="1" applyAlignment="1">
      <alignment horizontal="center" vertical="center"/>
    </xf>
    <xf numFmtId="0" fontId="21" fillId="47" borderId="10" xfId="0" applyFont="1" applyFill="1" applyBorder="1" applyAlignment="1">
      <alignment horizontal="center" vertical="center"/>
    </xf>
    <xf numFmtId="0" fontId="14" fillId="50" borderId="10" xfId="0" applyFont="1" applyFill="1" applyBorder="1" applyAlignment="1">
      <alignment horizontal="center" vertical="center"/>
    </xf>
    <xf numFmtId="0" fontId="13" fillId="13" borderId="29" xfId="0" applyFont="1" applyFill="1" applyBorder="1" applyAlignment="1">
      <alignment horizontal="center" vertical="center"/>
    </xf>
    <xf numFmtId="0" fontId="18" fillId="34" borderId="4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7" fillId="2" borderId="27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0" fontId="6" fillId="0" borderId="46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8" fillId="17" borderId="4" xfId="0" applyFont="1" applyFill="1" applyBorder="1" applyAlignment="1">
      <alignment horizontal="center" vertical="center"/>
    </xf>
    <xf numFmtId="16" fontId="4" fillId="3" borderId="9" xfId="0" applyNumberFormat="1" applyFont="1" applyFill="1" applyBorder="1" applyAlignment="1">
      <alignment horizontal="center" vertical="center"/>
    </xf>
    <xf numFmtId="16" fontId="4" fillId="3" borderId="13" xfId="0" applyNumberFormat="1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 textRotation="90" wrapText="1"/>
    </xf>
    <xf numFmtId="0" fontId="6" fillId="0" borderId="66" xfId="0" applyFont="1" applyBorder="1" applyAlignment="1">
      <alignment horizontal="center" vertical="center" textRotation="90" wrapText="1"/>
    </xf>
    <xf numFmtId="0" fontId="6" fillId="0" borderId="67" xfId="0" applyFont="1" applyBorder="1" applyAlignment="1">
      <alignment horizontal="center" vertical="center" textRotation="90" wrapText="1"/>
    </xf>
    <xf numFmtId="0" fontId="3" fillId="0" borderId="31" xfId="0" applyFont="1" applyBorder="1" applyAlignment="1">
      <alignment horizontal="center" vertical="center" textRotation="90" wrapText="1"/>
    </xf>
    <xf numFmtId="0" fontId="3" fillId="0" borderId="47" xfId="0" applyFont="1" applyBorder="1" applyAlignment="1">
      <alignment horizontal="center" vertical="center" textRotation="90" wrapText="1"/>
    </xf>
    <xf numFmtId="0" fontId="3" fillId="0" borderId="41" xfId="0" applyFont="1" applyBorder="1" applyAlignment="1">
      <alignment horizontal="center" vertical="center" textRotation="90" wrapText="1"/>
    </xf>
    <xf numFmtId="0" fontId="3" fillId="0" borderId="42" xfId="0" applyFont="1" applyBorder="1" applyAlignment="1">
      <alignment horizontal="center" vertical="center" textRotation="90" wrapText="1"/>
    </xf>
    <xf numFmtId="0" fontId="3" fillId="0" borderId="28" xfId="0" applyFont="1" applyBorder="1" applyAlignment="1">
      <alignment horizontal="center" vertical="center" textRotation="90" wrapText="1"/>
    </xf>
    <xf numFmtId="0" fontId="3" fillId="0" borderId="33" xfId="0" applyFont="1" applyBorder="1" applyAlignment="1">
      <alignment horizontal="center" vertical="center" textRotation="90" wrapText="1"/>
    </xf>
    <xf numFmtId="0" fontId="6" fillId="0" borderId="9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 textRotation="90" wrapText="1"/>
    </xf>
    <xf numFmtId="0" fontId="6" fillId="16" borderId="9" xfId="0" applyFont="1" applyFill="1" applyBorder="1" applyAlignment="1">
      <alignment horizontal="center"/>
    </xf>
    <xf numFmtId="0" fontId="6" fillId="0" borderId="28" xfId="0" applyFont="1" applyBorder="1" applyAlignment="1">
      <alignment horizontal="center" vertical="center" textRotation="90" wrapText="1"/>
    </xf>
    <xf numFmtId="0" fontId="6" fillId="0" borderId="31" xfId="0" applyFont="1" applyBorder="1" applyAlignment="1">
      <alignment horizontal="center" vertical="center" textRotation="90" wrapText="1"/>
    </xf>
    <xf numFmtId="0" fontId="6" fillId="16" borderId="14" xfId="0" applyFont="1" applyFill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16" fontId="4" fillId="3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3">
    <dxf>
      <fill>
        <patternFill>
          <bgColor rgb="FFFFFF99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99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5FFFE"/>
      <color rgb="FFAFFFFD"/>
      <color rgb="FF00F2EC"/>
      <color rgb="FF00FFFA"/>
      <color rgb="FF33CCCC"/>
      <color rgb="FF8BFFE9"/>
      <color rgb="FF005654"/>
      <color rgb="FF207E7C"/>
      <color rgb="FF2AA9A6"/>
      <color rgb="FF79FF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>
  <Task id="{9BAE5C09-3FDB-4BE6-9FCE-2605064A76D0}">
    <Anchor>
      <Comment id="{5B148438-7C8F-4FD9-95DD-F2C7814B248A}"/>
    </Anchor>
    <History>
      <Event time="2025-12-29T11:51:39.49" id="{B8133E3F-9451-4BCF-BB37-5F75DFC17F09}">
        <Attribution userId="S::marcos.best@dlh.de::72c9463f-7dc8-4913-829a-20d65122db2f" userName="BEST, MARCOS" userProvider="AD"/>
        <Anchor>
          <Comment id="{5B148438-7C8F-4FD9-95DD-F2C7814B248A}"/>
        </Anchor>
        <Create/>
      </Event>
      <Event time="2025-12-29T11:51:39.49" id="{58713B63-8583-4192-BC74-E7E124A0E672}">
        <Attribution userId="S::marcos.best@dlh.de::72c9463f-7dc8-4913-829a-20d65122db2f" userName="BEST, MARCOS" userProvider="AD"/>
        <Anchor>
          <Comment id="{5B148438-7C8F-4FD9-95DD-F2C7814B248A}"/>
        </Anchor>
        <Assign userId="S::tiago.abreu@dlh.de::ff58900c-5bdb-4041-b75a-dd26d8add01e" userName="ABREU, TIAGO" userProvider="AD"/>
      </Event>
      <Event time="2025-12-29T11:51:39.49" id="{863E3D57-AC5E-4727-89FB-8C3D29283B36}">
        <Attribution userId="S::marcos.best@dlh.de::72c9463f-7dc8-4913-829a-20d65122db2f" userName="BEST, MARCOS" userProvider="AD"/>
        <Anchor>
          <Comment id="{5B148438-7C8F-4FD9-95DD-F2C7814B248A}"/>
        </Anchor>
        <SetTitle title="@ABREU, TIAGO Reunião PVT/PFS Tool às 11:30H"/>
      </Event>
    </History>
  </Task>
  <Task id="{D8D3E037-C58F-47D1-86D0-698139C63026}">
    <Anchor>
      <Comment id="{EB545D4D-4A4B-46AC-B2E7-DBEB31A786EE}"/>
    </Anchor>
    <History>
      <Event time="2026-01-06T08:37:21.74" id="{6FCCDCB5-3869-4223-AC9C-6413971CBE68}">
        <Attribution userId="S::marcos.best@dlh.de::72c9463f-7dc8-4913-829a-20d65122db2f" userName="BEST, MARCOS" userProvider="AD"/>
        <Anchor>
          <Comment id="{EB545D4D-4A4B-46AC-B2E7-DBEB31A786EE}"/>
        </Anchor>
        <Create/>
      </Event>
      <Event time="2026-01-06T08:37:21.74" id="{45547BF7-0701-45B7-A3C9-79B3F6304273}">
        <Attribution userId="S::marcos.best@dlh.de::72c9463f-7dc8-4913-829a-20d65122db2f" userName="BEST, MARCOS" userProvider="AD"/>
        <Anchor>
          <Comment id="{EB545D4D-4A4B-46AC-B2E7-DBEB31A786EE}"/>
        </Anchor>
        <Assign userId="S::tassiana.bastos@dlh.de::da6d6ffe-1e82-4209-a4a5-7c392d351278" userName="BASTOS, TASSIANA" userProvider="AD"/>
      </Event>
      <Event time="2026-01-06T08:37:21.74" id="{6C51D618-2347-4735-81AE-7B6A5C83953D}">
        <Attribution userId="S::marcos.best@dlh.de::72c9463f-7dc8-4913-829a-20d65122db2f" userName="BEST, MARCOS" userProvider="AD"/>
        <Anchor>
          <Comment id="{EB545D4D-4A4B-46AC-B2E7-DBEB31A786EE}"/>
        </Anchor>
        <SetTitle title="@BASTOS, TASSIANA SM+INAD"/>
      </Event>
    </History>
  </Task>
  <Task id="{B9CE8777-01E9-492F-A2AB-A41D0DC51603}">
    <Anchor>
      <Comment id="{27306F0B-750E-4D9F-8D37-FE4D991D0892}"/>
    </Anchor>
    <History>
      <Event time="2025-12-29T11:55:15.72" id="{B1474C6C-9A00-4A20-B916-EDB1F0DE6D59}">
        <Attribution userId="S::marcos.best@dlh.de::72c9463f-7dc8-4913-829a-20d65122db2f" userName="BEST, MARCOS" userProvider="AD"/>
        <Anchor>
          <Comment id="{27306F0B-750E-4D9F-8D37-FE4D991D0892}"/>
        </Anchor>
        <Create/>
      </Event>
      <Event time="2025-12-29T11:55:15.72" id="{F891F3BE-3909-428D-9882-71589F3C84EF}">
        <Attribution userId="S::marcos.best@dlh.de::72c9463f-7dc8-4913-829a-20d65122db2f" userName="BEST, MARCOS" userProvider="AD"/>
        <Anchor>
          <Comment id="{27306F0B-750E-4D9F-8D37-FE4D991D0892}"/>
        </Anchor>
        <Assign userId="S::tiago.abreu@dlh.de::ff58900c-5bdb-4041-b75a-dd26d8add01e" userName="ABREU, TIAGO" userProvider="AD"/>
      </Event>
      <Event time="2025-12-29T11:55:15.72" id="{62B3EA5C-EADD-4893-820D-928C2C8ECE2C}">
        <Attribution userId="S::marcos.best@dlh.de::72c9463f-7dc8-4913-829a-20d65122db2f" userName="BEST, MARCOS" userProvider="AD"/>
        <Anchor>
          <Comment id="{27306F0B-750E-4D9F-8D37-FE4D991D0892}"/>
        </Anchor>
        <SetTitle title="@ABREU, TIAGO Reunião Facilitation às 14:00H"/>
      </Event>
    </History>
  </Task>
  <Task id="{4EE97481-3E7E-4381-B7FD-8A82A664F527}">
    <Anchor>
      <Comment id="{38EF4BD5-2288-4BF0-AB6C-9B63722F2415}"/>
    </Anchor>
    <History>
      <Event time="2025-12-30T14:02:05.46" id="{E7996983-F0C0-4E68-B6A4-7B7931E7D86E}">
        <Attribution userId="S::catarina.ferreira@dlh.de::f1718c0a-842d-4b34-ac26-682deb5f2096" userName="FERREIRA, CATARINA" userProvider="AD"/>
        <Anchor>
          <Comment id="{38EF4BD5-2288-4BF0-AB6C-9B63722F2415}"/>
        </Anchor>
        <Create/>
      </Event>
      <Event time="2025-12-30T14:02:05.46" id="{2C23F739-CF2B-418A-9720-C47BA05695BC}">
        <Attribution userId="S::catarina.ferreira@dlh.de::f1718c0a-842d-4b34-ac26-682deb5f2096" userName="FERREIRA, CATARINA" userProvider="AD"/>
        <Anchor>
          <Comment id="{38EF4BD5-2288-4BF0-AB6C-9B63722F2415}"/>
        </Anchor>
        <Assign userId="S::marcos.best@dlh.de::72c9463f-7dc8-4913-829a-20d65122db2f" userName="BEST, MARCOS" userProvider="AD"/>
      </Event>
      <Event time="2025-12-30T14:02:05.46" id="{D3949A37-0A20-4C69-8213-337C96148901}">
        <Attribution userId="S::catarina.ferreira@dlh.de::f1718c0a-842d-4b34-ac26-682deb5f2096" userName="FERREIRA, CATARINA" userProvider="AD"/>
        <Anchor>
          <Comment id="{38EF4BD5-2288-4BF0-AB6C-9B63722F2415}"/>
        </Anchor>
        <SetTitle title="Pedido de troca direta com o Bessa @BEST, MARCOS"/>
      </Event>
    </History>
  </Task>
  <Task id="{2C4C9C86-05A4-449E-BF3E-F88FEC206055}">
    <Anchor>
      <Comment id="{EDE7D929-3C3C-496E-9266-CC8A935352E9}"/>
    </Anchor>
    <History>
      <Event time="2025-12-29T11:49:48.47" id="{3855EA3B-14BB-4E1E-ABB8-2E69FD59F0DD}">
        <Attribution userId="S::marcos.best@dlh.de::72c9463f-7dc8-4913-829a-20d65122db2f" userName="BEST, MARCOS" userProvider="AD"/>
        <Anchor>
          <Comment id="{EDE7D929-3C3C-496E-9266-CC8A935352E9}"/>
        </Anchor>
        <Create/>
      </Event>
      <Event time="2025-12-29T11:49:48.47" id="{A1631C46-2D32-414E-A1C2-F640FB662AA5}">
        <Attribution userId="S::marcos.best@dlh.de::72c9463f-7dc8-4913-829a-20d65122db2f" userName="BEST, MARCOS" userProvider="AD"/>
        <Anchor>
          <Comment id="{EDE7D929-3C3C-496E-9266-CC8A935352E9}"/>
        </Anchor>
        <Assign userId="S::miguel.pinto@dlh.de::40c651b0-3b68-4c55-86cf-5547463d0724" userName="PINTO, MIGUEL" userProvider="AD"/>
      </Event>
      <Event time="2025-12-29T11:49:48.47" id="{051A4749-586D-4047-8067-A7ED9640A232}">
        <Attribution userId="S::marcos.best@dlh.de::72c9463f-7dc8-4913-829a-20d65122db2f" userName="BEST, MARCOS" userProvider="AD"/>
        <Anchor>
          <Comment id="{EDE7D929-3C3C-496E-9266-CC8A935352E9}"/>
        </Anchor>
        <SetTitle title="@PINTO, MIGUEL Reunião PVT/PFS às 11:30H"/>
      </Event>
    </History>
  </Task>
  <Task id="{4E511EF9-981F-4EBF-B728-A130DD0068CF}">
    <Anchor>
      <Comment id="{401D6B54-7C7F-434F-9482-14271F475AD1}"/>
    </Anchor>
    <History>
      <Event time="2025-12-19T15:31:16.26" id="{738999DE-C17A-4554-B831-0BBFE3916599}">
        <Attribution userId="S::marcos.best@dlh.de::72c9463f-7dc8-4913-829a-20d65122db2f" userName="BEST, MARCOS" userProvider="AD"/>
        <Anchor>
          <Comment id="{401D6B54-7C7F-434F-9482-14271F475AD1}"/>
        </Anchor>
        <Create/>
      </Event>
      <Event time="2025-12-19T15:31:16.26" id="{18D87959-4E59-487D-9BB0-04FAA0C2107C}">
        <Attribution userId="S::marcos.best@dlh.de::72c9463f-7dc8-4913-829a-20d65122db2f" userName="BEST, MARCOS" userProvider="AD"/>
        <Anchor>
          <Comment id="{401D6B54-7C7F-434F-9482-14271F475AD1}"/>
        </Anchor>
        <Assign userId="S::miguel.pinto@dlh.de::40c651b0-3b68-4c55-86cf-5547463d0724" userName="PINTO, MIGUEL" userProvider="AD"/>
      </Event>
      <Event time="2025-12-19T15:31:16.26" id="{83B12E94-0D4F-4932-BA31-5A462E57904A}">
        <Attribution userId="S::marcos.best@dlh.de::72c9463f-7dc8-4913-829a-20d65122db2f" userName="BEST, MARCOS" userProvider="AD"/>
        <Anchor>
          <Comment id="{401D6B54-7C7F-434F-9482-14271F475AD1}"/>
        </Anchor>
        <SetTitle title="@PINTO, MIGUEL SM+Inad a partir das 18H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BEST, MARCOS" id="{31361123-31D9-4C72-B414-863F8AEE1B6C}" userId="marcos.best@dlh.de" providerId="PeoplePicker"/>
  <person displayName="ABREU, TIAGO" id="{0D0A0197-0A91-4C47-BD96-0C46D70F243C}" userId="tiago.abreu@dlh.de" providerId="PeoplePicker"/>
  <person displayName="PINTO, MIGUEL" id="{1F98D08C-2146-45F8-A9F6-C677976706E4}" userId="miguel.pinto@dlh.de" providerId="PeoplePicker"/>
  <person displayName="MARTINS, JESSICA" id="{3D843555-DBB3-407B-9782-F3A3B7EE9361}" userId="jessica.martins@dlh.de" providerId="PeoplePicker"/>
  <person displayName="BASTOS, TASSIANA" id="{6CDD73BA-9240-4620-ACE6-0E0C33D8B80B}" userId="tassiana.bastos@dlh.de" providerId="PeoplePicker"/>
  <person displayName="FERREIRA, CATARINA" id="{F26C231F-F4D9-4B00-8DFF-164F2450A9A1}" userId="catarina.ferreira@dlh.de" providerId="PeoplePicker"/>
  <person displayName="BEST, MARCOS" id="{1B344017-5ED9-465B-B900-626E8785167B}" userId="S::marcos.best@dlh.de::72c9463f-7dc8-4913-829a-20d65122db2f" providerId="AD"/>
  <person displayName="SOARES, CARLOS" id="{C148121E-E355-470C-B42A-95FB1B23D420}" userId="S::carlos.soares@dlh.de::8e8c0d43-21a1-481d-9853-f61fc9c2948c" providerId="AD"/>
  <person displayName="GONCALVES, EDGAR" id="{B8E9D413-95EF-4E73-8EB4-65F31994FF27}" userId="S::edgar.goncalves@dlh.de::42e61395-6fdb-40aa-b94d-171485675090" providerId="AD"/>
  <person displayName="FERREIRA, CATARINA" id="{8BED98F0-0A28-4FCD-9208-E049D17E7C76}" userId="S::catarina.ferreira@dlh.de::f1718c0a-842d-4b34-ac26-682deb5f2096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5-12-19T15:31:16.05" personId="{1B344017-5ED9-465B-B900-626E8785167B}" id="{401D6B54-7C7F-434F-9482-14271F475AD1}">
    <text>@PINTO, MIGUEL SM+Inad a partir das 18H</text>
    <mentions>
      <mention mentionpersonId="{1F98D08C-2146-45F8-A9F6-C677976706E4}" mentionId="{DD6D2A24-B210-45D8-BFEE-4D1A96686244}" startIndex="0" length="14"/>
    </mentions>
  </threadedComment>
  <threadedComment ref="K6" dT="2025-12-29T11:49:48.51" personId="{1B344017-5ED9-465B-B900-626E8785167B}" id="{EDE7D929-3C3C-496E-9266-CC8A935352E9}">
    <text>@PINTO, MIGUEL Reunião PVT/PFS às 11:30H</text>
    <mentions>
      <mention mentionpersonId="{1F98D08C-2146-45F8-A9F6-C677976706E4}" mentionId="{03F7B43B-4630-42DD-B4D6-8D07B1832B9C}" startIndex="0" length="14"/>
    </mentions>
  </threadedComment>
  <threadedComment ref="AI11" dT="2026-01-02T07:11:08.16" personId="{8BED98F0-0A28-4FCD-9208-E049D17E7C76}" id="{6A2B5595-ABA4-4BF1-94BD-188C47EC1E28}">
    <text xml:space="preserve">Pedido de troca @BEST, MARCOS </text>
    <mentions>
      <mention mentionpersonId="{31361123-31D9-4C72-B414-863F8AEE1B6C}" mentionId="{741AE7D9-85C4-4CD4-AD77-A01A4F3004D5}" startIndex="16" length="13"/>
    </mentions>
  </threadedComment>
  <threadedComment ref="AC13" dT="2025-12-30T14:02:23.90" personId="{8BED98F0-0A28-4FCD-9208-E049D17E7C76}" id="{ADC8F540-9EDA-4CAD-A7AA-B5954EB8E2BB}">
    <text xml:space="preserve">Pedido de troca direta com a Ines Coelho @BEST, MARCOS </text>
    <mentions>
      <mention mentionpersonId="{31361123-31D9-4C72-B414-863F8AEE1B6C}" mentionId="{89838EA7-815B-4439-9C68-87334A353585}" startIndex="41" length="13"/>
    </mentions>
  </threadedComment>
  <threadedComment ref="O14" dT="2025-12-30T14:03:47.56" personId="{8BED98F0-0A28-4FCD-9208-E049D17E7C76}" id="{ED7278AD-CB4F-4CC8-9353-44DBC5357F8A}">
    <text xml:space="preserve">Pedido de troca direta com a Ines Coelho @BEST, MARCOS </text>
    <mentions>
      <mention mentionpersonId="{31361123-31D9-4C72-B414-863F8AEE1B6C}" mentionId="{CB4996D9-216B-4665-BD5E-AC0ECDDE4578}" startIndex="41" length="13"/>
    </mentions>
  </threadedComment>
  <threadedComment ref="AF14" dT="2025-12-30T14:06:36.71" personId="{8BED98F0-0A28-4FCD-9208-E049D17E7C76}" id="{37052FBD-41C2-4EB5-B873-9EC4BB3F112D}">
    <text xml:space="preserve">Pedido de troca com a Ines Coelho 
@BEST, MARCOS </text>
    <mentions>
      <mention mentionpersonId="{31361123-31D9-4C72-B414-863F8AEE1B6C}" mentionId="{D93DCA9A-9C54-4C6F-AD19-9E20F7BB388D}" startIndex="35" length="13"/>
    </mentions>
  </threadedComment>
  <threadedComment ref="O19" dT="2025-12-30T14:04:03.82" personId="{8BED98F0-0A28-4FCD-9208-E049D17E7C76}" id="{58A29D52-B393-41E1-8165-32B520554C6E}">
    <text xml:space="preserve">Pedido de troca direta com o Samuel Neves @BEST, MARCOS </text>
    <mentions>
      <mention mentionpersonId="{31361123-31D9-4C72-B414-863F8AEE1B6C}" mentionId="{641B484A-CA11-4258-AD09-01D3E971897B}" startIndex="42" length="13"/>
    </mentions>
  </threadedComment>
  <threadedComment ref="AC19" dT="2025-12-30T14:02:05.54" personId="{8BED98F0-0A28-4FCD-9208-E049D17E7C76}" id="{38EF4BD5-2288-4BF0-AB6C-9B63722F2415}">
    <text xml:space="preserve">Pedido de troca direta com o Bessa @BEST, MARCOS </text>
    <mentions>
      <mention mentionpersonId="{31361123-31D9-4C72-B414-863F8AEE1B6C}" mentionId="{9CDD4BFC-1D97-465C-95C9-BE454DAD23A6}" startIndex="35" length="13"/>
    </mentions>
  </threadedComment>
  <threadedComment ref="AF19" dT="2025-12-30T14:07:07.43" personId="{8BED98F0-0A28-4FCD-9208-E049D17E7C76}" id="{B5353613-72FC-412B-9CF9-BB9724593B05}">
    <text xml:space="preserve">Pedido de troca com o Samuel Neves @BEST, MARCOS </text>
    <mentions>
      <mention mentionpersonId="{31361123-31D9-4C72-B414-863F8AEE1B6C}" mentionId="{0A963876-8B19-4637-B498-C3E0CFEFB386}" startIndex="35" length="13"/>
    </mentions>
  </threadedComment>
  <threadedComment ref="N21" dT="2025-12-30T09:45:14.87" personId="{1B344017-5ED9-465B-B900-626E8785167B}" id="{104DD14B-85AF-4D09-8DCD-3DB66804766F}">
    <text xml:space="preserve">Pedido de troca de S3 feita a 30DEC25 @FERREIRA, CATARINA </text>
    <mentions>
      <mention mentionpersonId="{F26C231F-F4D9-4B00-8DFF-164F2450A9A1}" mentionId="{348027D7-961C-4B07-8FBE-08DD9050B60B}" startIndex="38" length="19"/>
    </mentions>
  </threadedComment>
  <threadedComment ref="N22" dT="2026-01-07T13:49:15.00" personId="{8BED98F0-0A28-4FCD-9208-E049D17E7C76}" id="{195B7C54-10BC-4EF5-9B6D-354AB8A0C0E7}">
    <text xml:space="preserve">Pedido de troca @BEST, MARCOS </text>
    <mentions>
      <mention mentionpersonId="{31361123-31D9-4C72-B414-863F8AEE1B6C}" mentionId="{DE5BC60E-07F7-4FC2-B3AE-4DF2C739CD03}" startIndex="16" length="13"/>
    </mentions>
  </threadedComment>
  <threadedComment ref="R22" dT="2025-11-24T14:18:33.70" personId="{1B344017-5ED9-465B-B900-626E8785167B}" id="{929FD28A-5300-4FC8-AC1B-0C013F207575}">
    <text>Aprovado por RH</text>
  </threadedComment>
  <threadedComment ref="O26" dT="2025-12-29T15:52:32.11" personId="{1B344017-5ED9-465B-B900-626E8785167B}" id="{E5AB98F4-8E05-4D6A-A434-F76CDE1B87B7}">
    <text xml:space="preserve">Revisao LHX com Telma Carvalho @FERREIRA, CATARINA </text>
    <mentions>
      <mention mentionpersonId="{F26C231F-F4D9-4B00-8DFF-164F2450A9A1}" mentionId="{00E1212D-D0D3-4C26-B54A-6F474094A4BF}" startIndex="31" length="19"/>
    </mentions>
  </threadedComment>
  <threadedComment ref="S29" dT="2026-01-05T06:02:57.82" personId="{8BED98F0-0A28-4FCD-9208-E049D17E7C76}" id="{76864CD5-B98D-4C37-BC51-7FA578103AF1}">
    <text xml:space="preserve">Pedido de troca @BEST, MARCOS </text>
    <mentions>
      <mention mentionpersonId="{31361123-31D9-4C72-B414-863F8AEE1B6C}" mentionId="{DCCCC354-CBF1-44FF-A009-0C64945EC675}" startIndex="16" length="13"/>
    </mentions>
  </threadedComment>
  <threadedComment ref="T29" dT="2026-01-05T06:02:57.82" personId="{8BED98F0-0A28-4FCD-9208-E049D17E7C76}" id="{FEC5E116-4F76-4816-BBD6-FD700C3EA669}">
    <text xml:space="preserve">Pedido de troca @BEST, MARCOS </text>
    <mentions>
      <mention mentionpersonId="{31361123-31D9-4C72-B414-863F8AEE1B6C}" mentionId="{8F8A245F-55D5-48AE-B880-A01AF86BCB7A}" startIndex="16" length="13"/>
    </mentions>
  </threadedComment>
  <threadedComment ref="U29" dT="2026-01-05T06:02:57.82" personId="{8BED98F0-0A28-4FCD-9208-E049D17E7C76}" id="{5AFD5403-8B66-4726-8AB8-02D3D5369F81}">
    <text xml:space="preserve">Pedido de troca @BEST, MARCOS </text>
    <mentions>
      <mention mentionpersonId="{31361123-31D9-4C72-B414-863F8AEE1B6C}" mentionId="{BD1BE476-E264-4CC1-8718-8D7B8332C2B9}" startIndex="16" length="13"/>
    </mentions>
  </threadedComment>
  <threadedComment ref="V29" dT="2026-01-05T06:02:57.82" personId="{8BED98F0-0A28-4FCD-9208-E049D17E7C76}" id="{83919CB6-7923-4FC5-AD06-45F4BF0B8401}">
    <text xml:space="preserve">Pedido de troca @BEST, MARCOS </text>
    <mentions>
      <mention mentionpersonId="{31361123-31D9-4C72-B414-863F8AEE1B6C}" mentionId="{8A4508FF-A55D-4CA9-918E-075EFBFD7132}" startIndex="16" length="13"/>
    </mentions>
  </threadedComment>
  <threadedComment ref="E30" dT="2025-11-21T10:28:00.67" personId="{8BED98F0-0A28-4FCD-9208-E049D17E7C76}" id="{C8DCFB08-3D4C-4CD2-B757-3A3DE4171196}">
    <text>LHX</text>
  </threadedComment>
  <threadedComment ref="K42" dT="2025-12-29T11:51:39.51" personId="{1B344017-5ED9-465B-B900-626E8785167B}" id="{5B148438-7C8F-4FD9-95DD-F2C7814B248A}">
    <text>@ABREU, TIAGO Reunião PVT/PFS Tool às 11:30H</text>
    <mentions>
      <mention mentionpersonId="{0D0A0197-0A91-4C47-BD96-0C46D70F243C}" mentionId="{A779DA94-4E58-4A95-9BD0-EFAB755812E6}" startIndex="0" length="13"/>
    </mentions>
  </threadedComment>
  <threadedComment ref="L42" dT="2025-12-29T11:55:15.74" personId="{1B344017-5ED9-465B-B900-626E8785167B}" id="{27306F0B-750E-4D9F-8D37-FE4D991D0892}">
    <text>@ABREU, TIAGO  Reunião Facilitation às 14:00H</text>
    <mentions>
      <mention mentionpersonId="{0D0A0197-0A91-4C47-BD96-0C46D70F243C}" mentionId="{A56AA3B7-3DF7-4843-A7B9-9E4CA0076D0F}" startIndex="0" length="13"/>
    </mentions>
  </threadedComment>
  <threadedComment ref="I43" dT="2025-12-30T14:22:07.86" personId="{1B344017-5ED9-465B-B900-626E8785167B}" id="{196F726A-AA48-48F5-A2BF-5BF02CAF292B}">
    <text>Troca aprovada com Bárbara Martins</text>
  </threadedComment>
  <threadedComment ref="J43" dT="2026-01-06T08:36:23.84" personId="{1B344017-5ED9-465B-B900-626E8785167B}" id="{CDC8C4C2-B8C5-4860-A41E-A0E4D27A7D5C}">
    <text>INAD Hub</text>
  </threadedComment>
  <threadedComment ref="J44" dT="2026-01-06T08:36:31.31" personId="{1B344017-5ED9-465B-B900-626E8785167B}" id="{90FB15F0-7F69-4549-BD40-6CF8FA2C4EB0}">
    <text>@BASTOS, TASSIANA  SM+TRSC</text>
    <mentions>
      <mention mentionpersonId="{6CDD73BA-9240-4620-ACE6-0E0C33D8B80B}" mentionId="{551FE14C-4431-4724-A929-8C57EC556B24}" startIndex="0" length="17"/>
    </mentions>
  </threadedComment>
  <threadedComment ref="K44" dT="2026-01-06T08:37:21.56" personId="{1B344017-5ED9-465B-B900-626E8785167B}" id="{EB545D4D-4A4B-46AC-B2E7-DBEB31A786EE}">
    <text>@BASTOS, TASSIANA SM+INAD</text>
    <mentions>
      <mention mentionpersonId="{6CDD73BA-9240-4620-ACE6-0E0C33D8B80B}" mentionId="{B483F00A-C32F-4AED-9442-96B5442A775B}" startIndex="0" length="17"/>
    </mentions>
  </threadedComment>
  <threadedComment ref="F45" dT="2025-12-19T15:30:46.13" personId="{1B344017-5ED9-465B-B900-626E8785167B}" id="{904788F9-0BD0-4C33-91B4-5810E0B5E9AC}">
    <text>SM a partir das 14H e Inad a partir das 10H</text>
  </threadedComment>
  <threadedComment ref="F46" dT="2025-12-19T15:30:13.39" personId="{1B344017-5ED9-465B-B900-626E8785167B}" id="{7D1A78F8-2524-450E-BDA7-106867275546}">
    <text>SM+Inad (Até Às 10H)</text>
  </threadedComment>
  <threadedComment ref="G47" dT="2026-01-02T15:30:05.51" personId="{C148121E-E355-470C-B42A-95FB1B23D420}" id="{5F531EF4-E865-4257-B62E-8082784A434D}">
    <text>apoio TRSC</text>
  </threadedComment>
  <threadedComment ref="J47" dT="2026-01-02T15:30:25.07" personId="{C148121E-E355-470C-B42A-95FB1B23D420}" id="{8E4B1E66-6A3A-4BA5-8831-C14A5B56A02F}">
    <text>apoio TRSC</text>
  </threadedComment>
  <threadedComment ref="K47" dT="2026-01-02T15:30:25.07" personId="{C148121E-E355-470C-B42A-95FB1B23D420}" id="{0BB4075B-059C-4F47-AA95-EB6031137EEB}">
    <text>apoio TRSC</text>
  </threadedComment>
  <threadedComment ref="L47" dT="2026-01-02T15:30:25.07" personId="{C148121E-E355-470C-B42A-95FB1B23D420}" id="{3FCE5C4D-07BD-4BEE-A48D-3616975D13B0}">
    <text>apoio TRSC</text>
  </threadedComment>
  <threadedComment ref="M47" dT="2026-01-02T15:30:25.07" personId="{C148121E-E355-470C-B42A-95FB1B23D420}" id="{95346EA4-03E0-4A12-AE8D-7C9804C3918E}">
    <text>apoio TRSC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8" dT="2026-01-07T11:52:19.26" personId="{8BED98F0-0A28-4FCD-9208-E049D17E7C76}" id="{0F75C089-F086-41D4-9610-33CDE03A54AF}">
    <text xml:space="preserve">Reforco de Turno @BEST, MARCOS </text>
    <mentions>
      <mention mentionpersonId="{31361123-31D9-4C72-B414-863F8AEE1B6C}" mentionId="{9D253D49-D842-4C77-9E86-11753C36F5FA}" startIndex="17" length="13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7" dT="2026-01-07T16:00:29.52" personId="{B8E9D413-95EF-4E73-8EB4-65F31994FF27}" id="{D7D4D83F-6451-49EC-9F95-C1EDD194D6D7}">
    <text>Troca com Catarina Pereira</text>
  </threadedComment>
  <threadedComment ref="Q7" dT="2025-12-29T12:30:10.91" personId="{1B344017-5ED9-465B-B900-626E8785167B}" id="{90149DFC-6EB0-4F52-98F3-8955C0FC1E9E}">
    <text>Troca aprovada com Catarina Pereira</text>
  </threadedComment>
  <threadedComment ref="L11" dT="2026-01-07T16:02:09.89" personId="{B8E9D413-95EF-4E73-8EB4-65F31994FF27}" id="{A28ED082-1A74-4542-94D8-BBB4F060411C}">
    <text>Troca com JSS</text>
  </threadedComment>
  <threadedComment ref="Q11" dT="2025-12-29T12:29:55.51" personId="{1B344017-5ED9-465B-B900-626E8785167B}" id="{07BB764D-5D84-4A41-BA9C-38E805047A1C}">
    <text>Troca aprovada com Joao Santos Silva</text>
  </threadedComment>
  <threadedComment ref="V23" dT="2026-01-07T11:55:47.16" personId="{8BED98F0-0A28-4FCD-9208-E049D17E7C76}" id="{517CAA9D-FB13-44AC-8514-8875E4D7C1D0}">
    <text xml:space="preserve">Reforco de turno @BEST, MARCOS </text>
    <mentions>
      <mention mentionpersonId="{31361123-31D9-4C72-B414-863F8AEE1B6C}" mentionId="{BD5D060A-07F0-4636-8407-34434811C213}" startIndex="17" length="13"/>
    </mentions>
  </threadedComment>
  <threadedComment ref="J24" dT="2026-01-02T06:54:50.52" personId="{8BED98F0-0A28-4FCD-9208-E049D17E7C76}" id="{7CCC17F3-BFE6-4F9B-90C5-D270600F58FD}">
    <text xml:space="preserve">Pedido de troca @BEST, MARCOS </text>
    <mentions>
      <mention mentionpersonId="{31361123-31D9-4C72-B414-863F8AEE1B6C}" mentionId="{D69792B2-FDEE-474A-A124-32AE1416D0AF}" startIndex="16" length="13"/>
    </mentions>
  </threadedComment>
  <threadedComment ref="K24" dT="2026-01-02T06:55:01.36" personId="{8BED98F0-0A28-4FCD-9208-E049D17E7C76}" id="{4F056409-D4CD-4E28-AFDD-868F6CB73D13}">
    <text xml:space="preserve">Pedido de troca @BEST, MARCOS </text>
    <mentions>
      <mention mentionpersonId="{31361123-31D9-4C72-B414-863F8AEE1B6C}" mentionId="{DAA716A5-AFA7-4FF3-A2A8-EA0CAB1BF189}" startIndex="16" length="13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32" dT="2026-01-07T11:59:35.47" personId="{8BED98F0-0A28-4FCD-9208-E049D17E7C76}" id="{3DE56FE7-D848-4093-BF6F-1D2C3103DA38}">
    <text xml:space="preserve">Reforco de turno @BEST, MARCOS @MARTINS, JESSICA </text>
    <mentions>
      <mention mentionpersonId="{31361123-31D9-4C72-B414-863F8AEE1B6C}" mentionId="{3C58E469-8D6A-4019-90EB-DC19BE06B8AF}" startIndex="17" length="13"/>
      <mention mentionpersonId="{3D843555-DBB3-407B-9782-F3A3B7EE9361}" mentionId="{E8617577-A005-41B3-A83A-7F09F22A7ED1}" startIndex="31" length="17"/>
    </mentions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B722F-39ED-4FEF-B389-E9F5C4D2D25C}">
  <dimension ref="B2:B3"/>
  <sheetViews>
    <sheetView workbookViewId="0">
      <selection activeCell="B2" sqref="B2:B3"/>
    </sheetView>
  </sheetViews>
  <sheetFormatPr defaultRowHeight="15"/>
  <cols>
    <col min="1" max="1" width="9.140625" style="18"/>
    <col min="2" max="2" width="16.140625" style="18" customWidth="1"/>
    <col min="3" max="16384" width="9.140625" style="18"/>
  </cols>
  <sheetData>
    <row r="2" spans="2:2">
      <c r="B2" s="40" t="s">
        <v>0</v>
      </c>
    </row>
    <row r="3" spans="2:2">
      <c r="B3" s="4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57C41-C53E-4C5F-90D8-B6691DC83F19}">
  <sheetPr>
    <tabColor theme="6" tint="0.79998168889431442"/>
  </sheetPr>
  <dimension ref="B1:BI369"/>
  <sheetViews>
    <sheetView showGridLines="0" tabSelected="1" zoomScale="85" zoomScaleNormal="85" workbookViewId="0">
      <pane xSplit="4" ySplit="4" topLeftCell="E18" activePane="bottomRight" state="frozen"/>
      <selection pane="bottomRight" activeCell="M45" sqref="M45"/>
      <selection pane="bottomLeft"/>
      <selection pane="topRight"/>
    </sheetView>
  </sheetViews>
  <sheetFormatPr defaultRowHeight="14.25" customHeight="1"/>
  <cols>
    <col min="1" max="2" width="9.140625" style="18"/>
    <col min="3" max="3" width="20.7109375" style="18" customWidth="1"/>
    <col min="4" max="4" width="30.28515625" style="18" bestFit="1" customWidth="1"/>
    <col min="5" max="35" width="6.7109375" style="18" customWidth="1"/>
    <col min="36" max="45" width="9.140625" style="18"/>
    <col min="46" max="46" width="10.7109375" style="18" customWidth="1"/>
    <col min="47" max="16384" width="9.140625" style="18"/>
  </cols>
  <sheetData>
    <row r="1" spans="2:61" ht="15"/>
    <row r="2" spans="2:61" ht="15">
      <c r="B2" s="270" t="s">
        <v>1</v>
      </c>
      <c r="C2" s="267" t="s">
        <v>2</v>
      </c>
      <c r="D2" s="267"/>
      <c r="E2" s="253" t="s">
        <v>3</v>
      </c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5"/>
      <c r="AL2" s="241" t="s">
        <v>4</v>
      </c>
      <c r="AM2" s="242"/>
      <c r="AN2" s="243"/>
      <c r="AP2" s="241" t="s">
        <v>5</v>
      </c>
      <c r="AQ2" s="242"/>
      <c r="AR2" s="243"/>
      <c r="AT2" s="247" t="s">
        <v>6</v>
      </c>
    </row>
    <row r="3" spans="2:61" ht="15.75">
      <c r="B3" s="271"/>
      <c r="C3" s="268" t="s">
        <v>7</v>
      </c>
      <c r="D3" s="268"/>
      <c r="E3" s="39" t="s">
        <v>8</v>
      </c>
      <c r="F3" s="1" t="s">
        <v>9</v>
      </c>
      <c r="G3" s="2" t="s">
        <v>10</v>
      </c>
      <c r="H3" s="2" t="s">
        <v>11</v>
      </c>
      <c r="I3" s="1" t="s">
        <v>12</v>
      </c>
      <c r="J3" s="1" t="s">
        <v>13</v>
      </c>
      <c r="K3" s="1" t="s">
        <v>14</v>
      </c>
      <c r="L3" s="1" t="s">
        <v>8</v>
      </c>
      <c r="M3" s="1" t="s">
        <v>9</v>
      </c>
      <c r="N3" s="2" t="s">
        <v>10</v>
      </c>
      <c r="O3" s="2" t="s">
        <v>11</v>
      </c>
      <c r="P3" s="1" t="s">
        <v>12</v>
      </c>
      <c r="Q3" s="1" t="s">
        <v>13</v>
      </c>
      <c r="R3" s="1" t="s">
        <v>14</v>
      </c>
      <c r="S3" s="1" t="s">
        <v>8</v>
      </c>
      <c r="T3" s="1" t="s">
        <v>9</v>
      </c>
      <c r="U3" s="2" t="s">
        <v>10</v>
      </c>
      <c r="V3" s="2" t="s">
        <v>11</v>
      </c>
      <c r="W3" s="1" t="s">
        <v>12</v>
      </c>
      <c r="X3" s="1" t="s">
        <v>13</v>
      </c>
      <c r="Y3" s="1" t="s">
        <v>14</v>
      </c>
      <c r="Z3" s="1" t="s">
        <v>8</v>
      </c>
      <c r="AA3" s="1" t="s">
        <v>9</v>
      </c>
      <c r="AB3" s="2" t="s">
        <v>10</v>
      </c>
      <c r="AC3" s="2" t="s">
        <v>11</v>
      </c>
      <c r="AD3" s="1" t="s">
        <v>12</v>
      </c>
      <c r="AE3" s="1" t="s">
        <v>13</v>
      </c>
      <c r="AF3" s="1" t="s">
        <v>14</v>
      </c>
      <c r="AG3" s="1" t="s">
        <v>8</v>
      </c>
      <c r="AH3" s="1" t="s">
        <v>9</v>
      </c>
      <c r="AI3" s="3" t="s">
        <v>10</v>
      </c>
      <c r="AL3" s="244"/>
      <c r="AM3" s="245"/>
      <c r="AN3" s="246"/>
      <c r="AP3" s="244"/>
      <c r="AQ3" s="245"/>
      <c r="AR3" s="246"/>
      <c r="AT3" s="248"/>
    </row>
    <row r="4" spans="2:61" ht="16.5" thickBot="1">
      <c r="B4" s="272"/>
      <c r="C4" s="269"/>
      <c r="D4" s="269"/>
      <c r="E4" s="98">
        <v>1</v>
      </c>
      <c r="F4" s="99">
        <v>2</v>
      </c>
      <c r="G4" s="100">
        <v>3</v>
      </c>
      <c r="H4" s="100">
        <v>4</v>
      </c>
      <c r="I4" s="99">
        <v>5</v>
      </c>
      <c r="J4" s="99">
        <v>6</v>
      </c>
      <c r="K4" s="99">
        <v>7</v>
      </c>
      <c r="L4" s="99">
        <v>8</v>
      </c>
      <c r="M4" s="99">
        <v>9</v>
      </c>
      <c r="N4" s="100">
        <v>10</v>
      </c>
      <c r="O4" s="100">
        <v>11</v>
      </c>
      <c r="P4" s="99">
        <v>12</v>
      </c>
      <c r="Q4" s="99">
        <v>13</v>
      </c>
      <c r="R4" s="99">
        <v>14</v>
      </c>
      <c r="S4" s="99">
        <v>15</v>
      </c>
      <c r="T4" s="99">
        <v>16</v>
      </c>
      <c r="U4" s="100">
        <v>17</v>
      </c>
      <c r="V4" s="100">
        <v>18</v>
      </c>
      <c r="W4" s="99">
        <v>19</v>
      </c>
      <c r="X4" s="99">
        <v>20</v>
      </c>
      <c r="Y4" s="99">
        <v>21</v>
      </c>
      <c r="Z4" s="99">
        <v>22</v>
      </c>
      <c r="AA4" s="99">
        <v>23</v>
      </c>
      <c r="AB4" s="100">
        <v>24</v>
      </c>
      <c r="AC4" s="100">
        <v>25</v>
      </c>
      <c r="AD4" s="99">
        <v>26</v>
      </c>
      <c r="AE4" s="99">
        <v>27</v>
      </c>
      <c r="AF4" s="99">
        <v>28</v>
      </c>
      <c r="AG4" s="99">
        <v>29</v>
      </c>
      <c r="AH4" s="99">
        <v>30</v>
      </c>
      <c r="AI4" s="101">
        <v>31</v>
      </c>
      <c r="AL4" s="23">
        <v>2025</v>
      </c>
      <c r="AM4" s="24" t="s">
        <v>15</v>
      </c>
      <c r="AN4" s="23" t="s">
        <v>16</v>
      </c>
      <c r="AO4" s="25"/>
      <c r="AP4" s="23">
        <v>2026</v>
      </c>
      <c r="AQ4" s="24" t="s">
        <v>15</v>
      </c>
      <c r="AR4" s="23" t="s">
        <v>16</v>
      </c>
      <c r="AT4" s="249"/>
    </row>
    <row r="5" spans="2:61" ht="15" customHeight="1">
      <c r="B5" s="273" t="s">
        <v>17</v>
      </c>
      <c r="C5" s="214" t="s">
        <v>18</v>
      </c>
      <c r="D5" s="215" t="s">
        <v>19</v>
      </c>
      <c r="E5" s="216" t="s">
        <v>20</v>
      </c>
      <c r="F5" s="217" t="s">
        <v>21</v>
      </c>
      <c r="G5" s="218" t="s">
        <v>22</v>
      </c>
      <c r="H5" s="218" t="s">
        <v>22</v>
      </c>
      <c r="I5" s="217" t="s">
        <v>21</v>
      </c>
      <c r="J5" s="217" t="s">
        <v>21</v>
      </c>
      <c r="K5" s="217" t="s">
        <v>21</v>
      </c>
      <c r="L5" s="218" t="s">
        <v>22</v>
      </c>
      <c r="M5" s="218" t="s">
        <v>22</v>
      </c>
      <c r="N5" s="217" t="s">
        <v>21</v>
      </c>
      <c r="O5" s="217" t="s">
        <v>21</v>
      </c>
      <c r="P5" s="217" t="s">
        <v>21</v>
      </c>
      <c r="Q5" s="217" t="s">
        <v>21</v>
      </c>
      <c r="R5" s="218" t="s">
        <v>22</v>
      </c>
      <c r="S5" s="218" t="s">
        <v>22</v>
      </c>
      <c r="T5" s="219" t="s">
        <v>23</v>
      </c>
      <c r="U5" s="219" t="s">
        <v>23</v>
      </c>
      <c r="V5" s="219" t="s">
        <v>23</v>
      </c>
      <c r="W5" s="219" t="s">
        <v>23</v>
      </c>
      <c r="X5" s="218" t="s">
        <v>22</v>
      </c>
      <c r="Y5" s="218" t="s">
        <v>22</v>
      </c>
      <c r="Z5" s="217" t="s">
        <v>21</v>
      </c>
      <c r="AA5" s="217" t="s">
        <v>21</v>
      </c>
      <c r="AB5" s="217" t="s">
        <v>21</v>
      </c>
      <c r="AC5" s="217" t="s">
        <v>21</v>
      </c>
      <c r="AD5" s="218" t="s">
        <v>22</v>
      </c>
      <c r="AE5" s="218" t="s">
        <v>22</v>
      </c>
      <c r="AF5" s="219" t="s">
        <v>23</v>
      </c>
      <c r="AG5" s="219" t="s">
        <v>23</v>
      </c>
      <c r="AH5" s="219" t="s">
        <v>23</v>
      </c>
      <c r="AI5" s="220" t="s">
        <v>23</v>
      </c>
      <c r="AJ5" s="19"/>
      <c r="AK5" s="19"/>
      <c r="AL5" s="170">
        <v>1</v>
      </c>
      <c r="AM5" s="21">
        <f t="shared" ref="AM5:AM27" si="0">COUNTIF(E5:AI5, "UA")</f>
        <v>0</v>
      </c>
      <c r="AN5" s="20">
        <f t="shared" ref="AN5:AN27" si="1">AL5-AM5</f>
        <v>1</v>
      </c>
      <c r="AO5" s="19"/>
      <c r="AP5" s="20"/>
      <c r="AQ5" s="21">
        <f t="shared" ref="AQ5:AQ27" si="2">COUNTIF(E5:AI5, "U")</f>
        <v>0</v>
      </c>
      <c r="AR5" s="20">
        <f t="shared" ref="AR5:AR27" si="3">AP5-AQ5</f>
        <v>0</v>
      </c>
      <c r="AS5" s="19"/>
      <c r="AT5" s="21">
        <f t="shared" ref="AT5:AT27" si="4">COUNTIF(E5:AI5,"P*")+COUNTIF(E5:AI5,"H*")+COUNTIF(E5:AI5,"T*")-COUNTIF(E5:AI5,"H")-COUNTIF(E5:AI5,"P")</f>
        <v>20</v>
      </c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</row>
    <row r="6" spans="2:61" ht="15">
      <c r="B6" s="274"/>
      <c r="C6" s="130" t="s">
        <v>24</v>
      </c>
      <c r="D6" s="20" t="s">
        <v>25</v>
      </c>
      <c r="E6" s="75" t="s">
        <v>26</v>
      </c>
      <c r="F6" s="74" t="s">
        <v>23</v>
      </c>
      <c r="G6" s="74" t="s">
        <v>23</v>
      </c>
      <c r="H6" s="28" t="s">
        <v>22</v>
      </c>
      <c r="I6" s="28" t="s">
        <v>22</v>
      </c>
      <c r="J6" s="60" t="s">
        <v>21</v>
      </c>
      <c r="K6" s="60" t="s">
        <v>21</v>
      </c>
      <c r="L6" s="60" t="s">
        <v>21</v>
      </c>
      <c r="M6" s="60" t="s">
        <v>21</v>
      </c>
      <c r="N6" s="28" t="s">
        <v>22</v>
      </c>
      <c r="O6" s="28" t="s">
        <v>22</v>
      </c>
      <c r="P6" s="74" t="s">
        <v>23</v>
      </c>
      <c r="Q6" s="74" t="s">
        <v>23</v>
      </c>
      <c r="R6" s="74" t="s">
        <v>23</v>
      </c>
      <c r="S6" s="74" t="s">
        <v>23</v>
      </c>
      <c r="T6" s="28" t="s">
        <v>22</v>
      </c>
      <c r="U6" s="28" t="s">
        <v>22</v>
      </c>
      <c r="V6" s="60" t="s">
        <v>21</v>
      </c>
      <c r="W6" s="60" t="s">
        <v>21</v>
      </c>
      <c r="X6" s="60" t="s">
        <v>21</v>
      </c>
      <c r="Y6" s="60" t="s">
        <v>21</v>
      </c>
      <c r="Z6" s="28" t="s">
        <v>22</v>
      </c>
      <c r="AA6" s="28" t="s">
        <v>22</v>
      </c>
      <c r="AB6" s="74" t="s">
        <v>23</v>
      </c>
      <c r="AC6" s="74" t="s">
        <v>23</v>
      </c>
      <c r="AD6" s="74" t="s">
        <v>23</v>
      </c>
      <c r="AE6" s="74" t="s">
        <v>23</v>
      </c>
      <c r="AF6" s="28" t="s">
        <v>22</v>
      </c>
      <c r="AG6" s="28" t="s">
        <v>22</v>
      </c>
      <c r="AH6" s="60" t="s">
        <v>21</v>
      </c>
      <c r="AI6" s="221" t="s">
        <v>21</v>
      </c>
      <c r="AJ6" s="19"/>
      <c r="AK6" s="19"/>
      <c r="AL6" s="170">
        <v>0</v>
      </c>
      <c r="AM6" s="21">
        <f t="shared" si="0"/>
        <v>0</v>
      </c>
      <c r="AN6" s="20">
        <f t="shared" si="1"/>
        <v>0</v>
      </c>
      <c r="AO6" s="19"/>
      <c r="AP6" s="20"/>
      <c r="AQ6" s="21">
        <f t="shared" si="2"/>
        <v>0</v>
      </c>
      <c r="AR6" s="20">
        <f t="shared" si="3"/>
        <v>0</v>
      </c>
      <c r="AS6" s="19"/>
      <c r="AT6" s="21">
        <f t="shared" si="4"/>
        <v>20</v>
      </c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</row>
    <row r="7" spans="2:61" ht="15">
      <c r="B7" s="274"/>
      <c r="C7" s="20" t="s">
        <v>27</v>
      </c>
      <c r="D7" s="20" t="s">
        <v>28</v>
      </c>
      <c r="E7" s="74" t="s">
        <v>23</v>
      </c>
      <c r="F7" s="74" t="s">
        <v>23</v>
      </c>
      <c r="G7" s="28" t="s">
        <v>22</v>
      </c>
      <c r="H7" s="74" t="s">
        <v>23</v>
      </c>
      <c r="I7" s="74" t="s">
        <v>23</v>
      </c>
      <c r="J7" s="74" t="s">
        <v>23</v>
      </c>
      <c r="K7" s="28" t="s">
        <v>22</v>
      </c>
      <c r="L7" s="28" t="s">
        <v>22</v>
      </c>
      <c r="M7" s="60" t="s">
        <v>21</v>
      </c>
      <c r="N7" s="60" t="s">
        <v>21</v>
      </c>
      <c r="O7" s="60" t="s">
        <v>21</v>
      </c>
      <c r="P7" s="60" t="s">
        <v>21</v>
      </c>
      <c r="Q7" s="28" t="s">
        <v>22</v>
      </c>
      <c r="R7" s="28" t="s">
        <v>22</v>
      </c>
      <c r="S7" s="74" t="s">
        <v>23</v>
      </c>
      <c r="T7" s="74" t="s">
        <v>23</v>
      </c>
      <c r="U7" s="74" t="s">
        <v>23</v>
      </c>
      <c r="V7" s="74" t="s">
        <v>23</v>
      </c>
      <c r="W7" s="28" t="s">
        <v>22</v>
      </c>
      <c r="X7" s="28" t="s">
        <v>22</v>
      </c>
      <c r="Y7" s="60" t="s">
        <v>21</v>
      </c>
      <c r="Z7" s="60" t="s">
        <v>21</v>
      </c>
      <c r="AA7" s="60" t="s">
        <v>21</v>
      </c>
      <c r="AB7" s="60" t="s">
        <v>21</v>
      </c>
      <c r="AC7" s="28" t="s">
        <v>22</v>
      </c>
      <c r="AD7" s="28" t="s">
        <v>22</v>
      </c>
      <c r="AE7" s="78" t="s">
        <v>29</v>
      </c>
      <c r="AF7" s="78" t="s">
        <v>29</v>
      </c>
      <c r="AG7" s="78" t="s">
        <v>29</v>
      </c>
      <c r="AH7" s="106" t="s">
        <v>30</v>
      </c>
      <c r="AI7" s="222" t="s">
        <v>22</v>
      </c>
      <c r="AJ7" s="19"/>
      <c r="AK7" s="19"/>
      <c r="AL7" s="170">
        <v>1</v>
      </c>
      <c r="AM7" s="21">
        <f t="shared" si="0"/>
        <v>0</v>
      </c>
      <c r="AN7" s="20">
        <f t="shared" si="1"/>
        <v>1</v>
      </c>
      <c r="AO7" s="19"/>
      <c r="AP7" s="26"/>
      <c r="AQ7" s="21">
        <f t="shared" si="2"/>
        <v>0</v>
      </c>
      <c r="AR7" s="44">
        <f t="shared" si="3"/>
        <v>0</v>
      </c>
      <c r="AS7" s="19"/>
      <c r="AT7" s="21">
        <f t="shared" si="4"/>
        <v>20</v>
      </c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</row>
    <row r="8" spans="2:61" ht="15">
      <c r="B8" s="274"/>
      <c r="C8" s="22" t="s">
        <v>31</v>
      </c>
      <c r="D8" s="20" t="s">
        <v>32</v>
      </c>
      <c r="E8" s="73" t="s">
        <v>20</v>
      </c>
      <c r="F8" s="76" t="s">
        <v>33</v>
      </c>
      <c r="G8" s="28" t="s">
        <v>22</v>
      </c>
      <c r="H8" s="28" t="s">
        <v>22</v>
      </c>
      <c r="I8" s="74" t="s">
        <v>23</v>
      </c>
      <c r="J8" s="74" t="s">
        <v>23</v>
      </c>
      <c r="K8" s="74" t="s">
        <v>23</v>
      </c>
      <c r="L8" s="74" t="s">
        <v>23</v>
      </c>
      <c r="M8" s="28" t="s">
        <v>22</v>
      </c>
      <c r="N8" s="28" t="s">
        <v>22</v>
      </c>
      <c r="O8" s="60" t="s">
        <v>21</v>
      </c>
      <c r="P8" s="60" t="s">
        <v>21</v>
      </c>
      <c r="Q8" s="60" t="s">
        <v>21</v>
      </c>
      <c r="R8" s="60" t="s">
        <v>21</v>
      </c>
      <c r="S8" s="28" t="s">
        <v>22</v>
      </c>
      <c r="T8" s="28" t="s">
        <v>22</v>
      </c>
      <c r="U8" s="74" t="s">
        <v>23</v>
      </c>
      <c r="V8" s="74" t="s">
        <v>23</v>
      </c>
      <c r="W8" s="74" t="s">
        <v>23</v>
      </c>
      <c r="X8" s="74" t="s">
        <v>23</v>
      </c>
      <c r="Y8" s="28" t="s">
        <v>22</v>
      </c>
      <c r="Z8" s="28" t="s">
        <v>22</v>
      </c>
      <c r="AA8" s="60" t="s">
        <v>21</v>
      </c>
      <c r="AB8" s="60" t="s">
        <v>21</v>
      </c>
      <c r="AC8" s="60" t="s">
        <v>21</v>
      </c>
      <c r="AD8" s="60" t="s">
        <v>21</v>
      </c>
      <c r="AE8" s="28" t="s">
        <v>22</v>
      </c>
      <c r="AF8" s="28" t="s">
        <v>22</v>
      </c>
      <c r="AG8" s="74" t="s">
        <v>23</v>
      </c>
      <c r="AH8" s="74" t="s">
        <v>23</v>
      </c>
      <c r="AI8" s="236" t="s">
        <v>23</v>
      </c>
      <c r="AJ8" s="19"/>
      <c r="AK8" s="19"/>
      <c r="AL8" s="170">
        <v>3</v>
      </c>
      <c r="AM8" s="21">
        <f t="shared" si="0"/>
        <v>1</v>
      </c>
      <c r="AN8" s="20">
        <f t="shared" si="1"/>
        <v>2</v>
      </c>
      <c r="AO8" s="19"/>
      <c r="AP8" s="20"/>
      <c r="AQ8" s="21">
        <f t="shared" si="2"/>
        <v>0</v>
      </c>
      <c r="AR8" s="20">
        <f t="shared" si="3"/>
        <v>0</v>
      </c>
      <c r="AS8" s="19"/>
      <c r="AT8" s="21">
        <f t="shared" si="4"/>
        <v>19</v>
      </c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</row>
    <row r="9" spans="2:61" ht="15">
      <c r="B9" s="274"/>
      <c r="C9" s="20" t="s">
        <v>34</v>
      </c>
      <c r="D9" s="20" t="s">
        <v>35</v>
      </c>
      <c r="E9" s="28" t="s">
        <v>22</v>
      </c>
      <c r="F9" s="28" t="s">
        <v>22</v>
      </c>
      <c r="G9" s="31" t="s">
        <v>36</v>
      </c>
      <c r="H9" s="31" t="s">
        <v>36</v>
      </c>
      <c r="I9" s="28" t="s">
        <v>22</v>
      </c>
      <c r="J9" s="28" t="s">
        <v>22</v>
      </c>
      <c r="K9" s="31" t="s">
        <v>36</v>
      </c>
      <c r="L9" s="31" t="s">
        <v>36</v>
      </c>
      <c r="M9" s="31" t="s">
        <v>36</v>
      </c>
      <c r="N9" s="31" t="s">
        <v>36</v>
      </c>
      <c r="O9" s="28" t="s">
        <v>22</v>
      </c>
      <c r="P9" s="28" t="s">
        <v>22</v>
      </c>
      <c r="Q9" s="31" t="s">
        <v>36</v>
      </c>
      <c r="R9" s="31" t="s">
        <v>36</v>
      </c>
      <c r="S9" s="31" t="s">
        <v>36</v>
      </c>
      <c r="T9" s="31" t="s">
        <v>36</v>
      </c>
      <c r="U9" s="28" t="s">
        <v>22</v>
      </c>
      <c r="V9" s="28" t="s">
        <v>22</v>
      </c>
      <c r="W9" s="60" t="s">
        <v>21</v>
      </c>
      <c r="X9" s="60" t="s">
        <v>21</v>
      </c>
      <c r="Y9" s="60" t="s">
        <v>21</v>
      </c>
      <c r="Z9" s="60" t="s">
        <v>21</v>
      </c>
      <c r="AA9" s="28" t="s">
        <v>22</v>
      </c>
      <c r="AB9" s="28" t="s">
        <v>22</v>
      </c>
      <c r="AC9" s="74" t="s">
        <v>23</v>
      </c>
      <c r="AD9" s="74" t="s">
        <v>23</v>
      </c>
      <c r="AE9" s="74" t="s">
        <v>23</v>
      </c>
      <c r="AF9" s="74" t="s">
        <v>23</v>
      </c>
      <c r="AG9" s="28" t="s">
        <v>22</v>
      </c>
      <c r="AH9" s="28" t="s">
        <v>22</v>
      </c>
      <c r="AI9" s="221" t="s">
        <v>21</v>
      </c>
      <c r="AJ9" s="19"/>
      <c r="AK9" s="19"/>
      <c r="AL9" s="170">
        <v>0</v>
      </c>
      <c r="AM9" s="21">
        <f t="shared" si="0"/>
        <v>0</v>
      </c>
      <c r="AN9" s="20">
        <f t="shared" si="1"/>
        <v>0</v>
      </c>
      <c r="AO9" s="19"/>
      <c r="AP9" s="20"/>
      <c r="AQ9" s="21">
        <f t="shared" si="2"/>
        <v>10</v>
      </c>
      <c r="AR9" s="20">
        <f t="shared" si="3"/>
        <v>-10</v>
      </c>
      <c r="AS9" s="19"/>
      <c r="AT9" s="21">
        <f t="shared" si="4"/>
        <v>9</v>
      </c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</row>
    <row r="10" spans="2:61" ht="15">
      <c r="B10" s="274"/>
      <c r="C10" s="22" t="s">
        <v>37</v>
      </c>
      <c r="D10" s="20" t="s">
        <v>38</v>
      </c>
      <c r="E10" s="60" t="s">
        <v>21</v>
      </c>
      <c r="F10" s="60" t="s">
        <v>21</v>
      </c>
      <c r="G10" s="28" t="s">
        <v>22</v>
      </c>
      <c r="H10" s="28" t="s">
        <v>22</v>
      </c>
      <c r="I10" s="60" t="s">
        <v>21</v>
      </c>
      <c r="J10" s="60" t="s">
        <v>21</v>
      </c>
      <c r="K10" s="60" t="s">
        <v>21</v>
      </c>
      <c r="L10" s="60" t="s">
        <v>21</v>
      </c>
      <c r="M10" s="28" t="s">
        <v>22</v>
      </c>
      <c r="N10" s="28" t="s">
        <v>22</v>
      </c>
      <c r="O10" s="74" t="s">
        <v>23</v>
      </c>
      <c r="P10" s="74" t="s">
        <v>23</v>
      </c>
      <c r="Q10" s="74" t="s">
        <v>23</v>
      </c>
      <c r="R10" s="74" t="s">
        <v>23</v>
      </c>
      <c r="S10" s="28" t="s">
        <v>22</v>
      </c>
      <c r="T10" s="28" t="s">
        <v>22</v>
      </c>
      <c r="U10" s="60" t="s">
        <v>21</v>
      </c>
      <c r="V10" s="60" t="s">
        <v>21</v>
      </c>
      <c r="W10" s="60" t="s">
        <v>21</v>
      </c>
      <c r="X10" s="60" t="s">
        <v>21</v>
      </c>
      <c r="Y10" s="28" t="s">
        <v>22</v>
      </c>
      <c r="Z10" s="28" t="s">
        <v>22</v>
      </c>
      <c r="AA10" s="74" t="s">
        <v>23</v>
      </c>
      <c r="AB10" s="74" t="s">
        <v>23</v>
      </c>
      <c r="AC10" s="74" t="s">
        <v>23</v>
      </c>
      <c r="AD10" s="74" t="s">
        <v>23</v>
      </c>
      <c r="AE10" s="28" t="s">
        <v>22</v>
      </c>
      <c r="AF10" s="28" t="s">
        <v>22</v>
      </c>
      <c r="AG10" s="60" t="s">
        <v>21</v>
      </c>
      <c r="AH10" s="60" t="s">
        <v>21</v>
      </c>
      <c r="AI10" s="221" t="s">
        <v>21</v>
      </c>
      <c r="AJ10" s="19"/>
      <c r="AK10" s="19"/>
      <c r="AL10" s="170">
        <v>0</v>
      </c>
      <c r="AM10" s="21">
        <f t="shared" si="0"/>
        <v>0</v>
      </c>
      <c r="AN10" s="20">
        <f t="shared" si="1"/>
        <v>0</v>
      </c>
      <c r="AO10" s="19"/>
      <c r="AP10" s="20"/>
      <c r="AQ10" s="21">
        <f t="shared" si="2"/>
        <v>0</v>
      </c>
      <c r="AR10" s="20">
        <f t="shared" si="3"/>
        <v>0</v>
      </c>
      <c r="AS10" s="19"/>
      <c r="AT10" s="21">
        <f t="shared" si="4"/>
        <v>21</v>
      </c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</row>
    <row r="11" spans="2:61" ht="15" customHeight="1">
      <c r="B11" s="274"/>
      <c r="C11" s="20" t="s">
        <v>39</v>
      </c>
      <c r="D11" s="20" t="s">
        <v>40</v>
      </c>
      <c r="E11" s="84" t="s">
        <v>41</v>
      </c>
      <c r="F11" s="77" t="s">
        <v>42</v>
      </c>
      <c r="G11" s="60" t="s">
        <v>21</v>
      </c>
      <c r="H11" s="60" t="s">
        <v>21</v>
      </c>
      <c r="I11" s="28" t="s">
        <v>22</v>
      </c>
      <c r="J11" s="28" t="s">
        <v>22</v>
      </c>
      <c r="K11" s="74" t="s">
        <v>23</v>
      </c>
      <c r="L11" s="74" t="s">
        <v>23</v>
      </c>
      <c r="M11" s="74" t="s">
        <v>23</v>
      </c>
      <c r="N11" s="74" t="s">
        <v>23</v>
      </c>
      <c r="O11" s="28" t="s">
        <v>22</v>
      </c>
      <c r="P11" s="28" t="s">
        <v>22</v>
      </c>
      <c r="Q11" s="60" t="s">
        <v>21</v>
      </c>
      <c r="R11" s="60" t="s">
        <v>21</v>
      </c>
      <c r="S11" s="60" t="s">
        <v>21</v>
      </c>
      <c r="T11" s="60" t="s">
        <v>21</v>
      </c>
      <c r="U11" s="28" t="s">
        <v>22</v>
      </c>
      <c r="V11" s="28" t="s">
        <v>22</v>
      </c>
      <c r="W11" s="74" t="s">
        <v>23</v>
      </c>
      <c r="X11" s="74" t="s">
        <v>23</v>
      </c>
      <c r="Y11" s="74" t="s">
        <v>23</v>
      </c>
      <c r="Z11" s="74" t="s">
        <v>23</v>
      </c>
      <c r="AA11" s="28" t="s">
        <v>22</v>
      </c>
      <c r="AB11" s="28" t="s">
        <v>22</v>
      </c>
      <c r="AC11" s="60" t="s">
        <v>21</v>
      </c>
      <c r="AD11" s="60" t="s">
        <v>21</v>
      </c>
      <c r="AE11" s="60" t="s">
        <v>21</v>
      </c>
      <c r="AF11" s="60" t="s">
        <v>21</v>
      </c>
      <c r="AG11" s="28" t="s">
        <v>22</v>
      </c>
      <c r="AH11" s="28" t="s">
        <v>22</v>
      </c>
      <c r="AI11" s="223" t="s">
        <v>41</v>
      </c>
      <c r="AJ11" s="19"/>
      <c r="AK11" s="19"/>
      <c r="AL11" s="170">
        <v>0</v>
      </c>
      <c r="AM11" s="21">
        <f t="shared" si="0"/>
        <v>0</v>
      </c>
      <c r="AN11" s="20">
        <f t="shared" si="1"/>
        <v>0</v>
      </c>
      <c r="AO11" s="19"/>
      <c r="AP11" s="20"/>
      <c r="AQ11" s="21">
        <f t="shared" si="2"/>
        <v>0</v>
      </c>
      <c r="AR11" s="20">
        <f t="shared" si="3"/>
        <v>0</v>
      </c>
      <c r="AS11" s="19"/>
      <c r="AT11" s="21">
        <f t="shared" si="4"/>
        <v>21</v>
      </c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</row>
    <row r="12" spans="2:61" ht="15.75" thickBot="1">
      <c r="B12" s="275"/>
      <c r="C12" s="224" t="s">
        <v>43</v>
      </c>
      <c r="D12" s="225" t="s">
        <v>44</v>
      </c>
      <c r="E12" s="226" t="s">
        <v>22</v>
      </c>
      <c r="F12" s="226" t="s">
        <v>22</v>
      </c>
      <c r="G12" s="227" t="s">
        <v>21</v>
      </c>
      <c r="H12" s="227" t="s">
        <v>21</v>
      </c>
      <c r="I12" s="227" t="s">
        <v>21</v>
      </c>
      <c r="J12" s="227" t="s">
        <v>21</v>
      </c>
      <c r="K12" s="226" t="s">
        <v>22</v>
      </c>
      <c r="L12" s="226" t="s">
        <v>22</v>
      </c>
      <c r="M12" s="228" t="s">
        <v>23</v>
      </c>
      <c r="N12" s="228" t="s">
        <v>23</v>
      </c>
      <c r="O12" s="228" t="s">
        <v>23</v>
      </c>
      <c r="P12" s="228" t="s">
        <v>23</v>
      </c>
      <c r="Q12" s="226" t="s">
        <v>22</v>
      </c>
      <c r="R12" s="226" t="s">
        <v>22</v>
      </c>
      <c r="S12" s="227" t="s">
        <v>21</v>
      </c>
      <c r="T12" s="227" t="s">
        <v>21</v>
      </c>
      <c r="U12" s="227" t="s">
        <v>21</v>
      </c>
      <c r="V12" s="227" t="s">
        <v>21</v>
      </c>
      <c r="W12" s="226" t="s">
        <v>22</v>
      </c>
      <c r="X12" s="226" t="s">
        <v>22</v>
      </c>
      <c r="Y12" s="228" t="s">
        <v>23</v>
      </c>
      <c r="Z12" s="228" t="s">
        <v>23</v>
      </c>
      <c r="AA12" s="228" t="s">
        <v>23</v>
      </c>
      <c r="AB12" s="228" t="s">
        <v>23</v>
      </c>
      <c r="AC12" s="226" t="s">
        <v>22</v>
      </c>
      <c r="AD12" s="226" t="s">
        <v>22</v>
      </c>
      <c r="AE12" s="227" t="s">
        <v>21</v>
      </c>
      <c r="AF12" s="227" t="s">
        <v>21</v>
      </c>
      <c r="AG12" s="227" t="s">
        <v>21</v>
      </c>
      <c r="AH12" s="227" t="s">
        <v>21</v>
      </c>
      <c r="AI12" s="229" t="s">
        <v>22</v>
      </c>
      <c r="AJ12" s="19"/>
      <c r="AK12" s="19"/>
      <c r="AL12" s="170">
        <v>0</v>
      </c>
      <c r="AM12" s="21">
        <f t="shared" si="0"/>
        <v>0</v>
      </c>
      <c r="AN12" s="20">
        <f t="shared" si="1"/>
        <v>0</v>
      </c>
      <c r="AO12" s="19"/>
      <c r="AP12" s="20"/>
      <c r="AQ12" s="21">
        <f t="shared" si="2"/>
        <v>0</v>
      </c>
      <c r="AR12" s="20">
        <f t="shared" si="3"/>
        <v>0</v>
      </c>
      <c r="AS12" s="19"/>
      <c r="AT12" s="21">
        <f t="shared" si="4"/>
        <v>20</v>
      </c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</row>
    <row r="13" spans="2:61" ht="15">
      <c r="B13" s="276" t="s">
        <v>45</v>
      </c>
      <c r="C13" s="22" t="s">
        <v>46</v>
      </c>
      <c r="D13" s="22" t="s">
        <v>47</v>
      </c>
      <c r="E13" s="176" t="s">
        <v>23</v>
      </c>
      <c r="F13" s="145" t="s">
        <v>22</v>
      </c>
      <c r="G13" s="145" t="s">
        <v>22</v>
      </c>
      <c r="H13" s="177" t="s">
        <v>21</v>
      </c>
      <c r="I13" s="177" t="s">
        <v>21</v>
      </c>
      <c r="J13" s="145" t="s">
        <v>22</v>
      </c>
      <c r="K13" s="145" t="s">
        <v>22</v>
      </c>
      <c r="L13" s="176" t="s">
        <v>23</v>
      </c>
      <c r="M13" s="176" t="s">
        <v>23</v>
      </c>
      <c r="N13" s="176" t="s">
        <v>23</v>
      </c>
      <c r="O13" s="212" t="s">
        <v>23</v>
      </c>
      <c r="P13" s="145" t="s">
        <v>22</v>
      </c>
      <c r="Q13" s="177" t="s">
        <v>21</v>
      </c>
      <c r="R13" s="177" t="s">
        <v>21</v>
      </c>
      <c r="S13" s="177" t="s">
        <v>21</v>
      </c>
      <c r="T13" s="177" t="s">
        <v>21</v>
      </c>
      <c r="U13" s="145" t="s">
        <v>22</v>
      </c>
      <c r="V13" s="145" t="s">
        <v>22</v>
      </c>
      <c r="W13" s="176" t="s">
        <v>23</v>
      </c>
      <c r="X13" s="176" t="s">
        <v>23</v>
      </c>
      <c r="Y13" s="176" t="s">
        <v>23</v>
      </c>
      <c r="Z13" s="176" t="s">
        <v>23</v>
      </c>
      <c r="AA13" s="145" t="s">
        <v>22</v>
      </c>
      <c r="AB13" s="145" t="s">
        <v>22</v>
      </c>
      <c r="AC13" s="182" t="s">
        <v>29</v>
      </c>
      <c r="AD13" s="182" t="s">
        <v>29</v>
      </c>
      <c r="AE13" s="182" t="s">
        <v>29</v>
      </c>
      <c r="AF13" s="182" t="s">
        <v>29</v>
      </c>
      <c r="AG13" s="145" t="s">
        <v>22</v>
      </c>
      <c r="AH13" s="145" t="s">
        <v>22</v>
      </c>
      <c r="AI13" s="213" t="s">
        <v>23</v>
      </c>
      <c r="AJ13" s="19"/>
      <c r="AK13" s="19"/>
      <c r="AL13" s="170">
        <v>0</v>
      </c>
      <c r="AM13" s="21">
        <f t="shared" si="0"/>
        <v>0</v>
      </c>
      <c r="AN13" s="20">
        <f t="shared" si="1"/>
        <v>0</v>
      </c>
      <c r="AO13" s="19"/>
      <c r="AP13" s="20"/>
      <c r="AQ13" s="21">
        <f t="shared" si="2"/>
        <v>0</v>
      </c>
      <c r="AR13" s="20">
        <f t="shared" si="3"/>
        <v>0</v>
      </c>
      <c r="AS13" s="19"/>
      <c r="AT13" s="21">
        <f t="shared" si="4"/>
        <v>20</v>
      </c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</row>
    <row r="14" spans="2:61" ht="15">
      <c r="B14" s="276"/>
      <c r="C14" s="22" t="s">
        <v>48</v>
      </c>
      <c r="D14" s="20" t="s">
        <v>49</v>
      </c>
      <c r="E14" s="60" t="s">
        <v>21</v>
      </c>
      <c r="F14" s="28" t="s">
        <v>22</v>
      </c>
      <c r="G14" s="28" t="s">
        <v>22</v>
      </c>
      <c r="H14" s="78" t="s">
        <v>29</v>
      </c>
      <c r="I14" s="78" t="s">
        <v>29</v>
      </c>
      <c r="J14" s="78" t="s">
        <v>29</v>
      </c>
      <c r="K14" s="78" t="s">
        <v>29</v>
      </c>
      <c r="L14" s="78" t="s">
        <v>29</v>
      </c>
      <c r="M14" s="28" t="s">
        <v>22</v>
      </c>
      <c r="N14" s="28" t="s">
        <v>22</v>
      </c>
      <c r="O14" s="28" t="s">
        <v>22</v>
      </c>
      <c r="P14" s="74" t="s">
        <v>23</v>
      </c>
      <c r="Q14" s="74" t="s">
        <v>23</v>
      </c>
      <c r="R14" s="74" t="s">
        <v>23</v>
      </c>
      <c r="S14" s="28" t="s">
        <v>22</v>
      </c>
      <c r="T14" s="28" t="s">
        <v>22</v>
      </c>
      <c r="U14" s="60" t="s">
        <v>21</v>
      </c>
      <c r="V14" s="60" t="s">
        <v>21</v>
      </c>
      <c r="W14" s="60" t="s">
        <v>21</v>
      </c>
      <c r="X14" s="60" t="s">
        <v>21</v>
      </c>
      <c r="Y14" s="28" t="s">
        <v>22</v>
      </c>
      <c r="Z14" s="28" t="s">
        <v>22</v>
      </c>
      <c r="AA14" s="74" t="s">
        <v>23</v>
      </c>
      <c r="AB14" s="74" t="s">
        <v>23</v>
      </c>
      <c r="AC14" s="74" t="s">
        <v>23</v>
      </c>
      <c r="AD14" s="74" t="s">
        <v>23</v>
      </c>
      <c r="AE14" s="28" t="s">
        <v>22</v>
      </c>
      <c r="AF14" s="60" t="s">
        <v>21</v>
      </c>
      <c r="AG14" s="60" t="s">
        <v>21</v>
      </c>
      <c r="AH14" s="60" t="s">
        <v>21</v>
      </c>
      <c r="AI14" s="90" t="s">
        <v>21</v>
      </c>
      <c r="AJ14" s="19"/>
      <c r="AK14" s="19"/>
      <c r="AL14" s="170">
        <v>11</v>
      </c>
      <c r="AM14" s="21">
        <f t="shared" si="0"/>
        <v>0</v>
      </c>
      <c r="AN14" s="20">
        <f t="shared" si="1"/>
        <v>11</v>
      </c>
      <c r="AO14" s="19"/>
      <c r="AP14" s="20"/>
      <c r="AQ14" s="21">
        <f t="shared" si="2"/>
        <v>0</v>
      </c>
      <c r="AR14" s="20">
        <f t="shared" si="3"/>
        <v>0</v>
      </c>
      <c r="AS14" s="19"/>
      <c r="AT14" s="21">
        <f t="shared" si="4"/>
        <v>21</v>
      </c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</row>
    <row r="15" spans="2:61" ht="15">
      <c r="B15" s="276"/>
      <c r="C15" s="20" t="s">
        <v>50</v>
      </c>
      <c r="D15" s="20" t="s">
        <v>51</v>
      </c>
      <c r="E15" s="73" t="s">
        <v>20</v>
      </c>
      <c r="F15" s="28" t="s">
        <v>22</v>
      </c>
      <c r="G15" s="28" t="s">
        <v>22</v>
      </c>
      <c r="H15" s="60" t="s">
        <v>21</v>
      </c>
      <c r="I15" s="60" t="s">
        <v>21</v>
      </c>
      <c r="J15" s="60" t="s">
        <v>21</v>
      </c>
      <c r="K15" s="28" t="s">
        <v>22</v>
      </c>
      <c r="L15" s="28" t="s">
        <v>22</v>
      </c>
      <c r="M15" s="78" t="s">
        <v>29</v>
      </c>
      <c r="N15" s="78" t="s">
        <v>29</v>
      </c>
      <c r="O15" s="78" t="s">
        <v>29</v>
      </c>
      <c r="P15" s="78" t="s">
        <v>29</v>
      </c>
      <c r="Q15" s="28" t="s">
        <v>22</v>
      </c>
      <c r="R15" s="28" t="s">
        <v>22</v>
      </c>
      <c r="S15" s="74" t="s">
        <v>23</v>
      </c>
      <c r="T15" s="74" t="s">
        <v>23</v>
      </c>
      <c r="U15" s="74" t="s">
        <v>23</v>
      </c>
      <c r="V15" s="74" t="s">
        <v>23</v>
      </c>
      <c r="W15" s="28" t="s">
        <v>22</v>
      </c>
      <c r="X15" s="28" t="s">
        <v>22</v>
      </c>
      <c r="Y15" s="60" t="s">
        <v>21</v>
      </c>
      <c r="Z15" s="60" t="s">
        <v>21</v>
      </c>
      <c r="AA15" s="60" t="s">
        <v>21</v>
      </c>
      <c r="AB15" s="60" t="s">
        <v>21</v>
      </c>
      <c r="AC15" s="28" t="s">
        <v>22</v>
      </c>
      <c r="AD15" s="28" t="s">
        <v>22</v>
      </c>
      <c r="AE15" s="74" t="s">
        <v>23</v>
      </c>
      <c r="AF15" s="74" t="s">
        <v>23</v>
      </c>
      <c r="AG15" s="74" t="s">
        <v>23</v>
      </c>
      <c r="AH15" s="74" t="s">
        <v>23</v>
      </c>
      <c r="AI15" s="91" t="s">
        <v>22</v>
      </c>
      <c r="AJ15" s="19"/>
      <c r="AK15" s="19"/>
      <c r="AL15" s="170">
        <v>0</v>
      </c>
      <c r="AM15" s="21">
        <f t="shared" si="0"/>
        <v>0</v>
      </c>
      <c r="AN15" s="20">
        <f t="shared" si="1"/>
        <v>0</v>
      </c>
      <c r="AO15" s="19"/>
      <c r="AP15" s="20"/>
      <c r="AQ15" s="21">
        <f t="shared" si="2"/>
        <v>0</v>
      </c>
      <c r="AR15" s="20">
        <f t="shared" si="3"/>
        <v>0</v>
      </c>
      <c r="AS15" s="19"/>
      <c r="AT15" s="21">
        <f t="shared" si="4"/>
        <v>19</v>
      </c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</row>
    <row r="16" spans="2:61" ht="15">
      <c r="B16" s="276"/>
      <c r="C16" s="22" t="s">
        <v>52</v>
      </c>
      <c r="D16" s="20" t="s">
        <v>53</v>
      </c>
      <c r="E16" s="60" t="s">
        <v>21</v>
      </c>
      <c r="F16" s="60" t="s">
        <v>21</v>
      </c>
      <c r="G16" s="28" t="s">
        <v>22</v>
      </c>
      <c r="H16" s="28" t="s">
        <v>22</v>
      </c>
      <c r="I16" s="28" t="s">
        <v>22</v>
      </c>
      <c r="J16" s="60" t="s">
        <v>21</v>
      </c>
      <c r="K16" s="60" t="s">
        <v>21</v>
      </c>
      <c r="L16" s="60" t="s">
        <v>21</v>
      </c>
      <c r="M16" s="60" t="s">
        <v>21</v>
      </c>
      <c r="N16" s="106" t="s">
        <v>30</v>
      </c>
      <c r="O16" s="28" t="s">
        <v>22</v>
      </c>
      <c r="P16" s="28" t="s">
        <v>22</v>
      </c>
      <c r="Q16" s="78" t="s">
        <v>29</v>
      </c>
      <c r="R16" s="78" t="s">
        <v>29</v>
      </c>
      <c r="S16" s="78" t="s">
        <v>29</v>
      </c>
      <c r="T16" s="78" t="s">
        <v>29</v>
      </c>
      <c r="U16" s="28" t="s">
        <v>22</v>
      </c>
      <c r="V16" s="28" t="s">
        <v>22</v>
      </c>
      <c r="W16" s="74" t="s">
        <v>23</v>
      </c>
      <c r="X16" s="74" t="s">
        <v>23</v>
      </c>
      <c r="Y16" s="74" t="s">
        <v>23</v>
      </c>
      <c r="Z16" s="74" t="s">
        <v>23</v>
      </c>
      <c r="AA16" s="28" t="s">
        <v>22</v>
      </c>
      <c r="AB16" s="28" t="s">
        <v>22</v>
      </c>
      <c r="AC16" s="60" t="s">
        <v>21</v>
      </c>
      <c r="AD16" s="60" t="s">
        <v>21</v>
      </c>
      <c r="AE16" s="60" t="s">
        <v>21</v>
      </c>
      <c r="AF16" s="60" t="s">
        <v>21</v>
      </c>
      <c r="AG16" s="28" t="s">
        <v>22</v>
      </c>
      <c r="AH16" s="28" t="s">
        <v>22</v>
      </c>
      <c r="AI16" s="89" t="s">
        <v>23</v>
      </c>
      <c r="AJ16" s="19"/>
      <c r="AK16" s="19"/>
      <c r="AL16" s="170">
        <v>0</v>
      </c>
      <c r="AM16" s="21">
        <f t="shared" si="0"/>
        <v>0</v>
      </c>
      <c r="AN16" s="20">
        <f t="shared" si="1"/>
        <v>0</v>
      </c>
      <c r="AO16" s="19"/>
      <c r="AP16" s="20"/>
      <c r="AQ16" s="21">
        <f t="shared" si="2"/>
        <v>0</v>
      </c>
      <c r="AR16" s="20">
        <f t="shared" si="3"/>
        <v>0</v>
      </c>
      <c r="AS16" s="19"/>
      <c r="AT16" s="21">
        <f t="shared" si="4"/>
        <v>19</v>
      </c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</row>
    <row r="17" spans="2:61" ht="15" customHeight="1">
      <c r="B17" s="276"/>
      <c r="C17" s="22" t="s">
        <v>54</v>
      </c>
      <c r="D17" s="20" t="s">
        <v>55</v>
      </c>
      <c r="E17" s="73" t="s">
        <v>20</v>
      </c>
      <c r="F17" s="74" t="s">
        <v>23</v>
      </c>
      <c r="G17" s="74" t="s">
        <v>23</v>
      </c>
      <c r="H17" s="28" t="s">
        <v>22</v>
      </c>
      <c r="I17" s="28" t="s">
        <v>22</v>
      </c>
      <c r="J17" s="60" t="s">
        <v>21</v>
      </c>
      <c r="K17" s="60" t="s">
        <v>21</v>
      </c>
      <c r="L17" s="111" t="s">
        <v>21</v>
      </c>
      <c r="M17" s="110" t="s">
        <v>22</v>
      </c>
      <c r="N17" s="110" t="s">
        <v>22</v>
      </c>
      <c r="O17" s="111" t="s">
        <v>21</v>
      </c>
      <c r="P17" s="111" t="s">
        <v>21</v>
      </c>
      <c r="Q17" s="111" t="s">
        <v>21</v>
      </c>
      <c r="R17" s="111" t="s">
        <v>21</v>
      </c>
      <c r="S17" s="28" t="s">
        <v>22</v>
      </c>
      <c r="T17" s="28" t="s">
        <v>22</v>
      </c>
      <c r="U17" s="78" t="s">
        <v>29</v>
      </c>
      <c r="V17" s="78" t="s">
        <v>29</v>
      </c>
      <c r="W17" s="78" t="s">
        <v>29</v>
      </c>
      <c r="X17" s="78" t="s">
        <v>29</v>
      </c>
      <c r="Y17" s="28" t="s">
        <v>22</v>
      </c>
      <c r="Z17" s="28" t="s">
        <v>22</v>
      </c>
      <c r="AA17" s="106" t="s">
        <v>30</v>
      </c>
      <c r="AB17" s="76" t="s">
        <v>33</v>
      </c>
      <c r="AC17" s="76" t="s">
        <v>33</v>
      </c>
      <c r="AD17" s="76" t="s">
        <v>33</v>
      </c>
      <c r="AE17" s="28" t="s">
        <v>22</v>
      </c>
      <c r="AF17" s="28" t="s">
        <v>22</v>
      </c>
      <c r="AG17" s="60" t="s">
        <v>21</v>
      </c>
      <c r="AH17" s="60" t="s">
        <v>21</v>
      </c>
      <c r="AI17" s="90" t="s">
        <v>21</v>
      </c>
      <c r="AJ17" s="19"/>
      <c r="AK17" s="19"/>
      <c r="AL17" s="170">
        <v>4</v>
      </c>
      <c r="AM17" s="21">
        <f t="shared" si="0"/>
        <v>3</v>
      </c>
      <c r="AN17" s="20">
        <f t="shared" si="1"/>
        <v>1</v>
      </c>
      <c r="AO17" s="19"/>
      <c r="AP17" s="20"/>
      <c r="AQ17" s="21">
        <f t="shared" si="2"/>
        <v>0</v>
      </c>
      <c r="AR17" s="20">
        <f t="shared" si="3"/>
        <v>0</v>
      </c>
      <c r="AS17" s="19"/>
      <c r="AT17" s="21">
        <f t="shared" si="4"/>
        <v>16</v>
      </c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</row>
    <row r="18" spans="2:61" ht="15">
      <c r="B18" s="276"/>
      <c r="C18" s="22" t="s">
        <v>56</v>
      </c>
      <c r="D18" s="20" t="s">
        <v>57</v>
      </c>
      <c r="E18" s="74" t="s">
        <v>23</v>
      </c>
      <c r="F18" s="28" t="s">
        <v>22</v>
      </c>
      <c r="G18" s="28" t="s">
        <v>22</v>
      </c>
      <c r="H18" s="74" t="s">
        <v>23</v>
      </c>
      <c r="I18" s="74" t="s">
        <v>23</v>
      </c>
      <c r="J18" s="74" t="s">
        <v>23</v>
      </c>
      <c r="K18" s="153" t="s">
        <v>22</v>
      </c>
      <c r="L18" s="140" t="s">
        <v>22</v>
      </c>
      <c r="M18" s="157" t="s">
        <v>21</v>
      </c>
      <c r="N18" s="157" t="s">
        <v>21</v>
      </c>
      <c r="O18" s="157" t="s">
        <v>21</v>
      </c>
      <c r="P18" s="157" t="s">
        <v>21</v>
      </c>
      <c r="Q18" s="140" t="s">
        <v>22</v>
      </c>
      <c r="R18" s="140" t="s">
        <v>22</v>
      </c>
      <c r="S18" s="174" t="s">
        <v>21</v>
      </c>
      <c r="T18" s="60" t="s">
        <v>21</v>
      </c>
      <c r="U18" s="60" t="s">
        <v>21</v>
      </c>
      <c r="V18" s="60" t="s">
        <v>21</v>
      </c>
      <c r="W18" s="28" t="s">
        <v>22</v>
      </c>
      <c r="X18" s="28" t="s">
        <v>22</v>
      </c>
      <c r="Y18" s="78" t="s">
        <v>29</v>
      </c>
      <c r="Z18" s="78" t="s">
        <v>29</v>
      </c>
      <c r="AA18" s="78" t="s">
        <v>29</v>
      </c>
      <c r="AB18" s="78" t="s">
        <v>29</v>
      </c>
      <c r="AC18" s="28" t="s">
        <v>22</v>
      </c>
      <c r="AD18" s="28" t="s">
        <v>22</v>
      </c>
      <c r="AE18" s="74" t="s">
        <v>23</v>
      </c>
      <c r="AF18" s="74" t="s">
        <v>23</v>
      </c>
      <c r="AG18" s="74" t="s">
        <v>23</v>
      </c>
      <c r="AH18" s="74" t="s">
        <v>23</v>
      </c>
      <c r="AI18" s="91" t="s">
        <v>22</v>
      </c>
      <c r="AJ18" s="19"/>
      <c r="AK18" s="19"/>
      <c r="AL18" s="170">
        <v>18</v>
      </c>
      <c r="AM18" s="21">
        <f t="shared" si="0"/>
        <v>0</v>
      </c>
      <c r="AN18" s="20">
        <f t="shared" si="1"/>
        <v>18</v>
      </c>
      <c r="AO18" s="19"/>
      <c r="AP18" s="20"/>
      <c r="AQ18" s="21">
        <f t="shared" si="2"/>
        <v>0</v>
      </c>
      <c r="AR18" s="20">
        <f t="shared" si="3"/>
        <v>0</v>
      </c>
      <c r="AS18" s="19"/>
      <c r="AT18" s="21">
        <f t="shared" si="4"/>
        <v>20</v>
      </c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</row>
    <row r="19" spans="2:61" ht="15">
      <c r="B19" s="276"/>
      <c r="C19" s="20" t="s">
        <v>58</v>
      </c>
      <c r="D19" s="20" t="s">
        <v>59</v>
      </c>
      <c r="E19" s="28" t="s">
        <v>22</v>
      </c>
      <c r="F19" s="78" t="s">
        <v>29</v>
      </c>
      <c r="G19" s="78" t="s">
        <v>29</v>
      </c>
      <c r="H19" s="78" t="s">
        <v>29</v>
      </c>
      <c r="I19" s="78" t="s">
        <v>29</v>
      </c>
      <c r="J19" s="28" t="s">
        <v>22</v>
      </c>
      <c r="K19" s="153" t="s">
        <v>22</v>
      </c>
      <c r="L19" s="158" t="s">
        <v>23</v>
      </c>
      <c r="M19" s="158" t="s">
        <v>23</v>
      </c>
      <c r="N19" s="158" t="s">
        <v>23</v>
      </c>
      <c r="O19" s="158" t="s">
        <v>23</v>
      </c>
      <c r="P19" s="140" t="s">
        <v>22</v>
      </c>
      <c r="Q19" s="157" t="s">
        <v>21</v>
      </c>
      <c r="R19" s="157" t="s">
        <v>21</v>
      </c>
      <c r="S19" s="174" t="s">
        <v>21</v>
      </c>
      <c r="T19" s="60" t="s">
        <v>21</v>
      </c>
      <c r="U19" s="28" t="s">
        <v>22</v>
      </c>
      <c r="V19" s="28" t="s">
        <v>22</v>
      </c>
      <c r="W19" s="60" t="s">
        <v>21</v>
      </c>
      <c r="X19" s="60" t="s">
        <v>21</v>
      </c>
      <c r="Y19" s="60" t="s">
        <v>21</v>
      </c>
      <c r="Z19" s="60" t="s">
        <v>21</v>
      </c>
      <c r="AA19" s="28" t="s">
        <v>22</v>
      </c>
      <c r="AB19" s="28" t="s">
        <v>22</v>
      </c>
      <c r="AC19" s="60" t="s">
        <v>21</v>
      </c>
      <c r="AD19" s="60" t="s">
        <v>21</v>
      </c>
      <c r="AE19" s="60" t="s">
        <v>21</v>
      </c>
      <c r="AF19" s="28" t="s">
        <v>22</v>
      </c>
      <c r="AG19" s="28" t="s">
        <v>22</v>
      </c>
      <c r="AH19" s="28" t="s">
        <v>22</v>
      </c>
      <c r="AI19" s="106" t="s">
        <v>30</v>
      </c>
      <c r="AJ19" s="19"/>
      <c r="AK19" s="19"/>
      <c r="AL19" s="170">
        <v>1</v>
      </c>
      <c r="AM19" s="21">
        <f t="shared" si="0"/>
        <v>0</v>
      </c>
      <c r="AN19" s="20">
        <f t="shared" si="1"/>
        <v>1</v>
      </c>
      <c r="AO19" s="19"/>
      <c r="AP19" s="26"/>
      <c r="AQ19" s="21">
        <f t="shared" si="2"/>
        <v>0</v>
      </c>
      <c r="AR19" s="44">
        <f t="shared" si="3"/>
        <v>0</v>
      </c>
      <c r="AS19" s="19"/>
      <c r="AT19" s="21">
        <f t="shared" si="4"/>
        <v>19</v>
      </c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</row>
    <row r="20" spans="2:61" ht="15">
      <c r="B20" s="276"/>
      <c r="C20" s="22" t="s">
        <v>60</v>
      </c>
      <c r="D20" s="20" t="s">
        <v>61</v>
      </c>
      <c r="E20" s="60" t="s">
        <v>21</v>
      </c>
      <c r="F20" s="60" t="s">
        <v>21</v>
      </c>
      <c r="G20" s="28" t="s">
        <v>22</v>
      </c>
      <c r="H20" s="28" t="s">
        <v>22</v>
      </c>
      <c r="I20" s="78" t="s">
        <v>29</v>
      </c>
      <c r="J20" s="78" t="s">
        <v>29</v>
      </c>
      <c r="K20" s="173" t="s">
        <v>29</v>
      </c>
      <c r="L20" s="171" t="s">
        <v>29</v>
      </c>
      <c r="M20" s="140" t="s">
        <v>22</v>
      </c>
      <c r="N20" s="140" t="s">
        <v>22</v>
      </c>
      <c r="O20" s="158" t="s">
        <v>23</v>
      </c>
      <c r="P20" s="158" t="s">
        <v>23</v>
      </c>
      <c r="Q20" s="158" t="s">
        <v>23</v>
      </c>
      <c r="R20" s="158" t="s">
        <v>23</v>
      </c>
      <c r="S20" s="154" t="s">
        <v>22</v>
      </c>
      <c r="T20" s="28" t="s">
        <v>22</v>
      </c>
      <c r="U20" s="60" t="s">
        <v>21</v>
      </c>
      <c r="V20" s="60" t="s">
        <v>21</v>
      </c>
      <c r="W20" s="60" t="s">
        <v>21</v>
      </c>
      <c r="X20" s="60" t="s">
        <v>21</v>
      </c>
      <c r="Y20" s="28" t="s">
        <v>22</v>
      </c>
      <c r="Z20" s="28" t="s">
        <v>22</v>
      </c>
      <c r="AA20" s="60" t="s">
        <v>21</v>
      </c>
      <c r="AB20" s="60" t="s">
        <v>21</v>
      </c>
      <c r="AC20" s="31" t="s">
        <v>36</v>
      </c>
      <c r="AD20" s="31" t="s">
        <v>36</v>
      </c>
      <c r="AE20" s="28" t="s">
        <v>22</v>
      </c>
      <c r="AF20" s="28" t="s">
        <v>22</v>
      </c>
      <c r="AG20" s="31" t="s">
        <v>36</v>
      </c>
      <c r="AH20" s="78" t="s">
        <v>29</v>
      </c>
      <c r="AI20" s="107" t="s">
        <v>29</v>
      </c>
      <c r="AJ20" s="19"/>
      <c r="AK20" s="19"/>
      <c r="AL20" s="170">
        <v>0</v>
      </c>
      <c r="AM20" s="21">
        <f t="shared" si="0"/>
        <v>0</v>
      </c>
      <c r="AN20" s="20">
        <f t="shared" si="1"/>
        <v>0</v>
      </c>
      <c r="AO20" s="19"/>
      <c r="AP20" s="20"/>
      <c r="AQ20" s="21">
        <f t="shared" si="2"/>
        <v>3</v>
      </c>
      <c r="AR20" s="20">
        <f t="shared" si="3"/>
        <v>-3</v>
      </c>
      <c r="AS20" s="19"/>
      <c r="AT20" s="21">
        <f t="shared" si="4"/>
        <v>18</v>
      </c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</row>
    <row r="21" spans="2:61" ht="15">
      <c r="B21" s="276"/>
      <c r="C21" s="20" t="s">
        <v>62</v>
      </c>
      <c r="D21" s="20" t="s">
        <v>63</v>
      </c>
      <c r="E21" s="28" t="s">
        <v>22</v>
      </c>
      <c r="F21" s="28" t="s">
        <v>22</v>
      </c>
      <c r="G21" s="74" t="s">
        <v>23</v>
      </c>
      <c r="H21" s="74" t="s">
        <v>23</v>
      </c>
      <c r="I21" s="74" t="s">
        <v>23</v>
      </c>
      <c r="J21" s="74" t="s">
        <v>23</v>
      </c>
      <c r="K21" s="153" t="s">
        <v>22</v>
      </c>
      <c r="L21" s="140" t="s">
        <v>22</v>
      </c>
      <c r="M21" s="157" t="s">
        <v>21</v>
      </c>
      <c r="N21" s="172" t="s">
        <v>30</v>
      </c>
      <c r="O21" s="157" t="s">
        <v>21</v>
      </c>
      <c r="P21" s="157" t="s">
        <v>21</v>
      </c>
      <c r="Q21" s="140" t="s">
        <v>22</v>
      </c>
      <c r="R21" s="140" t="s">
        <v>22</v>
      </c>
      <c r="S21" s="175" t="s">
        <v>23</v>
      </c>
      <c r="T21" s="74" t="s">
        <v>23</v>
      </c>
      <c r="U21" s="74" t="s">
        <v>23</v>
      </c>
      <c r="V21" s="74" t="s">
        <v>23</v>
      </c>
      <c r="W21" s="28" t="s">
        <v>22</v>
      </c>
      <c r="X21" s="28" t="s">
        <v>22</v>
      </c>
      <c r="Y21" s="60" t="s">
        <v>21</v>
      </c>
      <c r="Z21" s="60" t="s">
        <v>21</v>
      </c>
      <c r="AA21" s="60" t="s">
        <v>21</v>
      </c>
      <c r="AB21" s="60" t="s">
        <v>21</v>
      </c>
      <c r="AC21" s="28" t="s">
        <v>22</v>
      </c>
      <c r="AD21" s="28" t="s">
        <v>22</v>
      </c>
      <c r="AE21" s="60" t="s">
        <v>21</v>
      </c>
      <c r="AF21" s="60" t="s">
        <v>21</v>
      </c>
      <c r="AG21" s="60" t="s">
        <v>21</v>
      </c>
      <c r="AH21" s="60" t="s">
        <v>21</v>
      </c>
      <c r="AI21" s="91" t="s">
        <v>22</v>
      </c>
      <c r="AJ21" s="19"/>
      <c r="AK21" s="19"/>
      <c r="AL21" s="170">
        <v>0</v>
      </c>
      <c r="AM21" s="21">
        <f t="shared" si="0"/>
        <v>0</v>
      </c>
      <c r="AN21" s="20">
        <f t="shared" si="1"/>
        <v>0</v>
      </c>
      <c r="AO21" s="19"/>
      <c r="AP21" s="20"/>
      <c r="AQ21" s="21">
        <f t="shared" si="2"/>
        <v>0</v>
      </c>
      <c r="AR21" s="20">
        <f t="shared" si="3"/>
        <v>0</v>
      </c>
      <c r="AS21" s="19"/>
      <c r="AT21" s="21">
        <f t="shared" si="4"/>
        <v>19</v>
      </c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</row>
    <row r="22" spans="2:61" ht="15">
      <c r="B22" s="276"/>
      <c r="C22" s="86" t="s">
        <v>64</v>
      </c>
      <c r="D22" s="87" t="s">
        <v>65</v>
      </c>
      <c r="E22" s="28" t="s">
        <v>22</v>
      </c>
      <c r="F22" s="28" t="s">
        <v>22</v>
      </c>
      <c r="G22" s="60" t="s">
        <v>21</v>
      </c>
      <c r="H22" s="60" t="s">
        <v>21</v>
      </c>
      <c r="I22" s="28" t="s">
        <v>22</v>
      </c>
      <c r="J22" s="28" t="s">
        <v>22</v>
      </c>
      <c r="K22" s="74" t="s">
        <v>23</v>
      </c>
      <c r="L22" s="176" t="s">
        <v>23</v>
      </c>
      <c r="M22" s="176" t="s">
        <v>23</v>
      </c>
      <c r="N22" s="176" t="s">
        <v>66</v>
      </c>
      <c r="O22" s="145" t="s">
        <v>22</v>
      </c>
      <c r="P22" s="145" t="s">
        <v>22</v>
      </c>
      <c r="Q22" s="177" t="s">
        <v>21</v>
      </c>
      <c r="R22" s="178" t="s">
        <v>67</v>
      </c>
      <c r="S22" s="60" t="s">
        <v>21</v>
      </c>
      <c r="T22" s="60" t="s">
        <v>21</v>
      </c>
      <c r="U22" s="28" t="s">
        <v>22</v>
      </c>
      <c r="V22" s="28" t="s">
        <v>22</v>
      </c>
      <c r="W22" s="74" t="s">
        <v>23</v>
      </c>
      <c r="X22" s="74" t="s">
        <v>23</v>
      </c>
      <c r="Y22" s="74" t="s">
        <v>23</v>
      </c>
      <c r="Z22" s="74" t="s">
        <v>23</v>
      </c>
      <c r="AA22" s="28" t="s">
        <v>22</v>
      </c>
      <c r="AB22" s="28" t="s">
        <v>22</v>
      </c>
      <c r="AC22" s="60" t="s">
        <v>21</v>
      </c>
      <c r="AD22" s="60" t="s">
        <v>21</v>
      </c>
      <c r="AE22" s="60" t="s">
        <v>21</v>
      </c>
      <c r="AF22" s="60" t="s">
        <v>21</v>
      </c>
      <c r="AG22" s="28" t="s">
        <v>22</v>
      </c>
      <c r="AH22" s="28" t="s">
        <v>22</v>
      </c>
      <c r="AI22" s="90" t="s">
        <v>21</v>
      </c>
      <c r="AJ22" s="19"/>
      <c r="AK22" s="19"/>
      <c r="AL22" s="170">
        <v>1</v>
      </c>
      <c r="AM22" s="21">
        <f t="shared" si="0"/>
        <v>0</v>
      </c>
      <c r="AN22" s="20">
        <f t="shared" si="1"/>
        <v>1</v>
      </c>
      <c r="AO22" s="19"/>
      <c r="AP22" s="20"/>
      <c r="AQ22" s="21">
        <f t="shared" si="2"/>
        <v>0</v>
      </c>
      <c r="AR22" s="20">
        <f t="shared" si="3"/>
        <v>0</v>
      </c>
      <c r="AS22" s="19"/>
      <c r="AT22" s="21">
        <f t="shared" si="4"/>
        <v>18</v>
      </c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</row>
    <row r="23" spans="2:61" ht="15" customHeight="1">
      <c r="B23" s="276"/>
      <c r="C23" s="20" t="s">
        <v>68</v>
      </c>
      <c r="D23" s="20" t="s">
        <v>69</v>
      </c>
      <c r="E23" s="74" t="s">
        <v>23</v>
      </c>
      <c r="F23" s="74" t="s">
        <v>23</v>
      </c>
      <c r="G23" s="28" t="s">
        <v>22</v>
      </c>
      <c r="H23" s="28" t="s">
        <v>22</v>
      </c>
      <c r="I23" s="60" t="s">
        <v>21</v>
      </c>
      <c r="J23" s="60" t="s">
        <v>21</v>
      </c>
      <c r="K23" s="60" t="s">
        <v>21</v>
      </c>
      <c r="L23" s="60" t="s">
        <v>21</v>
      </c>
      <c r="M23" s="28" t="s">
        <v>22</v>
      </c>
      <c r="N23" s="28" t="s">
        <v>22</v>
      </c>
      <c r="O23" s="74" t="s">
        <v>23</v>
      </c>
      <c r="P23" s="74" t="s">
        <v>23</v>
      </c>
      <c r="Q23" s="74" t="s">
        <v>23</v>
      </c>
      <c r="R23" s="74" t="s">
        <v>23</v>
      </c>
      <c r="S23" s="28" t="s">
        <v>22</v>
      </c>
      <c r="T23" s="28" t="s">
        <v>22</v>
      </c>
      <c r="U23" s="60" t="s">
        <v>21</v>
      </c>
      <c r="V23" s="60" t="s">
        <v>21</v>
      </c>
      <c r="W23" s="60" t="s">
        <v>21</v>
      </c>
      <c r="X23" s="60" t="s">
        <v>21</v>
      </c>
      <c r="Y23" s="28" t="s">
        <v>22</v>
      </c>
      <c r="Z23" s="28" t="s">
        <v>22</v>
      </c>
      <c r="AA23" s="74" t="s">
        <v>23</v>
      </c>
      <c r="AB23" s="74" t="s">
        <v>23</v>
      </c>
      <c r="AC23" s="74" t="s">
        <v>23</v>
      </c>
      <c r="AD23" s="74" t="s">
        <v>23</v>
      </c>
      <c r="AE23" s="28" t="s">
        <v>22</v>
      </c>
      <c r="AF23" s="28" t="s">
        <v>22</v>
      </c>
      <c r="AG23" s="60" t="s">
        <v>21</v>
      </c>
      <c r="AH23" s="60" t="s">
        <v>21</v>
      </c>
      <c r="AI23" s="90" t="s">
        <v>21</v>
      </c>
      <c r="AJ23" s="19"/>
      <c r="AK23" s="19"/>
      <c r="AL23" s="170">
        <v>3</v>
      </c>
      <c r="AM23" s="21">
        <f t="shared" si="0"/>
        <v>0</v>
      </c>
      <c r="AN23" s="20">
        <f t="shared" si="1"/>
        <v>3</v>
      </c>
      <c r="AO23" s="19"/>
      <c r="AP23" s="20"/>
      <c r="AQ23" s="21">
        <f t="shared" si="2"/>
        <v>0</v>
      </c>
      <c r="AR23" s="20">
        <f t="shared" si="3"/>
        <v>0</v>
      </c>
      <c r="AS23" s="19"/>
      <c r="AT23" s="21">
        <f t="shared" si="4"/>
        <v>21</v>
      </c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</row>
    <row r="24" spans="2:61" ht="15">
      <c r="B24" s="276"/>
      <c r="C24" s="108" t="s">
        <v>70</v>
      </c>
      <c r="D24" s="109" t="s">
        <v>71</v>
      </c>
      <c r="E24" s="116" t="s">
        <v>29</v>
      </c>
      <c r="F24" s="116" t="s">
        <v>29</v>
      </c>
      <c r="G24" s="116" t="s">
        <v>29</v>
      </c>
      <c r="H24" s="110" t="s">
        <v>22</v>
      </c>
      <c r="I24" s="110" t="s">
        <v>22</v>
      </c>
      <c r="J24" s="112" t="s">
        <v>23</v>
      </c>
      <c r="K24" s="112" t="s">
        <v>23</v>
      </c>
      <c r="L24" s="110" t="s">
        <v>22</v>
      </c>
      <c r="M24" s="110" t="s">
        <v>22</v>
      </c>
      <c r="N24" s="111" t="s">
        <v>21</v>
      </c>
      <c r="O24" s="111" t="s">
        <v>21</v>
      </c>
      <c r="P24" s="111" t="s">
        <v>21</v>
      </c>
      <c r="Q24" s="110" t="s">
        <v>22</v>
      </c>
      <c r="R24" s="110" t="s">
        <v>22</v>
      </c>
      <c r="S24" s="112" t="s">
        <v>23</v>
      </c>
      <c r="T24" s="112" t="s">
        <v>23</v>
      </c>
      <c r="U24" s="112" t="s">
        <v>23</v>
      </c>
      <c r="V24" s="112" t="s">
        <v>23</v>
      </c>
      <c r="W24" s="110" t="s">
        <v>22</v>
      </c>
      <c r="X24" s="110" t="s">
        <v>22</v>
      </c>
      <c r="Y24" s="111" t="s">
        <v>21</v>
      </c>
      <c r="Z24" s="111" t="s">
        <v>21</v>
      </c>
      <c r="AA24" s="111" t="s">
        <v>21</v>
      </c>
      <c r="AB24" s="117" t="s">
        <v>30</v>
      </c>
      <c r="AC24" s="110" t="s">
        <v>22</v>
      </c>
      <c r="AD24" s="110" t="s">
        <v>22</v>
      </c>
      <c r="AE24" s="112" t="s">
        <v>23</v>
      </c>
      <c r="AF24" s="112" t="s">
        <v>23</v>
      </c>
      <c r="AG24" s="112" t="s">
        <v>23</v>
      </c>
      <c r="AH24" s="112" t="s">
        <v>23</v>
      </c>
      <c r="AI24" s="113" t="s">
        <v>22</v>
      </c>
      <c r="AJ24" s="19"/>
      <c r="AK24" s="19"/>
      <c r="AL24" s="170">
        <v>0</v>
      </c>
      <c r="AM24" s="21">
        <f t="shared" si="0"/>
        <v>0</v>
      </c>
      <c r="AN24" s="20">
        <f t="shared" si="1"/>
        <v>0</v>
      </c>
      <c r="AO24" s="19"/>
      <c r="AP24" s="20"/>
      <c r="AQ24" s="21">
        <f t="shared" si="2"/>
        <v>0</v>
      </c>
      <c r="AR24" s="20">
        <f t="shared" si="3"/>
        <v>0</v>
      </c>
      <c r="AS24" s="19"/>
      <c r="AT24" s="21">
        <f t="shared" si="4"/>
        <v>19</v>
      </c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</row>
    <row r="25" spans="2:61" ht="15" customHeight="1">
      <c r="B25" s="280" t="s">
        <v>72</v>
      </c>
      <c r="C25" s="88" t="s">
        <v>73</v>
      </c>
      <c r="D25" s="88" t="s">
        <v>74</v>
      </c>
      <c r="E25" s="114" t="s">
        <v>20</v>
      </c>
      <c r="F25" s="103" t="s">
        <v>22</v>
      </c>
      <c r="G25" s="104" t="s">
        <v>21</v>
      </c>
      <c r="H25" s="104" t="s">
        <v>21</v>
      </c>
      <c r="I25" s="103" t="s">
        <v>22</v>
      </c>
      <c r="J25" s="103" t="s">
        <v>22</v>
      </c>
      <c r="K25" s="102" t="s">
        <v>23</v>
      </c>
      <c r="L25" s="102" t="s">
        <v>23</v>
      </c>
      <c r="M25" s="102" t="s">
        <v>23</v>
      </c>
      <c r="N25" s="162" t="s">
        <v>30</v>
      </c>
      <c r="O25" s="103" t="s">
        <v>22</v>
      </c>
      <c r="P25" s="103" t="s">
        <v>22</v>
      </c>
      <c r="Q25" s="115" t="s">
        <v>29</v>
      </c>
      <c r="R25" s="115" t="s">
        <v>29</v>
      </c>
      <c r="S25" s="115" t="s">
        <v>29</v>
      </c>
      <c r="T25" s="115" t="s">
        <v>29</v>
      </c>
      <c r="U25" s="103" t="s">
        <v>22</v>
      </c>
      <c r="V25" s="103" t="s">
        <v>22</v>
      </c>
      <c r="W25" s="102" t="s">
        <v>23</v>
      </c>
      <c r="X25" s="102" t="s">
        <v>23</v>
      </c>
      <c r="Y25" s="102" t="s">
        <v>23</v>
      </c>
      <c r="Z25" s="102" t="s">
        <v>23</v>
      </c>
      <c r="AA25" s="103" t="s">
        <v>22</v>
      </c>
      <c r="AB25" s="103" t="s">
        <v>22</v>
      </c>
      <c r="AC25" s="104" t="s">
        <v>21</v>
      </c>
      <c r="AD25" s="104" t="s">
        <v>21</v>
      </c>
      <c r="AE25" s="104" t="s">
        <v>21</v>
      </c>
      <c r="AF25" s="104" t="s">
        <v>21</v>
      </c>
      <c r="AG25" s="103" t="s">
        <v>22</v>
      </c>
      <c r="AH25" s="103" t="s">
        <v>22</v>
      </c>
      <c r="AI25" s="105" t="s">
        <v>23</v>
      </c>
      <c r="AJ25" s="19"/>
      <c r="AK25" s="19"/>
      <c r="AL25" s="170">
        <v>4</v>
      </c>
      <c r="AM25" s="21">
        <f t="shared" si="0"/>
        <v>0</v>
      </c>
      <c r="AN25" s="20">
        <f t="shared" si="1"/>
        <v>4</v>
      </c>
      <c r="AO25" s="19"/>
      <c r="AP25" s="20"/>
      <c r="AQ25" s="21">
        <f t="shared" si="2"/>
        <v>0</v>
      </c>
      <c r="AR25" s="20">
        <f t="shared" si="3"/>
        <v>0</v>
      </c>
      <c r="AS25" s="19"/>
      <c r="AT25" s="21">
        <f t="shared" si="4"/>
        <v>18</v>
      </c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</row>
    <row r="26" spans="2:61">
      <c r="B26" s="276"/>
      <c r="C26" s="22" t="s">
        <v>75</v>
      </c>
      <c r="D26" s="20" t="s">
        <v>76</v>
      </c>
      <c r="E26" s="73" t="s">
        <v>20</v>
      </c>
      <c r="F26" s="74" t="s">
        <v>23</v>
      </c>
      <c r="G26" s="28" t="s">
        <v>22</v>
      </c>
      <c r="H26" s="28" t="s">
        <v>22</v>
      </c>
      <c r="I26" s="60" t="s">
        <v>21</v>
      </c>
      <c r="J26" s="60" t="s">
        <v>21</v>
      </c>
      <c r="K26" s="60" t="s">
        <v>21</v>
      </c>
      <c r="L26" s="60" t="s">
        <v>21</v>
      </c>
      <c r="M26" s="28" t="s">
        <v>22</v>
      </c>
      <c r="N26" s="28" t="s">
        <v>22</v>
      </c>
      <c r="O26" s="74" t="s">
        <v>23</v>
      </c>
      <c r="P26" s="74" t="s">
        <v>23</v>
      </c>
      <c r="Q26" s="74" t="s">
        <v>23</v>
      </c>
      <c r="R26" s="74" t="s">
        <v>23</v>
      </c>
      <c r="S26" s="28" t="s">
        <v>22</v>
      </c>
      <c r="T26" s="28" t="s">
        <v>22</v>
      </c>
      <c r="U26" s="106" t="s">
        <v>30</v>
      </c>
      <c r="V26" s="31" t="s">
        <v>36</v>
      </c>
      <c r="W26" s="78" t="s">
        <v>29</v>
      </c>
      <c r="X26" s="78" t="s">
        <v>29</v>
      </c>
      <c r="Y26" s="28" t="s">
        <v>22</v>
      </c>
      <c r="Z26" s="28" t="s">
        <v>22</v>
      </c>
      <c r="AA26" s="74" t="s">
        <v>23</v>
      </c>
      <c r="AB26" s="74" t="s">
        <v>23</v>
      </c>
      <c r="AC26" s="74" t="s">
        <v>23</v>
      </c>
      <c r="AD26" s="74" t="s">
        <v>23</v>
      </c>
      <c r="AE26" s="28" t="s">
        <v>22</v>
      </c>
      <c r="AF26" s="28" t="s">
        <v>22</v>
      </c>
      <c r="AG26" s="60" t="s">
        <v>21</v>
      </c>
      <c r="AH26" s="60" t="s">
        <v>21</v>
      </c>
      <c r="AI26" s="90" t="s">
        <v>21</v>
      </c>
      <c r="AJ26" s="19"/>
      <c r="AK26" s="19"/>
      <c r="AL26" s="170">
        <v>0</v>
      </c>
      <c r="AM26" s="21">
        <f t="shared" si="0"/>
        <v>0</v>
      </c>
      <c r="AN26" s="20">
        <f t="shared" si="1"/>
        <v>0</v>
      </c>
      <c r="AO26" s="19"/>
      <c r="AP26" s="20"/>
      <c r="AQ26" s="21">
        <f t="shared" si="2"/>
        <v>1</v>
      </c>
      <c r="AR26" s="20">
        <f t="shared" si="3"/>
        <v>-1</v>
      </c>
      <c r="AS26" s="19"/>
      <c r="AT26" s="21">
        <f t="shared" si="4"/>
        <v>18</v>
      </c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</row>
    <row r="27" spans="2:61" ht="15">
      <c r="B27" s="276"/>
      <c r="C27" s="22" t="s">
        <v>77</v>
      </c>
      <c r="D27" s="20" t="s">
        <v>78</v>
      </c>
      <c r="E27" s="28" t="s">
        <v>22</v>
      </c>
      <c r="F27" s="60" t="s">
        <v>21</v>
      </c>
      <c r="G27" s="60" t="s">
        <v>21</v>
      </c>
      <c r="H27" s="60" t="s">
        <v>21</v>
      </c>
      <c r="I27" s="28" t="s">
        <v>22</v>
      </c>
      <c r="J27" s="28" t="s">
        <v>22</v>
      </c>
      <c r="K27" s="74" t="s">
        <v>23</v>
      </c>
      <c r="L27" s="74" t="s">
        <v>23</v>
      </c>
      <c r="M27" s="74" t="s">
        <v>23</v>
      </c>
      <c r="N27" s="74" t="s">
        <v>23</v>
      </c>
      <c r="O27" s="28" t="s">
        <v>22</v>
      </c>
      <c r="P27" s="28" t="s">
        <v>22</v>
      </c>
      <c r="Q27" s="60" t="s">
        <v>21</v>
      </c>
      <c r="R27" s="60" t="s">
        <v>21</v>
      </c>
      <c r="S27" s="60" t="s">
        <v>21</v>
      </c>
      <c r="T27" s="60" t="s">
        <v>21</v>
      </c>
      <c r="U27" s="28" t="s">
        <v>22</v>
      </c>
      <c r="V27" s="28" t="s">
        <v>22</v>
      </c>
      <c r="W27" s="60" t="s">
        <v>21</v>
      </c>
      <c r="X27" s="60" t="s">
        <v>21</v>
      </c>
      <c r="Y27" s="60" t="s">
        <v>21</v>
      </c>
      <c r="Z27" s="60" t="s">
        <v>21</v>
      </c>
      <c r="AA27" s="28" t="s">
        <v>22</v>
      </c>
      <c r="AB27" s="28" t="s">
        <v>22</v>
      </c>
      <c r="AC27" s="78" t="s">
        <v>29</v>
      </c>
      <c r="AD27" s="78" t="s">
        <v>29</v>
      </c>
      <c r="AE27" s="78" t="s">
        <v>29</v>
      </c>
      <c r="AF27" s="78" t="s">
        <v>29</v>
      </c>
      <c r="AG27" s="28" t="s">
        <v>22</v>
      </c>
      <c r="AH27" s="28" t="s">
        <v>22</v>
      </c>
      <c r="AI27" s="89" t="s">
        <v>23</v>
      </c>
      <c r="AJ27" s="19"/>
      <c r="AK27" s="19"/>
      <c r="AL27" s="170">
        <v>11</v>
      </c>
      <c r="AM27" s="21">
        <f t="shared" si="0"/>
        <v>0</v>
      </c>
      <c r="AN27" s="20">
        <f t="shared" si="1"/>
        <v>11</v>
      </c>
      <c r="AO27" s="19"/>
      <c r="AP27" s="20"/>
      <c r="AQ27" s="21">
        <f t="shared" si="2"/>
        <v>0</v>
      </c>
      <c r="AR27" s="20">
        <f t="shared" si="3"/>
        <v>0</v>
      </c>
      <c r="AS27" s="19"/>
      <c r="AT27" s="21">
        <f t="shared" si="4"/>
        <v>20</v>
      </c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</row>
    <row r="28" spans="2:61" ht="15" customHeight="1">
      <c r="B28" s="276"/>
      <c r="C28" s="20" t="s">
        <v>79</v>
      </c>
      <c r="D28" s="20" t="s">
        <v>80</v>
      </c>
      <c r="E28" s="73" t="s">
        <v>20</v>
      </c>
      <c r="F28" s="76" t="s">
        <v>33</v>
      </c>
      <c r="G28" s="28" t="s">
        <v>22</v>
      </c>
      <c r="H28" s="28" t="s">
        <v>22</v>
      </c>
      <c r="I28" s="33" t="s">
        <v>81</v>
      </c>
      <c r="J28" s="33" t="s">
        <v>81</v>
      </c>
      <c r="K28" s="33" t="s">
        <v>81</v>
      </c>
      <c r="L28" s="33" t="s">
        <v>81</v>
      </c>
      <c r="M28" s="33" t="s">
        <v>81</v>
      </c>
      <c r="N28" s="28" t="s">
        <v>22</v>
      </c>
      <c r="O28" s="74" t="s">
        <v>23</v>
      </c>
      <c r="P28" s="74" t="s">
        <v>23</v>
      </c>
      <c r="Q28" s="74" t="s">
        <v>23</v>
      </c>
      <c r="R28" s="74" t="s">
        <v>23</v>
      </c>
      <c r="S28" s="28" t="s">
        <v>22</v>
      </c>
      <c r="T28" s="28" t="s">
        <v>22</v>
      </c>
      <c r="U28" s="60" t="s">
        <v>21</v>
      </c>
      <c r="V28" s="60" t="s">
        <v>21</v>
      </c>
      <c r="W28" s="60" t="s">
        <v>21</v>
      </c>
      <c r="X28" s="60" t="s">
        <v>21</v>
      </c>
      <c r="Y28" s="28" t="s">
        <v>22</v>
      </c>
      <c r="Z28" s="28" t="s">
        <v>22</v>
      </c>
      <c r="AA28" s="60" t="s">
        <v>21</v>
      </c>
      <c r="AB28" s="60" t="s">
        <v>21</v>
      </c>
      <c r="AC28" s="60" t="s">
        <v>21</v>
      </c>
      <c r="AD28" s="60" t="s">
        <v>21</v>
      </c>
      <c r="AE28" s="28" t="s">
        <v>22</v>
      </c>
      <c r="AF28" s="28" t="s">
        <v>22</v>
      </c>
      <c r="AG28" s="78" t="s">
        <v>29</v>
      </c>
      <c r="AH28" s="78" t="s">
        <v>29</v>
      </c>
      <c r="AI28" s="107" t="s">
        <v>29</v>
      </c>
      <c r="AJ28" s="19"/>
      <c r="AK28" s="19"/>
      <c r="AL28" s="170">
        <v>1</v>
      </c>
      <c r="AM28" s="21">
        <f t="shared" ref="AM28:AM39" si="5">COUNTIF(E28:AI28, "UA")</f>
        <v>1</v>
      </c>
      <c r="AN28" s="20">
        <f t="shared" ref="AN28:AN39" si="6">AL28-AM28</f>
        <v>0</v>
      </c>
      <c r="AO28" s="19"/>
      <c r="AP28" s="20"/>
      <c r="AQ28" s="21">
        <f t="shared" ref="AQ28:AQ39" si="7">COUNTIF(E28:AI28, "U")</f>
        <v>0</v>
      </c>
      <c r="AR28" s="20">
        <f t="shared" ref="AR28:AR39" si="8">AP28-AQ28</f>
        <v>0</v>
      </c>
      <c r="AS28" s="19"/>
      <c r="AT28" s="21">
        <f t="shared" ref="AT28:AT39" si="9">COUNTIF(E28:AI28,"P*")+COUNTIF(E28:AI28,"H*")+COUNTIF(E28:AI28,"T*")-COUNTIF(E28:AI28,"H")-COUNTIF(E28:AI28,"P")</f>
        <v>15</v>
      </c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</row>
    <row r="29" spans="2:61" ht="15">
      <c r="B29" s="276"/>
      <c r="C29" s="22" t="s">
        <v>82</v>
      </c>
      <c r="D29" s="20" t="s">
        <v>83</v>
      </c>
      <c r="E29" s="73" t="s">
        <v>20</v>
      </c>
      <c r="F29" s="28" t="s">
        <v>22</v>
      </c>
      <c r="G29" s="28" t="s">
        <v>22</v>
      </c>
      <c r="H29" s="74" t="s">
        <v>23</v>
      </c>
      <c r="I29" s="74" t="s">
        <v>23</v>
      </c>
      <c r="J29" s="74" t="s">
        <v>23</v>
      </c>
      <c r="K29" s="28" t="s">
        <v>22</v>
      </c>
      <c r="L29" s="28" t="s">
        <v>22</v>
      </c>
      <c r="M29" s="60" t="s">
        <v>21</v>
      </c>
      <c r="N29" s="60" t="s">
        <v>21</v>
      </c>
      <c r="O29" s="60" t="s">
        <v>21</v>
      </c>
      <c r="P29" s="60" t="s">
        <v>21</v>
      </c>
      <c r="Q29" s="28" t="s">
        <v>22</v>
      </c>
      <c r="R29" s="28" t="s">
        <v>22</v>
      </c>
      <c r="S29" s="74" t="s">
        <v>84</v>
      </c>
      <c r="T29" s="74" t="s">
        <v>84</v>
      </c>
      <c r="U29" s="74" t="s">
        <v>84</v>
      </c>
      <c r="V29" s="74" t="s">
        <v>84</v>
      </c>
      <c r="W29" s="28" t="s">
        <v>22</v>
      </c>
      <c r="X29" s="28" t="s">
        <v>22</v>
      </c>
      <c r="Y29" s="78" t="s">
        <v>29</v>
      </c>
      <c r="Z29" s="78" t="s">
        <v>29</v>
      </c>
      <c r="AA29" s="78" t="s">
        <v>29</v>
      </c>
      <c r="AB29" s="78" t="s">
        <v>29</v>
      </c>
      <c r="AC29" s="28" t="s">
        <v>22</v>
      </c>
      <c r="AD29" s="28" t="s">
        <v>22</v>
      </c>
      <c r="AE29" s="74" t="s">
        <v>23</v>
      </c>
      <c r="AF29" s="74" t="s">
        <v>23</v>
      </c>
      <c r="AG29" s="74" t="s">
        <v>23</v>
      </c>
      <c r="AH29" s="74" t="s">
        <v>23</v>
      </c>
      <c r="AI29" s="91" t="s">
        <v>22</v>
      </c>
      <c r="AJ29" s="19"/>
      <c r="AK29" s="19"/>
      <c r="AL29" s="170">
        <v>1</v>
      </c>
      <c r="AM29" s="21">
        <f t="shared" si="5"/>
        <v>0</v>
      </c>
      <c r="AN29" s="20">
        <f t="shared" si="6"/>
        <v>1</v>
      </c>
      <c r="AO29" s="19"/>
      <c r="AP29" s="20"/>
      <c r="AQ29" s="21">
        <f t="shared" si="7"/>
        <v>0</v>
      </c>
      <c r="AR29" s="20">
        <f t="shared" si="8"/>
        <v>0</v>
      </c>
      <c r="AS29" s="19"/>
      <c r="AT29" s="21">
        <f t="shared" si="9"/>
        <v>19</v>
      </c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</row>
    <row r="30" spans="2:61" ht="15">
      <c r="B30" s="276"/>
      <c r="C30" s="20" t="s">
        <v>85</v>
      </c>
      <c r="D30" s="20" t="s">
        <v>86</v>
      </c>
      <c r="E30" s="60" t="s">
        <v>21</v>
      </c>
      <c r="F30" s="28" t="s">
        <v>22</v>
      </c>
      <c r="G30" s="28" t="s">
        <v>22</v>
      </c>
      <c r="H30" s="74" t="s">
        <v>23</v>
      </c>
      <c r="I30" s="74" t="s">
        <v>23</v>
      </c>
      <c r="J30" s="28" t="s">
        <v>22</v>
      </c>
      <c r="K30" s="74" t="s">
        <v>23</v>
      </c>
      <c r="L30" s="74" t="s">
        <v>23</v>
      </c>
      <c r="M30" s="74" t="s">
        <v>23</v>
      </c>
      <c r="N30" s="74" t="s">
        <v>23</v>
      </c>
      <c r="O30" s="28" t="s">
        <v>22</v>
      </c>
      <c r="P30" s="28" t="s">
        <v>22</v>
      </c>
      <c r="Q30" s="60" t="s">
        <v>21</v>
      </c>
      <c r="R30" s="60" t="s">
        <v>21</v>
      </c>
      <c r="S30" s="60" t="s">
        <v>21</v>
      </c>
      <c r="T30" s="60" t="s">
        <v>21</v>
      </c>
      <c r="U30" s="28" t="s">
        <v>22</v>
      </c>
      <c r="V30" s="28" t="s">
        <v>22</v>
      </c>
      <c r="W30" s="74" t="s">
        <v>23</v>
      </c>
      <c r="X30" s="74" t="s">
        <v>23</v>
      </c>
      <c r="Y30" s="74" t="s">
        <v>23</v>
      </c>
      <c r="Z30" s="74" t="s">
        <v>23</v>
      </c>
      <c r="AA30" s="28" t="s">
        <v>22</v>
      </c>
      <c r="AB30" s="28" t="s">
        <v>22</v>
      </c>
      <c r="AC30" s="60" t="s">
        <v>21</v>
      </c>
      <c r="AD30" s="60" t="s">
        <v>21</v>
      </c>
      <c r="AE30" s="60" t="s">
        <v>21</v>
      </c>
      <c r="AF30" s="60" t="s">
        <v>21</v>
      </c>
      <c r="AG30" s="28" t="s">
        <v>22</v>
      </c>
      <c r="AH30" s="28" t="s">
        <v>22</v>
      </c>
      <c r="AI30" s="60" t="s">
        <v>21</v>
      </c>
      <c r="AJ30" s="19"/>
      <c r="AK30" s="19"/>
      <c r="AL30" s="170">
        <v>0</v>
      </c>
      <c r="AM30" s="21">
        <f t="shared" si="5"/>
        <v>0</v>
      </c>
      <c r="AN30" s="20">
        <f t="shared" si="6"/>
        <v>0</v>
      </c>
      <c r="AO30" s="19"/>
      <c r="AP30" s="26"/>
      <c r="AQ30" s="21">
        <f t="shared" si="7"/>
        <v>0</v>
      </c>
      <c r="AR30" s="44">
        <f t="shared" si="8"/>
        <v>0</v>
      </c>
      <c r="AS30" s="19"/>
      <c r="AT30" s="21">
        <f t="shared" si="9"/>
        <v>20</v>
      </c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</row>
    <row r="31" spans="2:61" ht="15">
      <c r="B31" s="276"/>
      <c r="C31" s="22" t="s">
        <v>87</v>
      </c>
      <c r="D31" s="20" t="s">
        <v>88</v>
      </c>
      <c r="E31" s="73" t="s">
        <v>20</v>
      </c>
      <c r="F31" s="76" t="s">
        <v>33</v>
      </c>
      <c r="G31" s="28" t="s">
        <v>22</v>
      </c>
      <c r="H31" s="28" t="s">
        <v>22</v>
      </c>
      <c r="I31" s="76" t="s">
        <v>33</v>
      </c>
      <c r="J31" s="76" t="s">
        <v>33</v>
      </c>
      <c r="K31" s="76" t="s">
        <v>33</v>
      </c>
      <c r="L31" s="76" t="s">
        <v>33</v>
      </c>
      <c r="M31" s="28" t="s">
        <v>22</v>
      </c>
      <c r="N31" s="28" t="s">
        <v>22</v>
      </c>
      <c r="O31" s="74" t="s">
        <v>23</v>
      </c>
      <c r="P31" s="74" t="s">
        <v>23</v>
      </c>
      <c r="Q31" s="74" t="s">
        <v>23</v>
      </c>
      <c r="R31" s="74" t="s">
        <v>23</v>
      </c>
      <c r="S31" s="28" t="s">
        <v>22</v>
      </c>
      <c r="T31" s="28" t="s">
        <v>22</v>
      </c>
      <c r="U31" s="33" t="s">
        <v>30</v>
      </c>
      <c r="V31" s="60" t="s">
        <v>21</v>
      </c>
      <c r="W31" s="60" t="s">
        <v>21</v>
      </c>
      <c r="X31" s="60" t="s">
        <v>21</v>
      </c>
      <c r="Y31" s="28" t="s">
        <v>22</v>
      </c>
      <c r="Z31" s="28" t="s">
        <v>22</v>
      </c>
      <c r="AA31" s="74" t="s">
        <v>23</v>
      </c>
      <c r="AB31" s="74" t="s">
        <v>23</v>
      </c>
      <c r="AC31" s="74" t="s">
        <v>23</v>
      </c>
      <c r="AD31" s="74" t="s">
        <v>23</v>
      </c>
      <c r="AE31" s="28" t="s">
        <v>22</v>
      </c>
      <c r="AF31" s="28" t="s">
        <v>22</v>
      </c>
      <c r="AG31" s="60" t="s">
        <v>21</v>
      </c>
      <c r="AH31" s="60" t="s">
        <v>21</v>
      </c>
      <c r="AI31" s="163" t="s">
        <v>33</v>
      </c>
      <c r="AJ31" s="19"/>
      <c r="AK31" s="19"/>
      <c r="AL31" s="170">
        <v>12</v>
      </c>
      <c r="AM31" s="21">
        <f t="shared" si="5"/>
        <v>6</v>
      </c>
      <c r="AN31" s="20">
        <f t="shared" si="6"/>
        <v>6</v>
      </c>
      <c r="AO31" s="19"/>
      <c r="AP31" s="20"/>
      <c r="AQ31" s="21">
        <f t="shared" si="7"/>
        <v>0</v>
      </c>
      <c r="AR31" s="20">
        <f t="shared" si="8"/>
        <v>0</v>
      </c>
      <c r="AS31" s="19"/>
      <c r="AT31" s="21">
        <f t="shared" si="9"/>
        <v>13</v>
      </c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</row>
    <row r="32" spans="2:61" ht="15">
      <c r="B32" s="276"/>
      <c r="C32" s="20" t="s">
        <v>89</v>
      </c>
      <c r="D32" s="20" t="s">
        <v>90</v>
      </c>
      <c r="E32" s="33" t="s">
        <v>81</v>
      </c>
      <c r="F32" s="33" t="s">
        <v>81</v>
      </c>
      <c r="G32" s="33" t="s">
        <v>81</v>
      </c>
      <c r="H32" s="33" t="s">
        <v>81</v>
      </c>
      <c r="I32" s="33" t="s">
        <v>81</v>
      </c>
      <c r="J32" s="33" t="s">
        <v>81</v>
      </c>
      <c r="K32" s="33" t="s">
        <v>81</v>
      </c>
      <c r="L32" s="33" t="s">
        <v>81</v>
      </c>
      <c r="M32" s="33" t="s">
        <v>81</v>
      </c>
      <c r="N32" s="33" t="s">
        <v>81</v>
      </c>
      <c r="O32" s="33" t="s">
        <v>81</v>
      </c>
      <c r="P32" s="33" t="s">
        <v>81</v>
      </c>
      <c r="Q32" s="28" t="s">
        <v>22</v>
      </c>
      <c r="R32" s="28" t="s">
        <v>22</v>
      </c>
      <c r="S32" s="74" t="s">
        <v>23</v>
      </c>
      <c r="T32" s="74" t="s">
        <v>23</v>
      </c>
      <c r="U32" s="74" t="s">
        <v>23</v>
      </c>
      <c r="V32" s="74" t="s">
        <v>23</v>
      </c>
      <c r="W32" s="28" t="s">
        <v>22</v>
      </c>
      <c r="X32" s="28" t="s">
        <v>22</v>
      </c>
      <c r="Y32" s="60" t="s">
        <v>21</v>
      </c>
      <c r="Z32" s="60" t="s">
        <v>21</v>
      </c>
      <c r="AA32" s="60" t="s">
        <v>21</v>
      </c>
      <c r="AB32" s="60" t="s">
        <v>21</v>
      </c>
      <c r="AC32" s="28" t="s">
        <v>22</v>
      </c>
      <c r="AD32" s="28" t="s">
        <v>22</v>
      </c>
      <c r="AE32" s="74" t="s">
        <v>23</v>
      </c>
      <c r="AF32" s="74" t="s">
        <v>23</v>
      </c>
      <c r="AG32" s="74" t="s">
        <v>23</v>
      </c>
      <c r="AH32" s="74" t="s">
        <v>23</v>
      </c>
      <c r="AI32" s="91" t="s">
        <v>22</v>
      </c>
      <c r="AJ32" s="19"/>
      <c r="AK32" s="19"/>
      <c r="AL32" s="170">
        <v>8</v>
      </c>
      <c r="AM32" s="21">
        <f t="shared" si="5"/>
        <v>0</v>
      </c>
      <c r="AN32" s="20">
        <f t="shared" si="6"/>
        <v>8</v>
      </c>
      <c r="AO32" s="19"/>
      <c r="AP32" s="20"/>
      <c r="AQ32" s="21">
        <f t="shared" si="7"/>
        <v>0</v>
      </c>
      <c r="AR32" s="20">
        <f t="shared" si="8"/>
        <v>0</v>
      </c>
      <c r="AS32" s="19"/>
      <c r="AT32" s="21">
        <f t="shared" si="9"/>
        <v>12</v>
      </c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</row>
    <row r="33" spans="2:61" ht="15">
      <c r="B33" s="276"/>
      <c r="C33" s="22" t="s">
        <v>91</v>
      </c>
      <c r="D33" s="20" t="s">
        <v>92</v>
      </c>
      <c r="E33" s="60" t="s">
        <v>21</v>
      </c>
      <c r="F33" s="60" t="s">
        <v>21</v>
      </c>
      <c r="G33" s="60" t="s">
        <v>21</v>
      </c>
      <c r="H33" s="28" t="s">
        <v>22</v>
      </c>
      <c r="I33" s="28" t="s">
        <v>22</v>
      </c>
      <c r="J33" s="74" t="s">
        <v>23</v>
      </c>
      <c r="K33" s="74" t="s">
        <v>23</v>
      </c>
      <c r="L33" s="74" t="s">
        <v>23</v>
      </c>
      <c r="M33" s="74" t="s">
        <v>23</v>
      </c>
      <c r="N33" s="28" t="s">
        <v>22</v>
      </c>
      <c r="O33" s="28" t="s">
        <v>22</v>
      </c>
      <c r="P33" s="60" t="s">
        <v>21</v>
      </c>
      <c r="Q33" s="60" t="s">
        <v>21</v>
      </c>
      <c r="R33" s="60" t="s">
        <v>21</v>
      </c>
      <c r="S33" s="60" t="s">
        <v>21</v>
      </c>
      <c r="T33" s="28" t="s">
        <v>22</v>
      </c>
      <c r="U33" s="28" t="s">
        <v>22</v>
      </c>
      <c r="V33" s="74" t="s">
        <v>23</v>
      </c>
      <c r="W33" s="74" t="s">
        <v>23</v>
      </c>
      <c r="X33" s="74" t="s">
        <v>23</v>
      </c>
      <c r="Y33" s="74" t="s">
        <v>23</v>
      </c>
      <c r="Z33" s="28" t="s">
        <v>22</v>
      </c>
      <c r="AA33" s="28" t="s">
        <v>22</v>
      </c>
      <c r="AB33" s="60" t="s">
        <v>21</v>
      </c>
      <c r="AC33" s="60" t="s">
        <v>21</v>
      </c>
      <c r="AD33" s="60" t="s">
        <v>21</v>
      </c>
      <c r="AE33" s="60" t="s">
        <v>21</v>
      </c>
      <c r="AF33" s="28" t="s">
        <v>22</v>
      </c>
      <c r="AG33" s="28" t="s">
        <v>22</v>
      </c>
      <c r="AH33" s="74" t="s">
        <v>23</v>
      </c>
      <c r="AI33" s="89" t="s">
        <v>23</v>
      </c>
      <c r="AJ33" s="19"/>
      <c r="AK33" s="19"/>
      <c r="AL33" s="170">
        <v>7</v>
      </c>
      <c r="AM33" s="21">
        <f t="shared" si="5"/>
        <v>0</v>
      </c>
      <c r="AN33" s="20">
        <f t="shared" si="6"/>
        <v>7</v>
      </c>
      <c r="AO33" s="19"/>
      <c r="AP33" s="20"/>
      <c r="AQ33" s="21">
        <f t="shared" si="7"/>
        <v>0</v>
      </c>
      <c r="AR33" s="20">
        <f t="shared" si="8"/>
        <v>0</v>
      </c>
      <c r="AS33" s="19"/>
      <c r="AT33" s="21">
        <f t="shared" si="9"/>
        <v>21</v>
      </c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</row>
    <row r="34" spans="2:61" ht="15" customHeight="1">
      <c r="B34" s="276"/>
      <c r="C34" s="20" t="s">
        <v>93</v>
      </c>
      <c r="D34" s="20" t="s">
        <v>94</v>
      </c>
      <c r="E34" s="74" t="s">
        <v>23</v>
      </c>
      <c r="F34" s="28" t="s">
        <v>22</v>
      </c>
      <c r="G34" s="28" t="s">
        <v>22</v>
      </c>
      <c r="H34" s="60" t="s">
        <v>21</v>
      </c>
      <c r="I34" s="60" t="s">
        <v>21</v>
      </c>
      <c r="J34" s="60" t="s">
        <v>21</v>
      </c>
      <c r="K34" s="60" t="s">
        <v>21</v>
      </c>
      <c r="L34" s="28" t="s">
        <v>22</v>
      </c>
      <c r="M34" s="28" t="s">
        <v>22</v>
      </c>
      <c r="N34" s="74" t="s">
        <v>23</v>
      </c>
      <c r="O34" s="74" t="s">
        <v>23</v>
      </c>
      <c r="P34" s="74" t="s">
        <v>23</v>
      </c>
      <c r="Q34" s="74" t="s">
        <v>23</v>
      </c>
      <c r="R34" s="28" t="s">
        <v>22</v>
      </c>
      <c r="S34" s="28" t="s">
        <v>22</v>
      </c>
      <c r="T34" s="60" t="s">
        <v>21</v>
      </c>
      <c r="U34" s="60" t="s">
        <v>21</v>
      </c>
      <c r="V34" s="60" t="s">
        <v>21</v>
      </c>
      <c r="W34" s="60" t="s">
        <v>21</v>
      </c>
      <c r="X34" s="28" t="s">
        <v>22</v>
      </c>
      <c r="Y34" s="28" t="s">
        <v>22</v>
      </c>
      <c r="Z34" s="74" t="s">
        <v>23</v>
      </c>
      <c r="AA34" s="74" t="s">
        <v>23</v>
      </c>
      <c r="AB34" s="74" t="s">
        <v>23</v>
      </c>
      <c r="AC34" s="74" t="s">
        <v>23</v>
      </c>
      <c r="AD34" s="28" t="s">
        <v>22</v>
      </c>
      <c r="AE34" s="28" t="s">
        <v>22</v>
      </c>
      <c r="AF34" s="76" t="s">
        <v>33</v>
      </c>
      <c r="AG34" s="60" t="s">
        <v>21</v>
      </c>
      <c r="AH34" s="60" t="s">
        <v>21</v>
      </c>
      <c r="AI34" s="90" t="s">
        <v>21</v>
      </c>
      <c r="AJ34" s="19"/>
      <c r="AK34" s="19"/>
      <c r="AL34" s="170">
        <v>1</v>
      </c>
      <c r="AM34" s="21">
        <f t="shared" si="5"/>
        <v>1</v>
      </c>
      <c r="AN34" s="20">
        <f t="shared" si="6"/>
        <v>0</v>
      </c>
      <c r="AO34" s="19"/>
      <c r="AP34" s="20"/>
      <c r="AQ34" s="21">
        <f t="shared" si="7"/>
        <v>0</v>
      </c>
      <c r="AR34" s="20">
        <f t="shared" si="8"/>
        <v>0</v>
      </c>
      <c r="AS34" s="19"/>
      <c r="AT34" s="21">
        <f t="shared" si="9"/>
        <v>20</v>
      </c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</row>
    <row r="35" spans="2:61" ht="15">
      <c r="B35" s="281"/>
      <c r="C35" s="92" t="s">
        <v>95</v>
      </c>
      <c r="D35" s="93" t="s">
        <v>96</v>
      </c>
      <c r="E35" s="94" t="s">
        <v>22</v>
      </c>
      <c r="F35" s="96" t="s">
        <v>23</v>
      </c>
      <c r="G35" s="96" t="s">
        <v>23</v>
      </c>
      <c r="H35" s="96" t="s">
        <v>23</v>
      </c>
      <c r="I35" s="136" t="s">
        <v>30</v>
      </c>
      <c r="J35" s="94" t="s">
        <v>22</v>
      </c>
      <c r="K35" s="94" t="s">
        <v>22</v>
      </c>
      <c r="L35" s="95" t="s">
        <v>21</v>
      </c>
      <c r="M35" s="95" t="s">
        <v>21</v>
      </c>
      <c r="N35" s="95" t="s">
        <v>21</v>
      </c>
      <c r="O35" s="95" t="s">
        <v>21</v>
      </c>
      <c r="P35" s="94" t="s">
        <v>22</v>
      </c>
      <c r="Q35" s="94" t="s">
        <v>22</v>
      </c>
      <c r="R35" s="96" t="s">
        <v>23</v>
      </c>
      <c r="S35" s="96" t="s">
        <v>23</v>
      </c>
      <c r="T35" s="96" t="s">
        <v>23</v>
      </c>
      <c r="U35" s="96" t="s">
        <v>23</v>
      </c>
      <c r="V35" s="94" t="s">
        <v>22</v>
      </c>
      <c r="W35" s="94" t="s">
        <v>22</v>
      </c>
      <c r="X35" s="95" t="s">
        <v>21</v>
      </c>
      <c r="Y35" s="95" t="s">
        <v>21</v>
      </c>
      <c r="Z35" s="95" t="s">
        <v>21</v>
      </c>
      <c r="AA35" s="95" t="s">
        <v>21</v>
      </c>
      <c r="AB35" s="94" t="s">
        <v>22</v>
      </c>
      <c r="AC35" s="94" t="s">
        <v>22</v>
      </c>
      <c r="AD35" s="96" t="s">
        <v>23</v>
      </c>
      <c r="AE35" s="96" t="s">
        <v>23</v>
      </c>
      <c r="AF35" s="96" t="s">
        <v>23</v>
      </c>
      <c r="AG35" s="96" t="s">
        <v>23</v>
      </c>
      <c r="AH35" s="94" t="s">
        <v>22</v>
      </c>
      <c r="AI35" s="97" t="s">
        <v>22</v>
      </c>
      <c r="AJ35" s="19"/>
      <c r="AK35" s="19"/>
      <c r="AL35" s="170">
        <v>5</v>
      </c>
      <c r="AM35" s="21">
        <f t="shared" si="5"/>
        <v>0</v>
      </c>
      <c r="AN35" s="20">
        <f t="shared" si="6"/>
        <v>5</v>
      </c>
      <c r="AO35" s="19"/>
      <c r="AP35" s="20"/>
      <c r="AQ35" s="21">
        <f t="shared" si="7"/>
        <v>0</v>
      </c>
      <c r="AR35" s="20">
        <f t="shared" si="8"/>
        <v>0</v>
      </c>
      <c r="AS35" s="19"/>
      <c r="AT35" s="21">
        <f t="shared" si="9"/>
        <v>19</v>
      </c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</row>
    <row r="36" spans="2:61" ht="15">
      <c r="B36" s="277" t="s">
        <v>97</v>
      </c>
      <c r="C36" s="22" t="s">
        <v>98</v>
      </c>
      <c r="D36" s="164" t="s">
        <v>99</v>
      </c>
      <c r="E36" s="165" t="s">
        <v>22</v>
      </c>
      <c r="F36" s="166" t="s">
        <v>100</v>
      </c>
      <c r="G36" s="166" t="s">
        <v>100</v>
      </c>
      <c r="H36" s="166" t="s">
        <v>100</v>
      </c>
      <c r="I36" s="166" t="s">
        <v>100</v>
      </c>
      <c r="J36" s="167" t="s">
        <v>22</v>
      </c>
      <c r="K36" s="167" t="s">
        <v>22</v>
      </c>
      <c r="L36" s="168" t="s">
        <v>66</v>
      </c>
      <c r="M36" s="168" t="s">
        <v>66</v>
      </c>
      <c r="N36" s="168" t="s">
        <v>66</v>
      </c>
      <c r="O36" s="168" t="s">
        <v>66</v>
      </c>
      <c r="P36" s="167" t="s">
        <v>22</v>
      </c>
      <c r="Q36" s="167" t="s">
        <v>22</v>
      </c>
      <c r="R36" s="166" t="s">
        <v>100</v>
      </c>
      <c r="S36" s="166" t="s">
        <v>100</v>
      </c>
      <c r="T36" s="166" t="s">
        <v>100</v>
      </c>
      <c r="U36" s="166" t="s">
        <v>100</v>
      </c>
      <c r="V36" s="167" t="s">
        <v>22</v>
      </c>
      <c r="W36" s="167" t="s">
        <v>22</v>
      </c>
      <c r="X36" s="168" t="s">
        <v>66</v>
      </c>
      <c r="Y36" s="168" t="s">
        <v>66</v>
      </c>
      <c r="Z36" s="168" t="s">
        <v>66</v>
      </c>
      <c r="AA36" s="168" t="s">
        <v>66</v>
      </c>
      <c r="AB36" s="167" t="s">
        <v>22</v>
      </c>
      <c r="AC36" s="167" t="s">
        <v>22</v>
      </c>
      <c r="AD36" s="166" t="s">
        <v>100</v>
      </c>
      <c r="AE36" s="166" t="s">
        <v>100</v>
      </c>
      <c r="AF36" s="166" t="s">
        <v>100</v>
      </c>
      <c r="AG36" s="166" t="s">
        <v>100</v>
      </c>
      <c r="AH36" s="167" t="s">
        <v>22</v>
      </c>
      <c r="AI36" s="169" t="s">
        <v>22</v>
      </c>
      <c r="AJ36" s="19"/>
      <c r="AK36" s="19"/>
      <c r="AL36" s="170">
        <v>0</v>
      </c>
      <c r="AM36" s="21">
        <f t="shared" si="5"/>
        <v>0</v>
      </c>
      <c r="AN36" s="20">
        <f t="shared" si="6"/>
        <v>0</v>
      </c>
      <c r="AO36" s="19"/>
      <c r="AP36" s="20"/>
      <c r="AQ36" s="21">
        <f t="shared" si="7"/>
        <v>0</v>
      </c>
      <c r="AR36" s="20">
        <f t="shared" si="8"/>
        <v>0</v>
      </c>
      <c r="AS36" s="19"/>
      <c r="AT36" s="21">
        <f t="shared" si="9"/>
        <v>20</v>
      </c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</row>
    <row r="37" spans="2:61" ht="15">
      <c r="B37" s="278"/>
      <c r="C37" s="22" t="s">
        <v>101</v>
      </c>
      <c r="D37" s="138" t="s">
        <v>102</v>
      </c>
      <c r="E37" s="147" t="s">
        <v>20</v>
      </c>
      <c r="F37" s="140" t="s">
        <v>22</v>
      </c>
      <c r="G37" s="140" t="s">
        <v>22</v>
      </c>
      <c r="H37" s="33" t="s">
        <v>30</v>
      </c>
      <c r="I37" s="142" t="s">
        <v>66</v>
      </c>
      <c r="J37" s="142" t="s">
        <v>66</v>
      </c>
      <c r="K37" s="142" t="s">
        <v>66</v>
      </c>
      <c r="L37" s="140" t="s">
        <v>22</v>
      </c>
      <c r="M37" s="140" t="s">
        <v>22</v>
      </c>
      <c r="N37" s="141" t="s">
        <v>100</v>
      </c>
      <c r="O37" s="141" t="s">
        <v>100</v>
      </c>
      <c r="P37" s="141" t="s">
        <v>100</v>
      </c>
      <c r="Q37" s="141" t="s">
        <v>100</v>
      </c>
      <c r="R37" s="140" t="s">
        <v>22</v>
      </c>
      <c r="S37" s="140" t="s">
        <v>22</v>
      </c>
      <c r="T37" s="142" t="s">
        <v>66</v>
      </c>
      <c r="U37" s="142" t="s">
        <v>66</v>
      </c>
      <c r="V37" s="142" t="s">
        <v>66</v>
      </c>
      <c r="W37" s="142" t="s">
        <v>66</v>
      </c>
      <c r="X37" s="140" t="s">
        <v>22</v>
      </c>
      <c r="Y37" s="140" t="s">
        <v>22</v>
      </c>
      <c r="Z37" s="141" t="s">
        <v>100</v>
      </c>
      <c r="AA37" s="141" t="s">
        <v>100</v>
      </c>
      <c r="AB37" s="141" t="s">
        <v>100</v>
      </c>
      <c r="AC37" s="141" t="s">
        <v>100</v>
      </c>
      <c r="AD37" s="140" t="s">
        <v>22</v>
      </c>
      <c r="AE37" s="140" t="s">
        <v>22</v>
      </c>
      <c r="AF37" s="142" t="s">
        <v>66</v>
      </c>
      <c r="AG37" s="142" t="s">
        <v>66</v>
      </c>
      <c r="AH37" s="142" t="s">
        <v>66</v>
      </c>
      <c r="AI37" s="146" t="s">
        <v>66</v>
      </c>
      <c r="AJ37" s="19"/>
      <c r="AK37" s="19"/>
      <c r="AL37" s="170">
        <v>0</v>
      </c>
      <c r="AM37" s="21">
        <f t="shared" si="5"/>
        <v>0</v>
      </c>
      <c r="AN37" s="20">
        <f t="shared" si="6"/>
        <v>0</v>
      </c>
      <c r="AO37" s="19"/>
      <c r="AP37" s="20"/>
      <c r="AQ37" s="21">
        <f t="shared" si="7"/>
        <v>0</v>
      </c>
      <c r="AR37" s="20">
        <f t="shared" si="8"/>
        <v>0</v>
      </c>
      <c r="AS37" s="19"/>
      <c r="AT37" s="21">
        <f t="shared" si="9"/>
        <v>19</v>
      </c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</row>
    <row r="38" spans="2:61" ht="15">
      <c r="B38" s="278"/>
      <c r="C38" s="20" t="s">
        <v>103</v>
      </c>
      <c r="D38" s="138" t="s">
        <v>104</v>
      </c>
      <c r="E38" s="147" t="s">
        <v>20</v>
      </c>
      <c r="F38" s="142" t="s">
        <v>66</v>
      </c>
      <c r="G38" s="142" t="s">
        <v>66</v>
      </c>
      <c r="H38" s="140" t="s">
        <v>22</v>
      </c>
      <c r="I38" s="140" t="s">
        <v>22</v>
      </c>
      <c r="J38" s="143" t="s">
        <v>100</v>
      </c>
      <c r="K38" s="143" t="s">
        <v>100</v>
      </c>
      <c r="L38" s="143" t="s">
        <v>100</v>
      </c>
      <c r="M38" s="143" t="s">
        <v>100</v>
      </c>
      <c r="N38" s="140" t="s">
        <v>22</v>
      </c>
      <c r="O38" s="140" t="s">
        <v>22</v>
      </c>
      <c r="P38" s="142" t="s">
        <v>66</v>
      </c>
      <c r="Q38" s="142" t="s">
        <v>66</v>
      </c>
      <c r="R38" s="142" t="s">
        <v>66</v>
      </c>
      <c r="S38" s="142" t="s">
        <v>66</v>
      </c>
      <c r="T38" s="140" t="s">
        <v>22</v>
      </c>
      <c r="U38" s="140" t="s">
        <v>22</v>
      </c>
      <c r="V38" s="141" t="s">
        <v>100</v>
      </c>
      <c r="W38" s="141" t="s">
        <v>100</v>
      </c>
      <c r="X38" s="141" t="s">
        <v>100</v>
      </c>
      <c r="Y38" s="141" t="s">
        <v>100</v>
      </c>
      <c r="Z38" s="140" t="s">
        <v>22</v>
      </c>
      <c r="AA38" s="140" t="s">
        <v>22</v>
      </c>
      <c r="AB38" s="142" t="s">
        <v>66</v>
      </c>
      <c r="AC38" s="142" t="s">
        <v>66</v>
      </c>
      <c r="AD38" s="142" t="s">
        <v>66</v>
      </c>
      <c r="AE38" s="142" t="s">
        <v>66</v>
      </c>
      <c r="AF38" s="140" t="s">
        <v>22</v>
      </c>
      <c r="AG38" s="140" t="s">
        <v>22</v>
      </c>
      <c r="AH38" s="141" t="s">
        <v>100</v>
      </c>
      <c r="AI38" s="148" t="s">
        <v>100</v>
      </c>
      <c r="AJ38" s="19"/>
      <c r="AK38" s="19"/>
      <c r="AL38" s="170">
        <v>0</v>
      </c>
      <c r="AM38" s="21">
        <f t="shared" si="5"/>
        <v>0</v>
      </c>
      <c r="AN38" s="20">
        <f t="shared" si="6"/>
        <v>0</v>
      </c>
      <c r="AO38" s="19"/>
      <c r="AP38" s="20"/>
      <c r="AQ38" s="21">
        <f t="shared" si="7"/>
        <v>0</v>
      </c>
      <c r="AR38" s="20">
        <f t="shared" si="8"/>
        <v>0</v>
      </c>
      <c r="AS38" s="19"/>
      <c r="AT38" s="21">
        <f t="shared" si="9"/>
        <v>20</v>
      </c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</row>
    <row r="39" spans="2:61" ht="15">
      <c r="B39" s="279"/>
      <c r="C39" s="108" t="s">
        <v>105</v>
      </c>
      <c r="D39" s="144" t="s">
        <v>106</v>
      </c>
      <c r="E39" s="149" t="s">
        <v>107</v>
      </c>
      <c r="F39" s="150" t="s">
        <v>107</v>
      </c>
      <c r="G39" s="150" t="s">
        <v>107</v>
      </c>
      <c r="H39" s="150" t="s">
        <v>107</v>
      </c>
      <c r="I39" s="150" t="s">
        <v>107</v>
      </c>
      <c r="J39" s="150" t="s">
        <v>107</v>
      </c>
      <c r="K39" s="150" t="s">
        <v>107</v>
      </c>
      <c r="L39" s="150" t="s">
        <v>107</v>
      </c>
      <c r="M39" s="150" t="s">
        <v>107</v>
      </c>
      <c r="N39" s="150" t="s">
        <v>107</v>
      </c>
      <c r="O39" s="150" t="s">
        <v>107</v>
      </c>
      <c r="P39" s="150" t="s">
        <v>107</v>
      </c>
      <c r="Q39" s="150" t="s">
        <v>107</v>
      </c>
      <c r="R39" s="150" t="s">
        <v>107</v>
      </c>
      <c r="S39" s="150" t="s">
        <v>107</v>
      </c>
      <c r="T39" s="150" t="s">
        <v>107</v>
      </c>
      <c r="U39" s="150" t="s">
        <v>107</v>
      </c>
      <c r="V39" s="150" t="s">
        <v>107</v>
      </c>
      <c r="W39" s="150" t="s">
        <v>107</v>
      </c>
      <c r="X39" s="150" t="s">
        <v>107</v>
      </c>
      <c r="Y39" s="150" t="s">
        <v>107</v>
      </c>
      <c r="Z39" s="150" t="s">
        <v>107</v>
      </c>
      <c r="AA39" s="150" t="s">
        <v>107</v>
      </c>
      <c r="AB39" s="150" t="s">
        <v>107</v>
      </c>
      <c r="AC39" s="150" t="s">
        <v>107</v>
      </c>
      <c r="AD39" s="150" t="s">
        <v>107</v>
      </c>
      <c r="AE39" s="150" t="s">
        <v>107</v>
      </c>
      <c r="AF39" s="150" t="s">
        <v>107</v>
      </c>
      <c r="AG39" s="150" t="s">
        <v>107</v>
      </c>
      <c r="AH39" s="150" t="s">
        <v>107</v>
      </c>
      <c r="AI39" s="151" t="s">
        <v>107</v>
      </c>
      <c r="AJ39" s="19"/>
      <c r="AK39" s="19"/>
      <c r="AL39" s="170">
        <v>19</v>
      </c>
      <c r="AM39" s="21">
        <f t="shared" si="5"/>
        <v>0</v>
      </c>
      <c r="AN39" s="20">
        <f t="shared" si="6"/>
        <v>19</v>
      </c>
      <c r="AO39" s="19"/>
      <c r="AP39" s="20"/>
      <c r="AQ39" s="21">
        <f t="shared" si="7"/>
        <v>0</v>
      </c>
      <c r="AR39" s="20">
        <f t="shared" si="8"/>
        <v>0</v>
      </c>
      <c r="AS39" s="19"/>
      <c r="AT39" s="21">
        <f t="shared" si="9"/>
        <v>0</v>
      </c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</row>
    <row r="40" spans="2:61" ht="15" customHeight="1">
      <c r="B40" s="280" t="s">
        <v>108</v>
      </c>
      <c r="C40" s="88" t="s">
        <v>109</v>
      </c>
      <c r="D40" s="137" t="s">
        <v>110</v>
      </c>
      <c r="E40" s="33" t="s">
        <v>81</v>
      </c>
      <c r="F40" s="33" t="s">
        <v>107</v>
      </c>
      <c r="G40" s="33" t="s">
        <v>107</v>
      </c>
      <c r="H40" s="33" t="s">
        <v>107</v>
      </c>
      <c r="I40" s="33" t="s">
        <v>107</v>
      </c>
      <c r="J40" s="33" t="s">
        <v>107</v>
      </c>
      <c r="K40" s="33" t="s">
        <v>107</v>
      </c>
      <c r="L40" s="33" t="s">
        <v>107</v>
      </c>
      <c r="M40" s="33" t="s">
        <v>107</v>
      </c>
      <c r="N40" s="33" t="s">
        <v>107</v>
      </c>
      <c r="O40" s="33" t="s">
        <v>107</v>
      </c>
      <c r="P40" s="33" t="s">
        <v>107</v>
      </c>
      <c r="Q40" s="33" t="s">
        <v>107</v>
      </c>
      <c r="R40" s="33" t="s">
        <v>107</v>
      </c>
      <c r="S40" s="33" t="s">
        <v>107</v>
      </c>
      <c r="T40" s="33" t="s">
        <v>107</v>
      </c>
      <c r="U40" s="33" t="s">
        <v>107</v>
      </c>
      <c r="V40" s="33" t="s">
        <v>107</v>
      </c>
      <c r="W40" s="33" t="s">
        <v>107</v>
      </c>
      <c r="X40" s="33" t="s">
        <v>107</v>
      </c>
      <c r="Y40" s="33" t="s">
        <v>107</v>
      </c>
      <c r="Z40" s="33" t="s">
        <v>107</v>
      </c>
      <c r="AA40" s="33" t="s">
        <v>107</v>
      </c>
      <c r="AB40" s="33" t="s">
        <v>107</v>
      </c>
      <c r="AC40" s="33" t="s">
        <v>107</v>
      </c>
      <c r="AD40" s="33" t="s">
        <v>107</v>
      </c>
      <c r="AE40" s="33" t="s">
        <v>107</v>
      </c>
      <c r="AF40" s="33" t="s">
        <v>107</v>
      </c>
      <c r="AG40" s="33" t="s">
        <v>107</v>
      </c>
      <c r="AH40" s="33" t="s">
        <v>107</v>
      </c>
      <c r="AI40" s="33" t="s">
        <v>107</v>
      </c>
      <c r="AJ40" s="19"/>
      <c r="AK40" s="19"/>
      <c r="AL40" s="170">
        <v>14</v>
      </c>
      <c r="AM40" s="21">
        <f t="shared" ref="AM40:AM47" si="10">COUNTIF(E40:AI40, "UA")</f>
        <v>0</v>
      </c>
      <c r="AN40" s="20">
        <f t="shared" ref="AN40:AN47" si="11">AL40-AM40</f>
        <v>14</v>
      </c>
      <c r="AO40" s="19"/>
      <c r="AP40" s="20"/>
      <c r="AQ40" s="21">
        <f t="shared" ref="AQ40:AQ47" si="12">COUNTIF(E40:AI40, "U")</f>
        <v>0</v>
      </c>
      <c r="AR40" s="20">
        <f t="shared" ref="AR40:AR47" si="13">AP40-AQ40</f>
        <v>0</v>
      </c>
      <c r="AS40" s="19"/>
      <c r="AT40" s="21">
        <f t="shared" ref="AT40:AT47" si="14">COUNTIF(E40:AI40,"P*")+COUNTIF(E40:AI40,"H*")+COUNTIF(E40:AI40,"T*")-COUNTIF(E40:AI40,"H")-COUNTIF(E40:AI40,"P")</f>
        <v>0</v>
      </c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</row>
    <row r="41" spans="2:61" ht="15">
      <c r="B41" s="276"/>
      <c r="C41" s="22" t="s">
        <v>111</v>
      </c>
      <c r="D41" s="138" t="s">
        <v>112</v>
      </c>
      <c r="E41" s="131" t="s">
        <v>20</v>
      </c>
      <c r="F41" s="80" t="s">
        <v>113</v>
      </c>
      <c r="G41" s="28" t="s">
        <v>22</v>
      </c>
      <c r="H41" s="28" t="s">
        <v>22</v>
      </c>
      <c r="I41" s="80" t="s">
        <v>113</v>
      </c>
      <c r="J41" s="80" t="s">
        <v>113</v>
      </c>
      <c r="K41" s="80" t="s">
        <v>113</v>
      </c>
      <c r="L41" s="80" t="s">
        <v>113</v>
      </c>
      <c r="M41" s="80" t="s">
        <v>113</v>
      </c>
      <c r="N41" s="28" t="s">
        <v>22</v>
      </c>
      <c r="O41" s="28" t="s">
        <v>22</v>
      </c>
      <c r="P41" s="80" t="s">
        <v>113</v>
      </c>
      <c r="Q41" s="80" t="s">
        <v>113</v>
      </c>
      <c r="R41" s="80" t="s">
        <v>113</v>
      </c>
      <c r="S41" s="80" t="s">
        <v>113</v>
      </c>
      <c r="T41" s="80" t="s">
        <v>113</v>
      </c>
      <c r="U41" s="28" t="s">
        <v>22</v>
      </c>
      <c r="V41" s="28" t="s">
        <v>22</v>
      </c>
      <c r="W41" s="80" t="s">
        <v>113</v>
      </c>
      <c r="X41" s="80" t="s">
        <v>113</v>
      </c>
      <c r="Y41" s="80" t="s">
        <v>113</v>
      </c>
      <c r="Z41" s="80" t="s">
        <v>113</v>
      </c>
      <c r="AA41" s="80" t="s">
        <v>113</v>
      </c>
      <c r="AB41" s="28" t="s">
        <v>22</v>
      </c>
      <c r="AC41" s="28" t="s">
        <v>22</v>
      </c>
      <c r="AD41" s="80" t="s">
        <v>113</v>
      </c>
      <c r="AE41" s="80" t="s">
        <v>113</v>
      </c>
      <c r="AF41" s="80" t="s">
        <v>113</v>
      </c>
      <c r="AG41" s="80" t="s">
        <v>113</v>
      </c>
      <c r="AH41" s="80" t="s">
        <v>113</v>
      </c>
      <c r="AI41" s="91" t="s">
        <v>22</v>
      </c>
      <c r="AJ41" s="19"/>
      <c r="AK41" s="19"/>
      <c r="AL41" s="170">
        <v>0</v>
      </c>
      <c r="AM41" s="21">
        <f t="shared" si="10"/>
        <v>0</v>
      </c>
      <c r="AN41" s="20">
        <f t="shared" si="11"/>
        <v>0</v>
      </c>
      <c r="AO41" s="19"/>
      <c r="AP41" s="20"/>
      <c r="AQ41" s="21">
        <f t="shared" si="12"/>
        <v>0</v>
      </c>
      <c r="AR41" s="20">
        <f t="shared" si="13"/>
        <v>0</v>
      </c>
      <c r="AS41" s="19"/>
      <c r="AT41" s="21">
        <f t="shared" si="14"/>
        <v>21</v>
      </c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</row>
    <row r="42" spans="2:61" ht="15">
      <c r="B42" s="276"/>
      <c r="C42" s="20" t="s">
        <v>114</v>
      </c>
      <c r="D42" s="138" t="s">
        <v>115</v>
      </c>
      <c r="E42" s="131" t="s">
        <v>20</v>
      </c>
      <c r="F42" s="31" t="s">
        <v>36</v>
      </c>
      <c r="G42" s="28" t="s">
        <v>22</v>
      </c>
      <c r="H42" s="28" t="s">
        <v>22</v>
      </c>
      <c r="I42" s="81" t="s">
        <v>116</v>
      </c>
      <c r="J42" s="81" t="s">
        <v>116</v>
      </c>
      <c r="K42" s="81" t="s">
        <v>116</v>
      </c>
      <c r="L42" s="81" t="s">
        <v>116</v>
      </c>
      <c r="M42" s="81" t="s">
        <v>116</v>
      </c>
      <c r="N42" s="28" t="s">
        <v>22</v>
      </c>
      <c r="O42" s="28" t="s">
        <v>22</v>
      </c>
      <c r="P42" s="81" t="s">
        <v>116</v>
      </c>
      <c r="Q42" s="81" t="s">
        <v>116</v>
      </c>
      <c r="R42" s="75" t="s">
        <v>26</v>
      </c>
      <c r="S42" s="31" t="s">
        <v>36</v>
      </c>
      <c r="T42" s="31" t="s">
        <v>36</v>
      </c>
      <c r="U42" s="28" t="s">
        <v>22</v>
      </c>
      <c r="V42" s="28" t="s">
        <v>22</v>
      </c>
      <c r="W42" s="81" t="s">
        <v>116</v>
      </c>
      <c r="X42" s="81" t="s">
        <v>116</v>
      </c>
      <c r="Y42" s="81" t="s">
        <v>116</v>
      </c>
      <c r="Z42" s="81" t="s">
        <v>116</v>
      </c>
      <c r="AA42" s="81" t="s">
        <v>116</v>
      </c>
      <c r="AB42" s="28" t="s">
        <v>22</v>
      </c>
      <c r="AC42" s="28" t="s">
        <v>22</v>
      </c>
      <c r="AD42" s="81" t="s">
        <v>116</v>
      </c>
      <c r="AE42" s="81" t="s">
        <v>116</v>
      </c>
      <c r="AF42" s="81" t="s">
        <v>116</v>
      </c>
      <c r="AG42" s="81" t="s">
        <v>116</v>
      </c>
      <c r="AH42" s="81" t="s">
        <v>116</v>
      </c>
      <c r="AI42" s="91" t="s">
        <v>22</v>
      </c>
      <c r="AJ42" s="19"/>
      <c r="AK42" s="19"/>
      <c r="AL42" s="170">
        <v>0</v>
      </c>
      <c r="AM42" s="21">
        <f t="shared" si="10"/>
        <v>0</v>
      </c>
      <c r="AN42" s="20">
        <f t="shared" si="11"/>
        <v>0</v>
      </c>
      <c r="AO42" s="19"/>
      <c r="AP42" s="26"/>
      <c r="AQ42" s="21">
        <f t="shared" si="12"/>
        <v>3</v>
      </c>
      <c r="AR42" s="44">
        <f t="shared" si="13"/>
        <v>-3</v>
      </c>
      <c r="AS42" s="19"/>
      <c r="AT42" s="21">
        <f t="shared" si="14"/>
        <v>17</v>
      </c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</row>
    <row r="43" spans="2:61" ht="15">
      <c r="B43" s="276"/>
      <c r="C43" s="22" t="s">
        <v>117</v>
      </c>
      <c r="D43" s="138" t="s">
        <v>118</v>
      </c>
      <c r="E43" s="132" t="s">
        <v>21</v>
      </c>
      <c r="F43" s="28" t="s">
        <v>22</v>
      </c>
      <c r="G43" s="28" t="s">
        <v>22</v>
      </c>
      <c r="H43" s="82" t="s">
        <v>22</v>
      </c>
      <c r="I43" s="60" t="s">
        <v>21</v>
      </c>
      <c r="J43" s="74" t="s">
        <v>23</v>
      </c>
      <c r="K43" s="33" t="s">
        <v>30</v>
      </c>
      <c r="L43" s="28" t="s">
        <v>22</v>
      </c>
      <c r="M43" s="28" t="s">
        <v>22</v>
      </c>
      <c r="N43" s="60" t="s">
        <v>21</v>
      </c>
      <c r="O43" s="60" t="s">
        <v>21</v>
      </c>
      <c r="P43" s="60" t="s">
        <v>21</v>
      </c>
      <c r="Q43" s="60" t="s">
        <v>21</v>
      </c>
      <c r="R43" s="28" t="s">
        <v>22</v>
      </c>
      <c r="S43" s="28" t="s">
        <v>22</v>
      </c>
      <c r="T43" s="60" t="s">
        <v>21</v>
      </c>
      <c r="U43" s="60" t="s">
        <v>21</v>
      </c>
      <c r="V43" s="74" t="s">
        <v>23</v>
      </c>
      <c r="W43" s="74" t="s">
        <v>23</v>
      </c>
      <c r="X43" s="28" t="s">
        <v>22</v>
      </c>
      <c r="Y43" s="28" t="s">
        <v>22</v>
      </c>
      <c r="Z43" s="60" t="s">
        <v>21</v>
      </c>
      <c r="AA43" s="60" t="s">
        <v>21</v>
      </c>
      <c r="AB43" s="60" t="s">
        <v>21</v>
      </c>
      <c r="AC43" s="60" t="s">
        <v>21</v>
      </c>
      <c r="AD43" s="28" t="s">
        <v>22</v>
      </c>
      <c r="AE43" s="28" t="s">
        <v>22</v>
      </c>
      <c r="AF43" s="74" t="s">
        <v>23</v>
      </c>
      <c r="AG43" s="74" t="s">
        <v>23</v>
      </c>
      <c r="AH43" s="74" t="s">
        <v>23</v>
      </c>
      <c r="AI43" s="89" t="s">
        <v>23</v>
      </c>
      <c r="AJ43" s="19"/>
      <c r="AK43" s="19"/>
      <c r="AL43" s="170">
        <v>0</v>
      </c>
      <c r="AM43" s="21">
        <f t="shared" si="10"/>
        <v>0</v>
      </c>
      <c r="AN43" s="20">
        <f t="shared" si="11"/>
        <v>0</v>
      </c>
      <c r="AO43" s="19"/>
      <c r="AP43" s="20"/>
      <c r="AQ43" s="21">
        <f t="shared" si="12"/>
        <v>0</v>
      </c>
      <c r="AR43" s="20">
        <f t="shared" si="13"/>
        <v>0</v>
      </c>
      <c r="AS43" s="19"/>
      <c r="AT43" s="21">
        <f t="shared" si="14"/>
        <v>19</v>
      </c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</row>
    <row r="44" spans="2:61" ht="15">
      <c r="B44" s="276"/>
      <c r="C44" s="20" t="s">
        <v>119</v>
      </c>
      <c r="D44" s="138" t="s">
        <v>120</v>
      </c>
      <c r="E44" s="131" t="s">
        <v>20</v>
      </c>
      <c r="F44" s="28" t="s">
        <v>22</v>
      </c>
      <c r="G44" s="28" t="s">
        <v>22</v>
      </c>
      <c r="H44" s="74" t="s">
        <v>23</v>
      </c>
      <c r="I44" s="74" t="s">
        <v>23</v>
      </c>
      <c r="J44" s="74" t="s">
        <v>23</v>
      </c>
      <c r="K44" s="74" t="s">
        <v>23</v>
      </c>
      <c r="L44" s="28" t="s">
        <v>22</v>
      </c>
      <c r="M44" s="28" t="s">
        <v>22</v>
      </c>
      <c r="N44" s="60" t="s">
        <v>21</v>
      </c>
      <c r="O44" s="60" t="s">
        <v>21</v>
      </c>
      <c r="P44" s="60" t="s">
        <v>21</v>
      </c>
      <c r="Q44" s="60" t="s">
        <v>21</v>
      </c>
      <c r="R44" s="28" t="s">
        <v>22</v>
      </c>
      <c r="S44" s="28" t="s">
        <v>22</v>
      </c>
      <c r="T44" s="74" t="s">
        <v>23</v>
      </c>
      <c r="U44" s="74" t="s">
        <v>23</v>
      </c>
      <c r="V44" s="74" t="s">
        <v>23</v>
      </c>
      <c r="W44" s="74" t="s">
        <v>23</v>
      </c>
      <c r="X44" s="28" t="s">
        <v>22</v>
      </c>
      <c r="Y44" s="28" t="s">
        <v>22</v>
      </c>
      <c r="Z44" s="60" t="s">
        <v>21</v>
      </c>
      <c r="AA44" s="60" t="s">
        <v>21</v>
      </c>
      <c r="AB44" s="60" t="s">
        <v>21</v>
      </c>
      <c r="AC44" s="60" t="s">
        <v>21</v>
      </c>
      <c r="AD44" s="28" t="s">
        <v>22</v>
      </c>
      <c r="AE44" s="28" t="s">
        <v>22</v>
      </c>
      <c r="AF44" s="75" t="s">
        <v>26</v>
      </c>
      <c r="AG44" s="74" t="s">
        <v>23</v>
      </c>
      <c r="AH44" s="74" t="s">
        <v>23</v>
      </c>
      <c r="AI44" s="89" t="s">
        <v>23</v>
      </c>
      <c r="AJ44" s="19"/>
      <c r="AK44" s="19"/>
      <c r="AL44" s="170">
        <v>2</v>
      </c>
      <c r="AM44" s="21">
        <f t="shared" si="10"/>
        <v>0</v>
      </c>
      <c r="AN44" s="20">
        <f t="shared" si="11"/>
        <v>2</v>
      </c>
      <c r="AO44" s="19"/>
      <c r="AP44" s="20"/>
      <c r="AQ44" s="21">
        <f t="shared" si="12"/>
        <v>0</v>
      </c>
      <c r="AR44" s="20">
        <f t="shared" si="13"/>
        <v>0</v>
      </c>
      <c r="AS44" s="19"/>
      <c r="AT44" s="21">
        <f t="shared" si="14"/>
        <v>19</v>
      </c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</row>
    <row r="45" spans="2:61">
      <c r="B45" s="276"/>
      <c r="C45" s="22" t="s">
        <v>121</v>
      </c>
      <c r="D45" s="138" t="s">
        <v>122</v>
      </c>
      <c r="E45" s="133" t="s">
        <v>23</v>
      </c>
      <c r="F45" s="83" t="s">
        <v>84</v>
      </c>
      <c r="G45" s="60" t="s">
        <v>21</v>
      </c>
      <c r="H45" s="60" t="s">
        <v>21</v>
      </c>
      <c r="I45" s="37" t="s">
        <v>22</v>
      </c>
      <c r="J45" s="28" t="s">
        <v>22</v>
      </c>
      <c r="K45" s="28" t="s">
        <v>22</v>
      </c>
      <c r="L45" s="29" t="s">
        <v>123</v>
      </c>
      <c r="M45" s="29" t="s">
        <v>123</v>
      </c>
      <c r="N45" s="74" t="s">
        <v>23</v>
      </c>
      <c r="O45" s="74" t="s">
        <v>23</v>
      </c>
      <c r="P45" s="28" t="s">
        <v>22</v>
      </c>
      <c r="Q45" s="28" t="s">
        <v>22</v>
      </c>
      <c r="R45" s="60" t="s">
        <v>21</v>
      </c>
      <c r="S45" s="60" t="s">
        <v>21</v>
      </c>
      <c r="T45" s="74" t="s">
        <v>23</v>
      </c>
      <c r="U45" s="74" t="s">
        <v>23</v>
      </c>
      <c r="V45" s="28" t="s">
        <v>22</v>
      </c>
      <c r="W45" s="28" t="s">
        <v>22</v>
      </c>
      <c r="X45" s="74" t="s">
        <v>23</v>
      </c>
      <c r="Y45" s="74" t="s">
        <v>23</v>
      </c>
      <c r="Z45" s="74" t="s">
        <v>23</v>
      </c>
      <c r="AA45" s="74" t="s">
        <v>23</v>
      </c>
      <c r="AB45" s="28" t="s">
        <v>22</v>
      </c>
      <c r="AC45" s="28" t="s">
        <v>22</v>
      </c>
      <c r="AD45" s="60" t="s">
        <v>21</v>
      </c>
      <c r="AE45" s="60" t="s">
        <v>21</v>
      </c>
      <c r="AF45" s="60" t="s">
        <v>21</v>
      </c>
      <c r="AG45" s="60" t="s">
        <v>21</v>
      </c>
      <c r="AH45" s="28" t="s">
        <v>22</v>
      </c>
      <c r="AI45" s="91" t="s">
        <v>22</v>
      </c>
      <c r="AJ45" s="19"/>
      <c r="AK45" s="19"/>
      <c r="AL45" s="170">
        <v>0</v>
      </c>
      <c r="AM45" s="21">
        <f t="shared" si="10"/>
        <v>0</v>
      </c>
      <c r="AN45" s="20">
        <f t="shared" si="11"/>
        <v>0</v>
      </c>
      <c r="AO45" s="19"/>
      <c r="AP45" s="20"/>
      <c r="AQ45" s="21">
        <f t="shared" si="12"/>
        <v>0</v>
      </c>
      <c r="AR45" s="20">
        <f t="shared" si="13"/>
        <v>0</v>
      </c>
      <c r="AS45" s="19"/>
      <c r="AT45" s="21">
        <f t="shared" si="14"/>
        <v>18</v>
      </c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</row>
    <row r="46" spans="2:61" ht="15" customHeight="1">
      <c r="B46" s="276"/>
      <c r="C46" s="20" t="s">
        <v>124</v>
      </c>
      <c r="D46" s="138" t="s">
        <v>125</v>
      </c>
      <c r="E46" s="134" t="s">
        <v>22</v>
      </c>
      <c r="F46" s="60" t="s">
        <v>21</v>
      </c>
      <c r="G46" s="60" t="s">
        <v>21</v>
      </c>
      <c r="H46" s="60" t="s">
        <v>21</v>
      </c>
      <c r="I46" s="60" t="s">
        <v>21</v>
      </c>
      <c r="J46" s="28" t="s">
        <v>22</v>
      </c>
      <c r="K46" s="28" t="s">
        <v>22</v>
      </c>
      <c r="L46" s="33" t="s">
        <v>81</v>
      </c>
      <c r="M46" s="33" t="s">
        <v>81</v>
      </c>
      <c r="N46" s="33" t="s">
        <v>81</v>
      </c>
      <c r="O46" s="74" t="s">
        <v>23</v>
      </c>
      <c r="P46" s="28" t="s">
        <v>22</v>
      </c>
      <c r="Q46" s="28" t="s">
        <v>22</v>
      </c>
      <c r="R46" s="60" t="s">
        <v>21</v>
      </c>
      <c r="S46" s="60" t="s">
        <v>21</v>
      </c>
      <c r="T46" s="60" t="s">
        <v>21</v>
      </c>
      <c r="U46" s="60" t="s">
        <v>21</v>
      </c>
      <c r="V46" s="28" t="s">
        <v>22</v>
      </c>
      <c r="W46" s="28" t="s">
        <v>22</v>
      </c>
      <c r="X46" s="74" t="s">
        <v>23</v>
      </c>
      <c r="Y46" s="74" t="s">
        <v>23</v>
      </c>
      <c r="Z46" s="74" t="s">
        <v>23</v>
      </c>
      <c r="AA46" s="74" t="s">
        <v>23</v>
      </c>
      <c r="AB46" s="28" t="s">
        <v>22</v>
      </c>
      <c r="AC46" s="28" t="s">
        <v>22</v>
      </c>
      <c r="AD46" s="60" t="s">
        <v>21</v>
      </c>
      <c r="AE46" s="60" t="s">
        <v>21</v>
      </c>
      <c r="AF46" s="60" t="s">
        <v>21</v>
      </c>
      <c r="AG46" s="60" t="s">
        <v>21</v>
      </c>
      <c r="AH46" s="28" t="s">
        <v>22</v>
      </c>
      <c r="AI46" s="91" t="s">
        <v>22</v>
      </c>
      <c r="AJ46" s="19"/>
      <c r="AK46" s="19"/>
      <c r="AL46" s="170">
        <v>1</v>
      </c>
      <c r="AM46" s="21">
        <f t="shared" si="10"/>
        <v>0</v>
      </c>
      <c r="AN46" s="20">
        <f t="shared" si="11"/>
        <v>1</v>
      </c>
      <c r="AO46" s="19"/>
      <c r="AP46" s="20"/>
      <c r="AQ46" s="21">
        <f t="shared" si="12"/>
        <v>0</v>
      </c>
      <c r="AR46" s="20">
        <f t="shared" si="13"/>
        <v>0</v>
      </c>
      <c r="AS46" s="19"/>
      <c r="AT46" s="21">
        <f t="shared" si="14"/>
        <v>17</v>
      </c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</row>
    <row r="47" spans="2:61" ht="15">
      <c r="B47" s="281"/>
      <c r="C47" s="92" t="s">
        <v>126</v>
      </c>
      <c r="D47" s="139" t="s">
        <v>127</v>
      </c>
      <c r="E47" s="135" t="s">
        <v>20</v>
      </c>
      <c r="F47" s="136" t="s">
        <v>30</v>
      </c>
      <c r="G47" s="96" t="s">
        <v>23</v>
      </c>
      <c r="H47" s="94" t="s">
        <v>22</v>
      </c>
      <c r="I47" s="94" t="s">
        <v>22</v>
      </c>
      <c r="J47" s="95" t="s">
        <v>21</v>
      </c>
      <c r="K47" s="95" t="s">
        <v>21</v>
      </c>
      <c r="L47" s="95" t="s">
        <v>21</v>
      </c>
      <c r="M47" s="95" t="s">
        <v>21</v>
      </c>
      <c r="N47" s="94" t="s">
        <v>22</v>
      </c>
      <c r="O47" s="94" t="s">
        <v>22</v>
      </c>
      <c r="P47" s="96" t="s">
        <v>23</v>
      </c>
      <c r="Q47" s="96" t="s">
        <v>23</v>
      </c>
      <c r="R47" s="96" t="s">
        <v>23</v>
      </c>
      <c r="S47" s="96" t="s">
        <v>23</v>
      </c>
      <c r="T47" s="94" t="s">
        <v>22</v>
      </c>
      <c r="U47" s="94" t="s">
        <v>22</v>
      </c>
      <c r="V47" s="95" t="s">
        <v>21</v>
      </c>
      <c r="W47" s="95" t="s">
        <v>21</v>
      </c>
      <c r="X47" s="95" t="s">
        <v>21</v>
      </c>
      <c r="Y47" s="95" t="s">
        <v>21</v>
      </c>
      <c r="Z47" s="94" t="s">
        <v>22</v>
      </c>
      <c r="AA47" s="94" t="s">
        <v>22</v>
      </c>
      <c r="AB47" s="96" t="s">
        <v>23</v>
      </c>
      <c r="AC47" s="96" t="s">
        <v>23</v>
      </c>
      <c r="AD47" s="96" t="s">
        <v>23</v>
      </c>
      <c r="AE47" s="96" t="s">
        <v>23</v>
      </c>
      <c r="AF47" s="94" t="s">
        <v>22</v>
      </c>
      <c r="AG47" s="94" t="s">
        <v>22</v>
      </c>
      <c r="AH47" s="95" t="s">
        <v>21</v>
      </c>
      <c r="AI47" s="122" t="s">
        <v>21</v>
      </c>
      <c r="AJ47" s="19"/>
      <c r="AK47" s="19"/>
      <c r="AL47" s="170">
        <v>2</v>
      </c>
      <c r="AM47" s="21">
        <f t="shared" si="10"/>
        <v>0</v>
      </c>
      <c r="AN47" s="20">
        <f t="shared" si="11"/>
        <v>2</v>
      </c>
      <c r="AO47" s="19"/>
      <c r="AP47" s="20"/>
      <c r="AQ47" s="21">
        <f t="shared" si="12"/>
        <v>0</v>
      </c>
      <c r="AR47" s="20">
        <f t="shared" si="13"/>
        <v>0</v>
      </c>
      <c r="AS47" s="19"/>
      <c r="AT47" s="21">
        <f t="shared" si="14"/>
        <v>19</v>
      </c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</row>
    <row r="48" spans="2:61" ht="15"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</row>
    <row r="49" spans="2:61" ht="15" customHeight="1">
      <c r="B49" s="257" t="s">
        <v>17</v>
      </c>
      <c r="C49" s="257"/>
      <c r="D49" s="157" t="s">
        <v>21</v>
      </c>
      <c r="E49" s="152">
        <f>COUNTIF(E5:E12,$D$49)</f>
        <v>1</v>
      </c>
      <c r="F49" s="152">
        <f t="shared" ref="F49:AI49" si="15">COUNTIF(F5:F12,$D$49)</f>
        <v>2</v>
      </c>
      <c r="G49" s="152">
        <f t="shared" si="15"/>
        <v>2</v>
      </c>
      <c r="H49" s="152">
        <f t="shared" si="15"/>
        <v>2</v>
      </c>
      <c r="I49" s="152">
        <f t="shared" si="15"/>
        <v>3</v>
      </c>
      <c r="J49" s="152">
        <f t="shared" si="15"/>
        <v>4</v>
      </c>
      <c r="K49" s="152">
        <f t="shared" si="15"/>
        <v>3</v>
      </c>
      <c r="L49" s="152">
        <f t="shared" si="15"/>
        <v>2</v>
      </c>
      <c r="M49" s="152">
        <f t="shared" si="15"/>
        <v>2</v>
      </c>
      <c r="N49" s="152">
        <f t="shared" si="15"/>
        <v>2</v>
      </c>
      <c r="O49" s="152">
        <f t="shared" si="15"/>
        <v>3</v>
      </c>
      <c r="P49" s="152">
        <f t="shared" si="15"/>
        <v>3</v>
      </c>
      <c r="Q49" s="152">
        <f t="shared" si="15"/>
        <v>3</v>
      </c>
      <c r="R49" s="152">
        <f t="shared" si="15"/>
        <v>2</v>
      </c>
      <c r="S49" s="152">
        <f t="shared" si="15"/>
        <v>2</v>
      </c>
      <c r="T49" s="152">
        <f t="shared" si="15"/>
        <v>2</v>
      </c>
      <c r="U49" s="152">
        <f t="shared" si="15"/>
        <v>2</v>
      </c>
      <c r="V49" s="152">
        <f t="shared" si="15"/>
        <v>3</v>
      </c>
      <c r="W49" s="152">
        <f t="shared" si="15"/>
        <v>3</v>
      </c>
      <c r="X49" s="152">
        <f t="shared" si="15"/>
        <v>3</v>
      </c>
      <c r="Y49" s="152">
        <f t="shared" si="15"/>
        <v>3</v>
      </c>
      <c r="Z49" s="152">
        <f t="shared" si="15"/>
        <v>3</v>
      </c>
      <c r="AA49" s="152">
        <f t="shared" si="15"/>
        <v>3</v>
      </c>
      <c r="AB49" s="152">
        <f t="shared" si="15"/>
        <v>3</v>
      </c>
      <c r="AC49" s="152">
        <f t="shared" si="15"/>
        <v>3</v>
      </c>
      <c r="AD49" s="152">
        <f t="shared" si="15"/>
        <v>2</v>
      </c>
      <c r="AE49" s="152">
        <f t="shared" si="15"/>
        <v>2</v>
      </c>
      <c r="AF49" s="152">
        <f t="shared" si="15"/>
        <v>2</v>
      </c>
      <c r="AG49" s="152">
        <f t="shared" si="15"/>
        <v>2</v>
      </c>
      <c r="AH49" s="152">
        <f t="shared" si="15"/>
        <v>3</v>
      </c>
      <c r="AI49" s="152">
        <f t="shared" si="15"/>
        <v>3</v>
      </c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</row>
    <row r="50" spans="2:61" ht="15" customHeight="1">
      <c r="B50" s="257"/>
      <c r="C50" s="257"/>
      <c r="D50" s="158" t="s">
        <v>23</v>
      </c>
      <c r="E50" s="152">
        <f>COUNTIF(E5:E12,$D$50)</f>
        <v>1</v>
      </c>
      <c r="F50" s="152">
        <f t="shared" ref="F50:AI50" si="16">COUNTIF(F5:F12,$D$50)</f>
        <v>2</v>
      </c>
      <c r="G50" s="152">
        <f t="shared" si="16"/>
        <v>1</v>
      </c>
      <c r="H50" s="152">
        <f t="shared" si="16"/>
        <v>1</v>
      </c>
      <c r="I50" s="152">
        <f t="shared" si="16"/>
        <v>2</v>
      </c>
      <c r="J50" s="152">
        <f t="shared" si="16"/>
        <v>2</v>
      </c>
      <c r="K50" s="152">
        <f t="shared" si="16"/>
        <v>2</v>
      </c>
      <c r="L50" s="152">
        <f t="shared" si="16"/>
        <v>2</v>
      </c>
      <c r="M50" s="152">
        <f t="shared" si="16"/>
        <v>2</v>
      </c>
      <c r="N50" s="152">
        <f t="shared" si="16"/>
        <v>2</v>
      </c>
      <c r="O50" s="152">
        <f t="shared" si="16"/>
        <v>2</v>
      </c>
      <c r="P50" s="152">
        <f t="shared" si="16"/>
        <v>3</v>
      </c>
      <c r="Q50" s="152">
        <f t="shared" si="16"/>
        <v>2</v>
      </c>
      <c r="R50" s="152">
        <f t="shared" si="16"/>
        <v>2</v>
      </c>
      <c r="S50" s="152">
        <f t="shared" si="16"/>
        <v>2</v>
      </c>
      <c r="T50" s="152">
        <f t="shared" si="16"/>
        <v>2</v>
      </c>
      <c r="U50" s="152">
        <f t="shared" si="16"/>
        <v>3</v>
      </c>
      <c r="V50" s="152">
        <f t="shared" si="16"/>
        <v>3</v>
      </c>
      <c r="W50" s="152">
        <f t="shared" si="16"/>
        <v>3</v>
      </c>
      <c r="X50" s="152">
        <f t="shared" si="16"/>
        <v>2</v>
      </c>
      <c r="Y50" s="152">
        <f t="shared" si="16"/>
        <v>2</v>
      </c>
      <c r="Z50" s="152">
        <f t="shared" si="16"/>
        <v>2</v>
      </c>
      <c r="AA50" s="152">
        <f t="shared" si="16"/>
        <v>2</v>
      </c>
      <c r="AB50" s="152">
        <f t="shared" si="16"/>
        <v>3</v>
      </c>
      <c r="AC50" s="152">
        <f t="shared" si="16"/>
        <v>3</v>
      </c>
      <c r="AD50" s="152">
        <f t="shared" si="16"/>
        <v>3</v>
      </c>
      <c r="AE50" s="152">
        <f t="shared" si="16"/>
        <v>2</v>
      </c>
      <c r="AF50" s="152">
        <f t="shared" si="16"/>
        <v>2</v>
      </c>
      <c r="AG50" s="152">
        <f t="shared" si="16"/>
        <v>2</v>
      </c>
      <c r="AH50" s="152">
        <f t="shared" si="16"/>
        <v>2</v>
      </c>
      <c r="AI50" s="152">
        <f t="shared" si="16"/>
        <v>2</v>
      </c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</row>
    <row r="51" spans="2:61" ht="15" customHeight="1">
      <c r="B51" s="257"/>
      <c r="C51" s="257"/>
      <c r="D51" s="159" t="s">
        <v>128</v>
      </c>
      <c r="E51" s="152">
        <f>E49+E50</f>
        <v>2</v>
      </c>
      <c r="F51" s="152">
        <f t="shared" ref="F51:AI51" si="17">F49+F50</f>
        <v>4</v>
      </c>
      <c r="G51" s="152">
        <f t="shared" si="17"/>
        <v>3</v>
      </c>
      <c r="H51" s="152">
        <f t="shared" si="17"/>
        <v>3</v>
      </c>
      <c r="I51" s="152">
        <f t="shared" si="17"/>
        <v>5</v>
      </c>
      <c r="J51" s="152">
        <f t="shared" si="17"/>
        <v>6</v>
      </c>
      <c r="K51" s="152">
        <f t="shared" si="17"/>
        <v>5</v>
      </c>
      <c r="L51" s="152">
        <f t="shared" si="17"/>
        <v>4</v>
      </c>
      <c r="M51" s="152">
        <f t="shared" si="17"/>
        <v>4</v>
      </c>
      <c r="N51" s="152">
        <f t="shared" si="17"/>
        <v>4</v>
      </c>
      <c r="O51" s="152">
        <f t="shared" si="17"/>
        <v>5</v>
      </c>
      <c r="P51" s="152">
        <f t="shared" si="17"/>
        <v>6</v>
      </c>
      <c r="Q51" s="152">
        <f t="shared" si="17"/>
        <v>5</v>
      </c>
      <c r="R51" s="152">
        <f t="shared" si="17"/>
        <v>4</v>
      </c>
      <c r="S51" s="152">
        <f t="shared" si="17"/>
        <v>4</v>
      </c>
      <c r="T51" s="152">
        <f t="shared" si="17"/>
        <v>4</v>
      </c>
      <c r="U51" s="152">
        <f t="shared" si="17"/>
        <v>5</v>
      </c>
      <c r="V51" s="152">
        <f t="shared" si="17"/>
        <v>6</v>
      </c>
      <c r="W51" s="152">
        <f t="shared" si="17"/>
        <v>6</v>
      </c>
      <c r="X51" s="152">
        <f t="shared" si="17"/>
        <v>5</v>
      </c>
      <c r="Y51" s="152">
        <f t="shared" si="17"/>
        <v>5</v>
      </c>
      <c r="Z51" s="152">
        <f t="shared" si="17"/>
        <v>5</v>
      </c>
      <c r="AA51" s="152">
        <f t="shared" si="17"/>
        <v>5</v>
      </c>
      <c r="AB51" s="152">
        <f t="shared" si="17"/>
        <v>6</v>
      </c>
      <c r="AC51" s="152">
        <f t="shared" si="17"/>
        <v>6</v>
      </c>
      <c r="AD51" s="152">
        <f t="shared" si="17"/>
        <v>5</v>
      </c>
      <c r="AE51" s="152">
        <f t="shared" si="17"/>
        <v>4</v>
      </c>
      <c r="AF51" s="152">
        <f t="shared" si="17"/>
        <v>4</v>
      </c>
      <c r="AG51" s="152">
        <f t="shared" si="17"/>
        <v>4</v>
      </c>
      <c r="AH51" s="152">
        <f t="shared" si="17"/>
        <v>5</v>
      </c>
      <c r="AI51" s="152">
        <f t="shared" si="17"/>
        <v>5</v>
      </c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</row>
    <row r="52" spans="2:61" ht="15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</row>
    <row r="53" spans="2:61" ht="15">
      <c r="B53" s="261" t="s">
        <v>45</v>
      </c>
      <c r="C53" s="262"/>
      <c r="D53" s="157" t="s">
        <v>21</v>
      </c>
      <c r="E53" s="152">
        <f>COUNTIF(E13:E24,$D$53)</f>
        <v>3</v>
      </c>
      <c r="F53" s="152">
        <f t="shared" ref="F53:AI53" si="18">COUNTIF(F13:F24,$D$53)</f>
        <v>2</v>
      </c>
      <c r="G53" s="152">
        <f t="shared" si="18"/>
        <v>1</v>
      </c>
      <c r="H53" s="152">
        <f t="shared" si="18"/>
        <v>3</v>
      </c>
      <c r="I53" s="152">
        <f t="shared" si="18"/>
        <v>3</v>
      </c>
      <c r="J53" s="152">
        <f t="shared" si="18"/>
        <v>4</v>
      </c>
      <c r="K53" s="152">
        <f t="shared" si="18"/>
        <v>3</v>
      </c>
      <c r="L53" s="152">
        <f t="shared" si="18"/>
        <v>3</v>
      </c>
      <c r="M53" s="152">
        <f t="shared" si="18"/>
        <v>3</v>
      </c>
      <c r="N53" s="152">
        <f t="shared" si="18"/>
        <v>2</v>
      </c>
      <c r="O53" s="152">
        <f t="shared" si="18"/>
        <v>4</v>
      </c>
      <c r="P53" s="152">
        <f t="shared" si="18"/>
        <v>4</v>
      </c>
      <c r="Q53" s="152">
        <f t="shared" si="18"/>
        <v>4</v>
      </c>
      <c r="R53" s="152">
        <f t="shared" si="18"/>
        <v>3</v>
      </c>
      <c r="S53" s="152">
        <f t="shared" si="18"/>
        <v>4</v>
      </c>
      <c r="T53" s="152">
        <f t="shared" si="18"/>
        <v>4</v>
      </c>
      <c r="U53" s="152">
        <f t="shared" si="18"/>
        <v>4</v>
      </c>
      <c r="V53" s="152">
        <f t="shared" si="18"/>
        <v>4</v>
      </c>
      <c r="W53" s="152">
        <f t="shared" si="18"/>
        <v>4</v>
      </c>
      <c r="X53" s="152">
        <f t="shared" si="18"/>
        <v>4</v>
      </c>
      <c r="Y53" s="152">
        <f t="shared" si="18"/>
        <v>4</v>
      </c>
      <c r="Z53" s="152">
        <f t="shared" si="18"/>
        <v>4</v>
      </c>
      <c r="AA53" s="152">
        <f t="shared" si="18"/>
        <v>4</v>
      </c>
      <c r="AB53" s="152">
        <f t="shared" si="18"/>
        <v>3</v>
      </c>
      <c r="AC53" s="152">
        <f t="shared" si="18"/>
        <v>3</v>
      </c>
      <c r="AD53" s="152">
        <f t="shared" si="18"/>
        <v>3</v>
      </c>
      <c r="AE53" s="152">
        <f t="shared" si="18"/>
        <v>4</v>
      </c>
      <c r="AF53" s="152">
        <f t="shared" si="18"/>
        <v>4</v>
      </c>
      <c r="AG53" s="152">
        <f t="shared" si="18"/>
        <v>4</v>
      </c>
      <c r="AH53" s="152">
        <f t="shared" si="18"/>
        <v>4</v>
      </c>
      <c r="AI53" s="152">
        <f t="shared" si="18"/>
        <v>4</v>
      </c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</row>
    <row r="54" spans="2:61" ht="15">
      <c r="B54" s="263"/>
      <c r="C54" s="264"/>
      <c r="D54" s="158" t="s">
        <v>23</v>
      </c>
      <c r="E54" s="152">
        <f>COUNTIF(E13:E24,$D$54)</f>
        <v>3</v>
      </c>
      <c r="F54" s="152">
        <f t="shared" ref="F54:AI54" si="19">COUNTIF(F13:F24,$D$54)</f>
        <v>2</v>
      </c>
      <c r="G54" s="152">
        <f t="shared" si="19"/>
        <v>2</v>
      </c>
      <c r="H54" s="152">
        <f t="shared" si="19"/>
        <v>2</v>
      </c>
      <c r="I54" s="152">
        <f t="shared" si="19"/>
        <v>2</v>
      </c>
      <c r="J54" s="152">
        <f t="shared" si="19"/>
        <v>3</v>
      </c>
      <c r="K54" s="152">
        <f t="shared" si="19"/>
        <v>2</v>
      </c>
      <c r="L54" s="152">
        <f t="shared" si="19"/>
        <v>3</v>
      </c>
      <c r="M54" s="152">
        <f t="shared" si="19"/>
        <v>3</v>
      </c>
      <c r="N54" s="152">
        <f t="shared" si="19"/>
        <v>2</v>
      </c>
      <c r="O54" s="152">
        <f t="shared" si="19"/>
        <v>4</v>
      </c>
      <c r="P54" s="152">
        <f t="shared" si="19"/>
        <v>3</v>
      </c>
      <c r="Q54" s="152">
        <f t="shared" si="19"/>
        <v>3</v>
      </c>
      <c r="R54" s="152">
        <f t="shared" si="19"/>
        <v>3</v>
      </c>
      <c r="S54" s="152">
        <f t="shared" si="19"/>
        <v>3</v>
      </c>
      <c r="T54" s="152">
        <f t="shared" si="19"/>
        <v>3</v>
      </c>
      <c r="U54" s="152">
        <f t="shared" si="19"/>
        <v>3</v>
      </c>
      <c r="V54" s="152">
        <f t="shared" si="19"/>
        <v>3</v>
      </c>
      <c r="W54" s="152">
        <f>COUNTIF(W13:W24,$D$54)</f>
        <v>3</v>
      </c>
      <c r="X54" s="152">
        <f t="shared" si="19"/>
        <v>3</v>
      </c>
      <c r="Y54" s="152">
        <f t="shared" si="19"/>
        <v>3</v>
      </c>
      <c r="Z54" s="152">
        <f t="shared" si="19"/>
        <v>3</v>
      </c>
      <c r="AA54" s="152">
        <f t="shared" si="19"/>
        <v>2</v>
      </c>
      <c r="AB54" s="152">
        <f t="shared" si="19"/>
        <v>2</v>
      </c>
      <c r="AC54" s="152">
        <f t="shared" si="19"/>
        <v>2</v>
      </c>
      <c r="AD54" s="152">
        <f t="shared" si="19"/>
        <v>2</v>
      </c>
      <c r="AE54" s="152">
        <f t="shared" si="19"/>
        <v>3</v>
      </c>
      <c r="AF54" s="152">
        <f t="shared" si="19"/>
        <v>3</v>
      </c>
      <c r="AG54" s="152">
        <f t="shared" si="19"/>
        <v>3</v>
      </c>
      <c r="AH54" s="152">
        <f t="shared" si="19"/>
        <v>3</v>
      </c>
      <c r="AI54" s="152">
        <f t="shared" si="19"/>
        <v>2</v>
      </c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</row>
    <row r="55" spans="2:61" ht="15">
      <c r="B55" s="263"/>
      <c r="C55" s="264"/>
      <c r="D55" s="78" t="s">
        <v>29</v>
      </c>
      <c r="E55" s="152">
        <f>COUNTIF(E13:E24,$D$55)</f>
        <v>1</v>
      </c>
      <c r="F55" s="152">
        <f t="shared" ref="F55:AI55" si="20">COUNTIF(F13:F24,$D$55)</f>
        <v>2</v>
      </c>
      <c r="G55" s="152">
        <f t="shared" si="20"/>
        <v>2</v>
      </c>
      <c r="H55" s="152">
        <f t="shared" si="20"/>
        <v>2</v>
      </c>
      <c r="I55" s="152">
        <f t="shared" si="20"/>
        <v>3</v>
      </c>
      <c r="J55" s="152">
        <f t="shared" si="20"/>
        <v>2</v>
      </c>
      <c r="K55" s="152">
        <f t="shared" si="20"/>
        <v>2</v>
      </c>
      <c r="L55" s="152">
        <f t="shared" si="20"/>
        <v>2</v>
      </c>
      <c r="M55" s="152">
        <f t="shared" si="20"/>
        <v>1</v>
      </c>
      <c r="N55" s="152">
        <f t="shared" si="20"/>
        <v>1</v>
      </c>
      <c r="O55" s="152">
        <f t="shared" si="20"/>
        <v>1</v>
      </c>
      <c r="P55" s="152">
        <f t="shared" si="20"/>
        <v>1</v>
      </c>
      <c r="Q55" s="152">
        <f t="shared" si="20"/>
        <v>1</v>
      </c>
      <c r="R55" s="152">
        <f t="shared" si="20"/>
        <v>1</v>
      </c>
      <c r="S55" s="152">
        <f t="shared" si="20"/>
        <v>1</v>
      </c>
      <c r="T55" s="152">
        <f t="shared" si="20"/>
        <v>1</v>
      </c>
      <c r="U55" s="152">
        <f t="shared" si="20"/>
        <v>1</v>
      </c>
      <c r="V55" s="152">
        <f t="shared" si="20"/>
        <v>1</v>
      </c>
      <c r="W55" s="152">
        <f t="shared" si="20"/>
        <v>1</v>
      </c>
      <c r="X55" s="152">
        <f t="shared" si="20"/>
        <v>1</v>
      </c>
      <c r="Y55" s="152">
        <f t="shared" si="20"/>
        <v>1</v>
      </c>
      <c r="Z55" s="152">
        <f t="shared" si="20"/>
        <v>1</v>
      </c>
      <c r="AA55" s="152">
        <f t="shared" si="20"/>
        <v>1</v>
      </c>
      <c r="AB55" s="152">
        <f t="shared" si="20"/>
        <v>1</v>
      </c>
      <c r="AC55" s="152">
        <f t="shared" si="20"/>
        <v>1</v>
      </c>
      <c r="AD55" s="152">
        <f t="shared" si="20"/>
        <v>1</v>
      </c>
      <c r="AE55" s="152">
        <f t="shared" si="20"/>
        <v>1</v>
      </c>
      <c r="AF55" s="152">
        <f t="shared" si="20"/>
        <v>1</v>
      </c>
      <c r="AG55" s="152">
        <f t="shared" si="20"/>
        <v>0</v>
      </c>
      <c r="AH55" s="152">
        <f t="shared" si="20"/>
        <v>1</v>
      </c>
      <c r="AI55" s="152">
        <f t="shared" si="20"/>
        <v>1</v>
      </c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</row>
    <row r="56" spans="2:61" ht="15">
      <c r="B56" s="265"/>
      <c r="C56" s="266"/>
      <c r="D56" s="159" t="s">
        <v>128</v>
      </c>
      <c r="E56" s="152">
        <f>E53+E54+E55</f>
        <v>7</v>
      </c>
      <c r="F56" s="152">
        <f t="shared" ref="F56:AI56" si="21">F53+F54+F55</f>
        <v>6</v>
      </c>
      <c r="G56" s="152">
        <f t="shared" si="21"/>
        <v>5</v>
      </c>
      <c r="H56" s="152">
        <f t="shared" si="21"/>
        <v>7</v>
      </c>
      <c r="I56" s="152">
        <f t="shared" si="21"/>
        <v>8</v>
      </c>
      <c r="J56" s="152">
        <f t="shared" si="21"/>
        <v>9</v>
      </c>
      <c r="K56" s="152">
        <f t="shared" si="21"/>
        <v>7</v>
      </c>
      <c r="L56" s="152">
        <f t="shared" si="21"/>
        <v>8</v>
      </c>
      <c r="M56" s="152">
        <f t="shared" si="21"/>
        <v>7</v>
      </c>
      <c r="N56" s="152">
        <f t="shared" si="21"/>
        <v>5</v>
      </c>
      <c r="O56" s="152">
        <f t="shared" si="21"/>
        <v>9</v>
      </c>
      <c r="P56" s="152">
        <f t="shared" si="21"/>
        <v>8</v>
      </c>
      <c r="Q56" s="152">
        <f t="shared" si="21"/>
        <v>8</v>
      </c>
      <c r="R56" s="152">
        <f t="shared" si="21"/>
        <v>7</v>
      </c>
      <c r="S56" s="152">
        <f t="shared" si="21"/>
        <v>8</v>
      </c>
      <c r="T56" s="152">
        <f t="shared" si="21"/>
        <v>8</v>
      </c>
      <c r="U56" s="152">
        <f t="shared" si="21"/>
        <v>8</v>
      </c>
      <c r="V56" s="152">
        <f t="shared" si="21"/>
        <v>8</v>
      </c>
      <c r="W56" s="152">
        <f t="shared" si="21"/>
        <v>8</v>
      </c>
      <c r="X56" s="152">
        <f t="shared" si="21"/>
        <v>8</v>
      </c>
      <c r="Y56" s="152">
        <f t="shared" si="21"/>
        <v>8</v>
      </c>
      <c r="Z56" s="152">
        <f t="shared" si="21"/>
        <v>8</v>
      </c>
      <c r="AA56" s="152">
        <f t="shared" si="21"/>
        <v>7</v>
      </c>
      <c r="AB56" s="152">
        <f t="shared" si="21"/>
        <v>6</v>
      </c>
      <c r="AC56" s="152">
        <f t="shared" si="21"/>
        <v>6</v>
      </c>
      <c r="AD56" s="152">
        <f t="shared" si="21"/>
        <v>6</v>
      </c>
      <c r="AE56" s="152">
        <f t="shared" si="21"/>
        <v>8</v>
      </c>
      <c r="AF56" s="152">
        <f t="shared" si="21"/>
        <v>8</v>
      </c>
      <c r="AG56" s="152">
        <f t="shared" si="21"/>
        <v>7</v>
      </c>
      <c r="AH56" s="152">
        <f t="shared" si="21"/>
        <v>8</v>
      </c>
      <c r="AI56" s="152">
        <f t="shared" si="21"/>
        <v>7</v>
      </c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</row>
    <row r="57" spans="2:61" ht="15"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</row>
    <row r="58" spans="2:61" ht="15">
      <c r="B58" s="261" t="s">
        <v>72</v>
      </c>
      <c r="C58" s="262"/>
      <c r="D58" s="157" t="s">
        <v>21</v>
      </c>
      <c r="E58" s="152">
        <f>COUNTIF(E25:E35,$D$58)</f>
        <v>2</v>
      </c>
      <c r="F58" s="152">
        <f t="shared" ref="F58:AI58" si="22">COUNTIF(F25:F35,$D$58)</f>
        <v>2</v>
      </c>
      <c r="G58" s="152">
        <f t="shared" si="22"/>
        <v>3</v>
      </c>
      <c r="H58" s="152">
        <f t="shared" si="22"/>
        <v>3</v>
      </c>
      <c r="I58" s="152">
        <f t="shared" si="22"/>
        <v>2</v>
      </c>
      <c r="J58" s="152">
        <f t="shared" si="22"/>
        <v>2</v>
      </c>
      <c r="K58" s="152">
        <f t="shared" si="22"/>
        <v>2</v>
      </c>
      <c r="L58" s="152">
        <f t="shared" si="22"/>
        <v>2</v>
      </c>
      <c r="M58" s="152">
        <f t="shared" si="22"/>
        <v>2</v>
      </c>
      <c r="N58" s="152">
        <f t="shared" si="22"/>
        <v>2</v>
      </c>
      <c r="O58" s="152">
        <f t="shared" si="22"/>
        <v>2</v>
      </c>
      <c r="P58" s="152">
        <f t="shared" si="22"/>
        <v>2</v>
      </c>
      <c r="Q58" s="152">
        <f t="shared" si="22"/>
        <v>3</v>
      </c>
      <c r="R58" s="152">
        <f t="shared" si="22"/>
        <v>3</v>
      </c>
      <c r="S58" s="152">
        <f t="shared" si="22"/>
        <v>3</v>
      </c>
      <c r="T58" s="152">
        <f t="shared" si="22"/>
        <v>3</v>
      </c>
      <c r="U58" s="152">
        <f t="shared" si="22"/>
        <v>2</v>
      </c>
      <c r="V58" s="152">
        <f t="shared" si="22"/>
        <v>3</v>
      </c>
      <c r="W58" s="152">
        <f t="shared" si="22"/>
        <v>4</v>
      </c>
      <c r="X58" s="152">
        <f t="shared" si="22"/>
        <v>4</v>
      </c>
      <c r="Y58" s="152">
        <f t="shared" si="22"/>
        <v>3</v>
      </c>
      <c r="Z58" s="152">
        <f t="shared" si="22"/>
        <v>3</v>
      </c>
      <c r="AA58" s="152">
        <f t="shared" si="22"/>
        <v>3</v>
      </c>
      <c r="AB58" s="152">
        <f t="shared" si="22"/>
        <v>3</v>
      </c>
      <c r="AC58" s="152">
        <f t="shared" si="22"/>
        <v>4</v>
      </c>
      <c r="AD58" s="152">
        <f t="shared" si="22"/>
        <v>4</v>
      </c>
      <c r="AE58" s="152">
        <f t="shared" si="22"/>
        <v>3</v>
      </c>
      <c r="AF58" s="152">
        <f t="shared" si="22"/>
        <v>2</v>
      </c>
      <c r="AG58" s="152">
        <f t="shared" si="22"/>
        <v>3</v>
      </c>
      <c r="AH58" s="152">
        <f t="shared" si="22"/>
        <v>3</v>
      </c>
      <c r="AI58" s="152">
        <f t="shared" si="22"/>
        <v>3</v>
      </c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</row>
    <row r="59" spans="2:61" ht="15">
      <c r="B59" s="263"/>
      <c r="C59" s="264"/>
      <c r="D59" s="158" t="s">
        <v>23</v>
      </c>
      <c r="E59" s="152">
        <f>COUNTIF(E25:E35,$D$59)</f>
        <v>1</v>
      </c>
      <c r="F59" s="152">
        <f t="shared" ref="F59:AI59" si="23">COUNTIF(F25:F35,$D$59)</f>
        <v>2</v>
      </c>
      <c r="G59" s="152">
        <f t="shared" si="23"/>
        <v>1</v>
      </c>
      <c r="H59" s="152">
        <f t="shared" si="23"/>
        <v>3</v>
      </c>
      <c r="I59" s="152">
        <f t="shared" si="23"/>
        <v>2</v>
      </c>
      <c r="J59" s="152">
        <f t="shared" si="23"/>
        <v>2</v>
      </c>
      <c r="K59" s="152">
        <f t="shared" si="23"/>
        <v>4</v>
      </c>
      <c r="L59" s="152">
        <f t="shared" si="23"/>
        <v>4</v>
      </c>
      <c r="M59" s="152">
        <f t="shared" si="23"/>
        <v>4</v>
      </c>
      <c r="N59" s="152">
        <f t="shared" si="23"/>
        <v>3</v>
      </c>
      <c r="O59" s="152">
        <f t="shared" si="23"/>
        <v>4</v>
      </c>
      <c r="P59" s="152">
        <f t="shared" si="23"/>
        <v>4</v>
      </c>
      <c r="Q59" s="152">
        <f t="shared" si="23"/>
        <v>4</v>
      </c>
      <c r="R59" s="152">
        <f t="shared" si="23"/>
        <v>4</v>
      </c>
      <c r="S59" s="152">
        <f t="shared" si="23"/>
        <v>2</v>
      </c>
      <c r="T59" s="152">
        <f t="shared" si="23"/>
        <v>2</v>
      </c>
      <c r="U59" s="152">
        <f t="shared" si="23"/>
        <v>2</v>
      </c>
      <c r="V59" s="152">
        <f t="shared" si="23"/>
        <v>2</v>
      </c>
      <c r="W59" s="152">
        <f t="shared" si="23"/>
        <v>3</v>
      </c>
      <c r="X59" s="152">
        <f t="shared" si="23"/>
        <v>3</v>
      </c>
      <c r="Y59" s="152">
        <f t="shared" si="23"/>
        <v>3</v>
      </c>
      <c r="Z59" s="152">
        <f t="shared" si="23"/>
        <v>3</v>
      </c>
      <c r="AA59" s="152">
        <f t="shared" si="23"/>
        <v>3</v>
      </c>
      <c r="AB59" s="152">
        <f t="shared" si="23"/>
        <v>3</v>
      </c>
      <c r="AC59" s="152">
        <f t="shared" si="23"/>
        <v>3</v>
      </c>
      <c r="AD59" s="152">
        <f t="shared" si="23"/>
        <v>3</v>
      </c>
      <c r="AE59" s="152">
        <f t="shared" si="23"/>
        <v>3</v>
      </c>
      <c r="AF59" s="152">
        <f t="shared" si="23"/>
        <v>3</v>
      </c>
      <c r="AG59" s="152">
        <f t="shared" si="23"/>
        <v>3</v>
      </c>
      <c r="AH59" s="152">
        <f t="shared" si="23"/>
        <v>3</v>
      </c>
      <c r="AI59" s="152">
        <f t="shared" si="23"/>
        <v>3</v>
      </c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</row>
    <row r="60" spans="2:61" ht="15">
      <c r="B60" s="263"/>
      <c r="C60" s="264"/>
      <c r="D60" s="78" t="s">
        <v>29</v>
      </c>
      <c r="E60" s="152">
        <f>COUNTIF(E25:E35,$D$60)</f>
        <v>0</v>
      </c>
      <c r="F60" s="152">
        <f t="shared" ref="F60:AI60" si="24">COUNTIF(F25:F35,$D$60)</f>
        <v>0</v>
      </c>
      <c r="G60" s="152">
        <f t="shared" si="24"/>
        <v>0</v>
      </c>
      <c r="H60" s="152">
        <f t="shared" si="24"/>
        <v>0</v>
      </c>
      <c r="I60" s="152">
        <f t="shared" si="24"/>
        <v>0</v>
      </c>
      <c r="J60" s="152">
        <f t="shared" si="24"/>
        <v>0</v>
      </c>
      <c r="K60" s="152">
        <f t="shared" si="24"/>
        <v>0</v>
      </c>
      <c r="L60" s="152">
        <f t="shared" si="24"/>
        <v>0</v>
      </c>
      <c r="M60" s="152">
        <f t="shared" si="24"/>
        <v>0</v>
      </c>
      <c r="N60" s="152">
        <f t="shared" si="24"/>
        <v>0</v>
      </c>
      <c r="O60" s="152">
        <f t="shared" si="24"/>
        <v>0</v>
      </c>
      <c r="P60" s="152">
        <f t="shared" si="24"/>
        <v>0</v>
      </c>
      <c r="Q60" s="152">
        <f t="shared" si="24"/>
        <v>1</v>
      </c>
      <c r="R60" s="152">
        <f t="shared" si="24"/>
        <v>1</v>
      </c>
      <c r="S60" s="152">
        <f t="shared" si="24"/>
        <v>1</v>
      </c>
      <c r="T60" s="152">
        <f t="shared" si="24"/>
        <v>1</v>
      </c>
      <c r="U60" s="152">
        <f t="shared" si="24"/>
        <v>0</v>
      </c>
      <c r="V60" s="152">
        <f t="shared" si="24"/>
        <v>0</v>
      </c>
      <c r="W60" s="152">
        <f t="shared" si="24"/>
        <v>1</v>
      </c>
      <c r="X60" s="152">
        <f t="shared" si="24"/>
        <v>1</v>
      </c>
      <c r="Y60" s="152">
        <f t="shared" si="24"/>
        <v>1</v>
      </c>
      <c r="Z60" s="152">
        <f t="shared" si="24"/>
        <v>1</v>
      </c>
      <c r="AA60" s="152">
        <f t="shared" si="24"/>
        <v>1</v>
      </c>
      <c r="AB60" s="152">
        <f t="shared" si="24"/>
        <v>1</v>
      </c>
      <c r="AC60" s="152">
        <f t="shared" si="24"/>
        <v>1</v>
      </c>
      <c r="AD60" s="152">
        <f t="shared" si="24"/>
        <v>1</v>
      </c>
      <c r="AE60" s="152">
        <f t="shared" si="24"/>
        <v>1</v>
      </c>
      <c r="AF60" s="152">
        <f t="shared" si="24"/>
        <v>1</v>
      </c>
      <c r="AG60" s="152">
        <f t="shared" si="24"/>
        <v>1</v>
      </c>
      <c r="AH60" s="152">
        <f t="shared" si="24"/>
        <v>1</v>
      </c>
      <c r="AI60" s="152">
        <f t="shared" si="24"/>
        <v>1</v>
      </c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</row>
    <row r="61" spans="2:61" ht="15">
      <c r="B61" s="265"/>
      <c r="C61" s="266"/>
      <c r="D61" s="159" t="s">
        <v>128</v>
      </c>
      <c r="E61" s="152">
        <f>E58+E59+E60</f>
        <v>3</v>
      </c>
      <c r="F61" s="152">
        <f t="shared" ref="F61:AI61" si="25">F58+F59+F60</f>
        <v>4</v>
      </c>
      <c r="G61" s="152">
        <f t="shared" si="25"/>
        <v>4</v>
      </c>
      <c r="H61" s="152">
        <f t="shared" si="25"/>
        <v>6</v>
      </c>
      <c r="I61" s="152">
        <f t="shared" si="25"/>
        <v>4</v>
      </c>
      <c r="J61" s="152">
        <f t="shared" si="25"/>
        <v>4</v>
      </c>
      <c r="K61" s="152">
        <f t="shared" si="25"/>
        <v>6</v>
      </c>
      <c r="L61" s="152">
        <f t="shared" si="25"/>
        <v>6</v>
      </c>
      <c r="M61" s="152">
        <f t="shared" si="25"/>
        <v>6</v>
      </c>
      <c r="N61" s="152">
        <f t="shared" si="25"/>
        <v>5</v>
      </c>
      <c r="O61" s="152">
        <f t="shared" si="25"/>
        <v>6</v>
      </c>
      <c r="P61" s="152">
        <f t="shared" si="25"/>
        <v>6</v>
      </c>
      <c r="Q61" s="152">
        <f t="shared" si="25"/>
        <v>8</v>
      </c>
      <c r="R61" s="152">
        <f t="shared" si="25"/>
        <v>8</v>
      </c>
      <c r="S61" s="152">
        <f t="shared" si="25"/>
        <v>6</v>
      </c>
      <c r="T61" s="152">
        <f t="shared" si="25"/>
        <v>6</v>
      </c>
      <c r="U61" s="152">
        <f t="shared" si="25"/>
        <v>4</v>
      </c>
      <c r="V61" s="152">
        <f t="shared" si="25"/>
        <v>5</v>
      </c>
      <c r="W61" s="152">
        <f t="shared" si="25"/>
        <v>8</v>
      </c>
      <c r="X61" s="152">
        <f t="shared" si="25"/>
        <v>8</v>
      </c>
      <c r="Y61" s="152">
        <f t="shared" si="25"/>
        <v>7</v>
      </c>
      <c r="Z61" s="152">
        <f t="shared" si="25"/>
        <v>7</v>
      </c>
      <c r="AA61" s="152">
        <f t="shared" si="25"/>
        <v>7</v>
      </c>
      <c r="AB61" s="152">
        <f t="shared" si="25"/>
        <v>7</v>
      </c>
      <c r="AC61" s="152">
        <f t="shared" si="25"/>
        <v>8</v>
      </c>
      <c r="AD61" s="152">
        <f t="shared" si="25"/>
        <v>8</v>
      </c>
      <c r="AE61" s="152">
        <f t="shared" si="25"/>
        <v>7</v>
      </c>
      <c r="AF61" s="152">
        <f t="shared" si="25"/>
        <v>6</v>
      </c>
      <c r="AG61" s="152">
        <f t="shared" si="25"/>
        <v>7</v>
      </c>
      <c r="AH61" s="152">
        <f t="shared" si="25"/>
        <v>7</v>
      </c>
      <c r="AI61" s="152">
        <f t="shared" si="25"/>
        <v>7</v>
      </c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</row>
    <row r="62" spans="2:61" ht="15"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</row>
    <row r="63" spans="2:61" ht="15">
      <c r="B63" s="257" t="s">
        <v>97</v>
      </c>
      <c r="C63" s="257"/>
      <c r="D63" s="141" t="s">
        <v>100</v>
      </c>
      <c r="E63" s="160">
        <f>COUNTIF(E36:E39,$D$63)</f>
        <v>0</v>
      </c>
      <c r="F63" s="160">
        <f t="shared" ref="F63:AI63" si="26">COUNTIF(F36:F39,$D$63)</f>
        <v>1</v>
      </c>
      <c r="G63" s="160">
        <f t="shared" si="26"/>
        <v>1</v>
      </c>
      <c r="H63" s="160">
        <f t="shared" si="26"/>
        <v>1</v>
      </c>
      <c r="I63" s="160">
        <f t="shared" si="26"/>
        <v>1</v>
      </c>
      <c r="J63" s="160">
        <f t="shared" si="26"/>
        <v>1</v>
      </c>
      <c r="K63" s="160">
        <f t="shared" si="26"/>
        <v>1</v>
      </c>
      <c r="L63" s="160">
        <f t="shared" si="26"/>
        <v>1</v>
      </c>
      <c r="M63" s="160">
        <f t="shared" si="26"/>
        <v>1</v>
      </c>
      <c r="N63" s="160">
        <f t="shared" si="26"/>
        <v>1</v>
      </c>
      <c r="O63" s="160">
        <f t="shared" si="26"/>
        <v>1</v>
      </c>
      <c r="P63" s="160">
        <f t="shared" si="26"/>
        <v>1</v>
      </c>
      <c r="Q63" s="160">
        <f t="shared" si="26"/>
        <v>1</v>
      </c>
      <c r="R63" s="160">
        <f t="shared" si="26"/>
        <v>1</v>
      </c>
      <c r="S63" s="160">
        <f t="shared" si="26"/>
        <v>1</v>
      </c>
      <c r="T63" s="160">
        <f t="shared" si="26"/>
        <v>1</v>
      </c>
      <c r="U63" s="160">
        <f t="shared" si="26"/>
        <v>1</v>
      </c>
      <c r="V63" s="160">
        <f t="shared" si="26"/>
        <v>1</v>
      </c>
      <c r="W63" s="160">
        <f t="shared" si="26"/>
        <v>1</v>
      </c>
      <c r="X63" s="160">
        <f t="shared" si="26"/>
        <v>1</v>
      </c>
      <c r="Y63" s="160">
        <f t="shared" si="26"/>
        <v>1</v>
      </c>
      <c r="Z63" s="160">
        <f t="shared" si="26"/>
        <v>1</v>
      </c>
      <c r="AA63" s="160">
        <f t="shared" si="26"/>
        <v>1</v>
      </c>
      <c r="AB63" s="160">
        <f t="shared" si="26"/>
        <v>1</v>
      </c>
      <c r="AC63" s="160">
        <f t="shared" si="26"/>
        <v>1</v>
      </c>
      <c r="AD63" s="160">
        <f t="shared" si="26"/>
        <v>1</v>
      </c>
      <c r="AE63" s="160">
        <f t="shared" si="26"/>
        <v>1</v>
      </c>
      <c r="AF63" s="160">
        <f t="shared" si="26"/>
        <v>1</v>
      </c>
      <c r="AG63" s="160">
        <f t="shared" si="26"/>
        <v>1</v>
      </c>
      <c r="AH63" s="160">
        <f t="shared" si="26"/>
        <v>1</v>
      </c>
      <c r="AI63" s="160">
        <f t="shared" si="26"/>
        <v>1</v>
      </c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</row>
    <row r="64" spans="2:61" ht="15">
      <c r="B64" s="257"/>
      <c r="C64" s="257"/>
      <c r="D64" s="142" t="s">
        <v>66</v>
      </c>
      <c r="E64" s="160">
        <f>COUNTIF(E36:E39,$D$64)</f>
        <v>0</v>
      </c>
      <c r="F64" s="160">
        <f t="shared" ref="F64:AI64" si="27">COUNTIF(F36:F39,$D$64)</f>
        <v>1</v>
      </c>
      <c r="G64" s="160">
        <f t="shared" si="27"/>
        <v>1</v>
      </c>
      <c r="H64" s="160">
        <f t="shared" si="27"/>
        <v>0</v>
      </c>
      <c r="I64" s="160">
        <f t="shared" si="27"/>
        <v>1</v>
      </c>
      <c r="J64" s="160">
        <f t="shared" si="27"/>
        <v>1</v>
      </c>
      <c r="K64" s="160">
        <f t="shared" si="27"/>
        <v>1</v>
      </c>
      <c r="L64" s="160">
        <f t="shared" si="27"/>
        <v>1</v>
      </c>
      <c r="M64" s="160">
        <f t="shared" si="27"/>
        <v>1</v>
      </c>
      <c r="N64" s="160">
        <f t="shared" si="27"/>
        <v>1</v>
      </c>
      <c r="O64" s="160">
        <f t="shared" si="27"/>
        <v>1</v>
      </c>
      <c r="P64" s="160">
        <f t="shared" si="27"/>
        <v>1</v>
      </c>
      <c r="Q64" s="160">
        <f t="shared" si="27"/>
        <v>1</v>
      </c>
      <c r="R64" s="160">
        <f t="shared" si="27"/>
        <v>1</v>
      </c>
      <c r="S64" s="160">
        <f t="shared" si="27"/>
        <v>1</v>
      </c>
      <c r="T64" s="160">
        <f t="shared" si="27"/>
        <v>1</v>
      </c>
      <c r="U64" s="160">
        <f t="shared" si="27"/>
        <v>1</v>
      </c>
      <c r="V64" s="160">
        <f t="shared" si="27"/>
        <v>1</v>
      </c>
      <c r="W64" s="160">
        <f t="shared" si="27"/>
        <v>1</v>
      </c>
      <c r="X64" s="160">
        <f t="shared" si="27"/>
        <v>1</v>
      </c>
      <c r="Y64" s="160">
        <f t="shared" si="27"/>
        <v>1</v>
      </c>
      <c r="Z64" s="160">
        <f>COUNTIF(Z36:Z39,$D$64)</f>
        <v>1</v>
      </c>
      <c r="AA64" s="160">
        <f t="shared" si="27"/>
        <v>1</v>
      </c>
      <c r="AB64" s="160">
        <f t="shared" si="27"/>
        <v>1</v>
      </c>
      <c r="AC64" s="160">
        <f t="shared" si="27"/>
        <v>1</v>
      </c>
      <c r="AD64" s="160">
        <f t="shared" si="27"/>
        <v>1</v>
      </c>
      <c r="AE64" s="160">
        <f t="shared" si="27"/>
        <v>1</v>
      </c>
      <c r="AF64" s="160">
        <f t="shared" si="27"/>
        <v>1</v>
      </c>
      <c r="AG64" s="160">
        <f t="shared" si="27"/>
        <v>1</v>
      </c>
      <c r="AH64" s="160">
        <f t="shared" si="27"/>
        <v>1</v>
      </c>
      <c r="AI64" s="160">
        <f t="shared" si="27"/>
        <v>1</v>
      </c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</row>
    <row r="65" spans="2:61" ht="15">
      <c r="B65" s="257"/>
      <c r="C65" s="257"/>
      <c r="D65" s="159" t="s">
        <v>128</v>
      </c>
      <c r="E65" s="160">
        <f>E63+E64</f>
        <v>0</v>
      </c>
      <c r="F65" s="160">
        <f t="shared" ref="F65:AI65" si="28">F63+F64</f>
        <v>2</v>
      </c>
      <c r="G65" s="160">
        <f t="shared" si="28"/>
        <v>2</v>
      </c>
      <c r="H65" s="160">
        <f t="shared" si="28"/>
        <v>1</v>
      </c>
      <c r="I65" s="160">
        <f t="shared" si="28"/>
        <v>2</v>
      </c>
      <c r="J65" s="160">
        <f t="shared" si="28"/>
        <v>2</v>
      </c>
      <c r="K65" s="160">
        <f t="shared" si="28"/>
        <v>2</v>
      </c>
      <c r="L65" s="160">
        <f t="shared" si="28"/>
        <v>2</v>
      </c>
      <c r="M65" s="160">
        <f t="shared" si="28"/>
        <v>2</v>
      </c>
      <c r="N65" s="160">
        <f t="shared" si="28"/>
        <v>2</v>
      </c>
      <c r="O65" s="160">
        <f t="shared" si="28"/>
        <v>2</v>
      </c>
      <c r="P65" s="160">
        <f t="shared" si="28"/>
        <v>2</v>
      </c>
      <c r="Q65" s="160">
        <f t="shared" si="28"/>
        <v>2</v>
      </c>
      <c r="R65" s="160">
        <f t="shared" si="28"/>
        <v>2</v>
      </c>
      <c r="S65" s="160">
        <f t="shared" si="28"/>
        <v>2</v>
      </c>
      <c r="T65" s="160">
        <f t="shared" si="28"/>
        <v>2</v>
      </c>
      <c r="U65" s="160">
        <f t="shared" si="28"/>
        <v>2</v>
      </c>
      <c r="V65" s="160">
        <f t="shared" si="28"/>
        <v>2</v>
      </c>
      <c r="W65" s="160">
        <f t="shared" si="28"/>
        <v>2</v>
      </c>
      <c r="X65" s="160">
        <f t="shared" si="28"/>
        <v>2</v>
      </c>
      <c r="Y65" s="160">
        <f t="shared" si="28"/>
        <v>2</v>
      </c>
      <c r="Z65" s="160">
        <f t="shared" si="28"/>
        <v>2</v>
      </c>
      <c r="AA65" s="160">
        <f t="shared" si="28"/>
        <v>2</v>
      </c>
      <c r="AB65" s="160">
        <f t="shared" si="28"/>
        <v>2</v>
      </c>
      <c r="AC65" s="160">
        <f t="shared" si="28"/>
        <v>2</v>
      </c>
      <c r="AD65" s="160">
        <f t="shared" si="28"/>
        <v>2</v>
      </c>
      <c r="AE65" s="160">
        <f t="shared" si="28"/>
        <v>2</v>
      </c>
      <c r="AF65" s="160">
        <f t="shared" si="28"/>
        <v>2</v>
      </c>
      <c r="AG65" s="160">
        <f t="shared" si="28"/>
        <v>2</v>
      </c>
      <c r="AH65" s="160">
        <f t="shared" si="28"/>
        <v>2</v>
      </c>
      <c r="AI65" s="160">
        <f t="shared" si="28"/>
        <v>2</v>
      </c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</row>
    <row r="66" spans="2:61" ht="15"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</row>
    <row r="67" spans="2:61" ht="15">
      <c r="B67" s="257" t="s">
        <v>108</v>
      </c>
      <c r="C67" s="257"/>
      <c r="D67" s="60" t="s">
        <v>21</v>
      </c>
      <c r="E67" s="152">
        <f>COUNTIF(E43:E47,$D$67)</f>
        <v>1</v>
      </c>
      <c r="F67" s="152">
        <f t="shared" ref="F67:AI67" si="29">COUNTIF(F43:F47,$D$67)</f>
        <v>1</v>
      </c>
      <c r="G67" s="152">
        <f t="shared" si="29"/>
        <v>2</v>
      </c>
      <c r="H67" s="152">
        <f t="shared" si="29"/>
        <v>2</v>
      </c>
      <c r="I67" s="152">
        <f t="shared" si="29"/>
        <v>2</v>
      </c>
      <c r="J67" s="152">
        <f t="shared" si="29"/>
        <v>1</v>
      </c>
      <c r="K67" s="152">
        <f t="shared" si="29"/>
        <v>1</v>
      </c>
      <c r="L67" s="152">
        <f t="shared" si="29"/>
        <v>1</v>
      </c>
      <c r="M67" s="152">
        <f t="shared" si="29"/>
        <v>1</v>
      </c>
      <c r="N67" s="152">
        <f t="shared" si="29"/>
        <v>2</v>
      </c>
      <c r="O67" s="152">
        <f t="shared" si="29"/>
        <v>2</v>
      </c>
      <c r="P67" s="152">
        <f t="shared" si="29"/>
        <v>2</v>
      </c>
      <c r="Q67" s="152">
        <f t="shared" si="29"/>
        <v>2</v>
      </c>
      <c r="R67" s="152">
        <f t="shared" si="29"/>
        <v>2</v>
      </c>
      <c r="S67" s="152">
        <f t="shared" si="29"/>
        <v>2</v>
      </c>
      <c r="T67" s="152">
        <f t="shared" si="29"/>
        <v>2</v>
      </c>
      <c r="U67" s="152">
        <f t="shared" si="29"/>
        <v>2</v>
      </c>
      <c r="V67" s="152">
        <f t="shared" si="29"/>
        <v>1</v>
      </c>
      <c r="W67" s="152">
        <f t="shared" si="29"/>
        <v>1</v>
      </c>
      <c r="X67" s="152">
        <f t="shared" si="29"/>
        <v>1</v>
      </c>
      <c r="Y67" s="152">
        <f t="shared" si="29"/>
        <v>1</v>
      </c>
      <c r="Z67" s="152">
        <f t="shared" si="29"/>
        <v>2</v>
      </c>
      <c r="AA67" s="152">
        <f t="shared" si="29"/>
        <v>2</v>
      </c>
      <c r="AB67" s="152">
        <f t="shared" si="29"/>
        <v>2</v>
      </c>
      <c r="AC67" s="152">
        <f t="shared" si="29"/>
        <v>2</v>
      </c>
      <c r="AD67" s="152">
        <f t="shared" si="29"/>
        <v>2</v>
      </c>
      <c r="AE67" s="152">
        <f t="shared" si="29"/>
        <v>2</v>
      </c>
      <c r="AF67" s="152">
        <f t="shared" si="29"/>
        <v>2</v>
      </c>
      <c r="AG67" s="152">
        <f t="shared" si="29"/>
        <v>2</v>
      </c>
      <c r="AH67" s="152">
        <f t="shared" si="29"/>
        <v>1</v>
      </c>
      <c r="AI67" s="152">
        <f t="shared" si="29"/>
        <v>1</v>
      </c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</row>
    <row r="68" spans="2:61" ht="15">
      <c r="B68" s="257"/>
      <c r="C68" s="257"/>
      <c r="D68" s="74" t="s">
        <v>23</v>
      </c>
      <c r="E68" s="152">
        <f>COUNTIF(E43:E47,$D$68)</f>
        <v>1</v>
      </c>
      <c r="F68" s="152">
        <f t="shared" ref="F68:AI68" si="30">COUNTIF(F43:F47,$D$68)</f>
        <v>0</v>
      </c>
      <c r="G68" s="152">
        <f t="shared" si="30"/>
        <v>1</v>
      </c>
      <c r="H68" s="152">
        <f t="shared" si="30"/>
        <v>1</v>
      </c>
      <c r="I68" s="152">
        <f t="shared" si="30"/>
        <v>1</v>
      </c>
      <c r="J68" s="152">
        <f t="shared" si="30"/>
        <v>2</v>
      </c>
      <c r="K68" s="152">
        <f t="shared" si="30"/>
        <v>1</v>
      </c>
      <c r="L68" s="152">
        <f t="shared" si="30"/>
        <v>0</v>
      </c>
      <c r="M68" s="152">
        <f t="shared" si="30"/>
        <v>0</v>
      </c>
      <c r="N68" s="152">
        <f t="shared" si="30"/>
        <v>1</v>
      </c>
      <c r="O68" s="152">
        <f t="shared" si="30"/>
        <v>2</v>
      </c>
      <c r="P68" s="152">
        <f t="shared" si="30"/>
        <v>1</v>
      </c>
      <c r="Q68" s="152">
        <f t="shared" si="30"/>
        <v>1</v>
      </c>
      <c r="R68" s="152">
        <f t="shared" si="30"/>
        <v>1</v>
      </c>
      <c r="S68" s="152">
        <f t="shared" si="30"/>
        <v>1</v>
      </c>
      <c r="T68" s="152">
        <f t="shared" si="30"/>
        <v>2</v>
      </c>
      <c r="U68" s="152">
        <f t="shared" si="30"/>
        <v>2</v>
      </c>
      <c r="V68" s="152">
        <f t="shared" si="30"/>
        <v>2</v>
      </c>
      <c r="W68" s="152">
        <f t="shared" si="30"/>
        <v>2</v>
      </c>
      <c r="X68" s="152">
        <f t="shared" si="30"/>
        <v>2</v>
      </c>
      <c r="Y68" s="152">
        <f t="shared" si="30"/>
        <v>2</v>
      </c>
      <c r="Z68" s="152">
        <f t="shared" si="30"/>
        <v>2</v>
      </c>
      <c r="AA68" s="152">
        <f t="shared" si="30"/>
        <v>2</v>
      </c>
      <c r="AB68" s="152">
        <f t="shared" si="30"/>
        <v>1</v>
      </c>
      <c r="AC68" s="152">
        <f t="shared" si="30"/>
        <v>1</v>
      </c>
      <c r="AD68" s="152">
        <f t="shared" si="30"/>
        <v>1</v>
      </c>
      <c r="AE68" s="152">
        <f t="shared" si="30"/>
        <v>1</v>
      </c>
      <c r="AF68" s="152">
        <f t="shared" si="30"/>
        <v>1</v>
      </c>
      <c r="AG68" s="152">
        <f t="shared" si="30"/>
        <v>2</v>
      </c>
      <c r="AH68" s="152">
        <f t="shared" si="30"/>
        <v>2</v>
      </c>
      <c r="AI68" s="152">
        <f t="shared" si="30"/>
        <v>2</v>
      </c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</row>
    <row r="69" spans="2:61" ht="15">
      <c r="B69" s="257"/>
      <c r="C69" s="257"/>
      <c r="D69" s="159" t="s">
        <v>128</v>
      </c>
      <c r="E69" s="152">
        <f>E67+E68</f>
        <v>2</v>
      </c>
      <c r="F69" s="152">
        <f t="shared" ref="F69:AI69" si="31">F67+F68</f>
        <v>1</v>
      </c>
      <c r="G69" s="152">
        <f t="shared" si="31"/>
        <v>3</v>
      </c>
      <c r="H69" s="152">
        <f t="shared" si="31"/>
        <v>3</v>
      </c>
      <c r="I69" s="152">
        <f t="shared" si="31"/>
        <v>3</v>
      </c>
      <c r="J69" s="152">
        <f t="shared" si="31"/>
        <v>3</v>
      </c>
      <c r="K69" s="152">
        <f t="shared" si="31"/>
        <v>2</v>
      </c>
      <c r="L69" s="152">
        <f t="shared" si="31"/>
        <v>1</v>
      </c>
      <c r="M69" s="152">
        <f t="shared" si="31"/>
        <v>1</v>
      </c>
      <c r="N69" s="152">
        <f t="shared" si="31"/>
        <v>3</v>
      </c>
      <c r="O69" s="152">
        <f t="shared" si="31"/>
        <v>4</v>
      </c>
      <c r="P69" s="152">
        <f t="shared" si="31"/>
        <v>3</v>
      </c>
      <c r="Q69" s="152">
        <f t="shared" si="31"/>
        <v>3</v>
      </c>
      <c r="R69" s="152">
        <f t="shared" si="31"/>
        <v>3</v>
      </c>
      <c r="S69" s="152">
        <f t="shared" si="31"/>
        <v>3</v>
      </c>
      <c r="T69" s="152">
        <f t="shared" si="31"/>
        <v>4</v>
      </c>
      <c r="U69" s="152">
        <f t="shared" si="31"/>
        <v>4</v>
      </c>
      <c r="V69" s="152">
        <f t="shared" si="31"/>
        <v>3</v>
      </c>
      <c r="W69" s="152">
        <f t="shared" si="31"/>
        <v>3</v>
      </c>
      <c r="X69" s="152">
        <f t="shared" si="31"/>
        <v>3</v>
      </c>
      <c r="Y69" s="152">
        <f t="shared" si="31"/>
        <v>3</v>
      </c>
      <c r="Z69" s="152">
        <f t="shared" si="31"/>
        <v>4</v>
      </c>
      <c r="AA69" s="152">
        <f t="shared" si="31"/>
        <v>4</v>
      </c>
      <c r="AB69" s="152">
        <f t="shared" si="31"/>
        <v>3</v>
      </c>
      <c r="AC69" s="152">
        <f t="shared" si="31"/>
        <v>3</v>
      </c>
      <c r="AD69" s="152">
        <f t="shared" si="31"/>
        <v>3</v>
      </c>
      <c r="AE69" s="152">
        <f t="shared" si="31"/>
        <v>3</v>
      </c>
      <c r="AF69" s="152">
        <f t="shared" si="31"/>
        <v>3</v>
      </c>
      <c r="AG69" s="152">
        <f t="shared" si="31"/>
        <v>4</v>
      </c>
      <c r="AH69" s="152">
        <f t="shared" si="31"/>
        <v>3</v>
      </c>
      <c r="AI69" s="152">
        <f t="shared" si="31"/>
        <v>3</v>
      </c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</row>
    <row r="70" spans="2:61" ht="15"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</row>
    <row r="71" spans="2:61" ht="15"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</row>
    <row r="72" spans="2:61" ht="15"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</row>
    <row r="73" spans="2:61" ht="15"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</row>
    <row r="74" spans="2:61" ht="15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</row>
    <row r="75" spans="2:61" ht="15">
      <c r="C75" s="19"/>
      <c r="D75" s="19"/>
      <c r="E75" s="28" t="s">
        <v>22</v>
      </c>
      <c r="F75" s="250" t="s">
        <v>129</v>
      </c>
      <c r="G75" s="251"/>
      <c r="H75" s="251"/>
      <c r="I75" s="252"/>
      <c r="J75" s="19"/>
      <c r="K75" s="29" t="s">
        <v>130</v>
      </c>
      <c r="L75" s="250" t="s">
        <v>131</v>
      </c>
      <c r="M75" s="251"/>
      <c r="N75" s="251"/>
      <c r="O75" s="252"/>
      <c r="P75" s="19"/>
      <c r="Q75" s="256" t="s">
        <v>132</v>
      </c>
      <c r="R75" s="256"/>
      <c r="S75" s="256"/>
      <c r="T75" s="25"/>
      <c r="W75" s="258" t="s">
        <v>133</v>
      </c>
      <c r="X75" s="258"/>
      <c r="Y75" s="258"/>
      <c r="Z75" s="258" t="s">
        <v>134</v>
      </c>
      <c r="AA75" s="258"/>
      <c r="AB75" s="258"/>
      <c r="AC75" s="19"/>
      <c r="AD75" s="19"/>
      <c r="AE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</row>
    <row r="76" spans="2:61" ht="15">
      <c r="C76" s="19"/>
      <c r="D76" s="19"/>
      <c r="E76" s="28" t="s">
        <v>135</v>
      </c>
      <c r="F76" s="250" t="s">
        <v>136</v>
      </c>
      <c r="G76" s="251"/>
      <c r="H76" s="251"/>
      <c r="I76" s="252"/>
      <c r="J76" s="19"/>
      <c r="K76" s="29" t="s">
        <v>123</v>
      </c>
      <c r="L76" s="250" t="s">
        <v>137</v>
      </c>
      <c r="M76" s="251"/>
      <c r="N76" s="251"/>
      <c r="O76" s="252"/>
      <c r="P76" s="19"/>
      <c r="Q76" s="21" t="s">
        <v>20</v>
      </c>
      <c r="R76" s="283" t="s">
        <v>138</v>
      </c>
      <c r="S76" s="284"/>
      <c r="V76" s="57" t="s">
        <v>29</v>
      </c>
      <c r="W76" s="240" t="s">
        <v>139</v>
      </c>
      <c r="X76" s="240"/>
      <c r="Y76" s="240"/>
      <c r="Z76" s="240" t="s">
        <v>140</v>
      </c>
      <c r="AA76" s="240"/>
      <c r="AB76" s="240"/>
      <c r="AC76" s="19"/>
      <c r="AD76" s="19"/>
      <c r="AE76" s="25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</row>
    <row r="77" spans="2:61" ht="15">
      <c r="C77" s="19"/>
      <c r="D77" s="19"/>
      <c r="E77" s="30" t="s">
        <v>20</v>
      </c>
      <c r="F77" s="250" t="s">
        <v>141</v>
      </c>
      <c r="G77" s="251"/>
      <c r="H77" s="251"/>
      <c r="I77" s="252"/>
      <c r="J77" s="19"/>
      <c r="K77" s="28" t="s">
        <v>107</v>
      </c>
      <c r="L77" s="250" t="s">
        <v>142</v>
      </c>
      <c r="M77" s="251"/>
      <c r="N77" s="251"/>
      <c r="O77" s="252"/>
      <c r="P77" s="19"/>
      <c r="Q77" s="21" t="s">
        <v>143</v>
      </c>
      <c r="R77" s="283" t="s">
        <v>144</v>
      </c>
      <c r="S77" s="284"/>
      <c r="V77" s="46" t="s">
        <v>145</v>
      </c>
      <c r="W77" s="240" t="s">
        <v>146</v>
      </c>
      <c r="X77" s="240"/>
      <c r="Y77" s="240"/>
      <c r="Z77" s="240" t="s">
        <v>147</v>
      </c>
      <c r="AA77" s="240"/>
      <c r="AB77" s="240"/>
      <c r="AC77" s="19"/>
      <c r="AD77" s="19"/>
      <c r="AE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</row>
    <row r="78" spans="2:61" ht="15">
      <c r="C78" s="19"/>
      <c r="D78" s="19"/>
      <c r="E78" s="31" t="s">
        <v>36</v>
      </c>
      <c r="F78" s="250" t="s">
        <v>148</v>
      </c>
      <c r="G78" s="251"/>
      <c r="H78" s="251"/>
      <c r="I78" s="252"/>
      <c r="J78" s="19"/>
      <c r="K78" s="28" t="s">
        <v>143</v>
      </c>
      <c r="L78" s="250" t="s">
        <v>142</v>
      </c>
      <c r="M78" s="251"/>
      <c r="N78" s="251"/>
      <c r="O78" s="252"/>
      <c r="P78" s="19"/>
      <c r="Q78" s="21" t="s">
        <v>149</v>
      </c>
      <c r="R78" s="259" t="s">
        <v>150</v>
      </c>
      <c r="S78" s="260"/>
      <c r="V78" s="47" t="s">
        <v>151</v>
      </c>
      <c r="W78" s="240" t="s">
        <v>152</v>
      </c>
      <c r="X78" s="240"/>
      <c r="Y78" s="240"/>
      <c r="Z78" s="240" t="s">
        <v>153</v>
      </c>
      <c r="AA78" s="240"/>
      <c r="AB78" s="240"/>
      <c r="AC78" s="19"/>
      <c r="AD78" s="19"/>
      <c r="AE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</row>
    <row r="79" spans="2:61" ht="15">
      <c r="C79" s="19"/>
      <c r="D79" s="19"/>
      <c r="E79" s="31" t="s">
        <v>33</v>
      </c>
      <c r="F79" s="250" t="s">
        <v>154</v>
      </c>
      <c r="G79" s="251"/>
      <c r="H79" s="251"/>
      <c r="I79" s="252"/>
      <c r="J79" s="19"/>
      <c r="K79" s="28" t="s">
        <v>155</v>
      </c>
      <c r="L79" s="250" t="s">
        <v>142</v>
      </c>
      <c r="M79" s="251"/>
      <c r="N79" s="251"/>
      <c r="O79" s="252"/>
      <c r="P79" s="19"/>
      <c r="Q79" s="21" t="s">
        <v>156</v>
      </c>
      <c r="R79" s="282" t="s">
        <v>157</v>
      </c>
      <c r="S79" s="282"/>
      <c r="V79" s="58" t="s">
        <v>100</v>
      </c>
      <c r="W79" s="240" t="s">
        <v>158</v>
      </c>
      <c r="X79" s="240"/>
      <c r="Y79" s="240"/>
      <c r="Z79" s="240" t="s">
        <v>159</v>
      </c>
      <c r="AA79" s="240"/>
      <c r="AB79" s="240"/>
      <c r="AC79" s="19"/>
      <c r="AD79" s="19"/>
      <c r="AE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</row>
    <row r="80" spans="2:61" ht="15">
      <c r="C80" s="19"/>
      <c r="D80" s="19"/>
      <c r="E80" s="32" t="s">
        <v>20</v>
      </c>
      <c r="F80" s="250" t="s">
        <v>160</v>
      </c>
      <c r="G80" s="251"/>
      <c r="H80" s="251"/>
      <c r="I80" s="252"/>
      <c r="J80" s="19"/>
      <c r="K80" s="33" t="s">
        <v>81</v>
      </c>
      <c r="L80" s="250" t="s">
        <v>161</v>
      </c>
      <c r="M80" s="251"/>
      <c r="N80" s="251"/>
      <c r="O80" s="252"/>
      <c r="P80" s="19"/>
      <c r="Q80" s="21" t="s">
        <v>162</v>
      </c>
      <c r="R80" s="282" t="s">
        <v>163</v>
      </c>
      <c r="S80" s="282"/>
      <c r="V80" s="59" t="s">
        <v>164</v>
      </c>
      <c r="W80" s="240" t="s">
        <v>165</v>
      </c>
      <c r="X80" s="240"/>
      <c r="Y80" s="240"/>
      <c r="Z80" s="240" t="s">
        <v>166</v>
      </c>
      <c r="AA80" s="240"/>
      <c r="AB80" s="240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</row>
    <row r="81" spans="3:61" ht="15">
      <c r="C81" s="19"/>
      <c r="D81" s="19"/>
      <c r="E81" s="32" t="s">
        <v>36</v>
      </c>
      <c r="F81" s="250" t="s">
        <v>167</v>
      </c>
      <c r="G81" s="251"/>
      <c r="H81" s="251"/>
      <c r="I81" s="252"/>
      <c r="J81" s="19"/>
      <c r="K81" s="28" t="s">
        <v>168</v>
      </c>
      <c r="L81" s="250" t="s">
        <v>161</v>
      </c>
      <c r="M81" s="251"/>
      <c r="N81" s="251"/>
      <c r="O81" s="252"/>
      <c r="T81" s="19"/>
      <c r="V81" s="72" t="s">
        <v>169</v>
      </c>
      <c r="W81" s="240" t="s">
        <v>170</v>
      </c>
      <c r="X81" s="240"/>
      <c r="Y81" s="240"/>
      <c r="Z81" s="240" t="s">
        <v>171</v>
      </c>
      <c r="AA81" s="240"/>
      <c r="AB81" s="240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</row>
    <row r="82" spans="3:61" ht="15">
      <c r="C82" s="19"/>
      <c r="D82" s="19"/>
      <c r="E82" s="34" t="s">
        <v>26</v>
      </c>
      <c r="F82" s="250" t="s">
        <v>172</v>
      </c>
      <c r="G82" s="251"/>
      <c r="H82" s="251"/>
      <c r="I82" s="252"/>
      <c r="J82" s="19"/>
      <c r="K82" s="28" t="s">
        <v>173</v>
      </c>
      <c r="L82" s="250" t="s">
        <v>161</v>
      </c>
      <c r="M82" s="251"/>
      <c r="N82" s="251"/>
      <c r="O82" s="252"/>
      <c r="T82" s="19"/>
      <c r="V82" s="60" t="s">
        <v>21</v>
      </c>
      <c r="W82" s="240" t="s">
        <v>174</v>
      </c>
      <c r="X82" s="240"/>
      <c r="Y82" s="240"/>
      <c r="Z82" s="240" t="s">
        <v>175</v>
      </c>
      <c r="AA82" s="240"/>
      <c r="AB82" s="240"/>
      <c r="AC82" s="19"/>
      <c r="AD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</row>
    <row r="83" spans="3:61" ht="15">
      <c r="C83" s="19"/>
      <c r="D83" s="19"/>
      <c r="E83" s="34" t="s">
        <v>176</v>
      </c>
      <c r="F83" s="250" t="s">
        <v>177</v>
      </c>
      <c r="G83" s="251"/>
      <c r="H83" s="251"/>
      <c r="I83" s="252"/>
      <c r="J83" s="19"/>
      <c r="K83" s="28" t="s">
        <v>178</v>
      </c>
      <c r="L83" s="250" t="s">
        <v>161</v>
      </c>
      <c r="M83" s="251"/>
      <c r="N83" s="251"/>
      <c r="O83" s="252"/>
      <c r="T83" s="19"/>
      <c r="V83" s="61" t="s">
        <v>179</v>
      </c>
      <c r="W83" s="240" t="s">
        <v>180</v>
      </c>
      <c r="X83" s="240"/>
      <c r="Y83" s="240"/>
      <c r="Z83" s="240" t="s">
        <v>181</v>
      </c>
      <c r="AA83" s="240"/>
      <c r="AB83" s="240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</row>
    <row r="84" spans="3:61" ht="15">
      <c r="C84" s="19"/>
      <c r="D84" s="19"/>
      <c r="E84" s="32" t="s">
        <v>182</v>
      </c>
      <c r="F84" s="250" t="s">
        <v>183</v>
      </c>
      <c r="G84" s="251"/>
      <c r="H84" s="251"/>
      <c r="I84" s="252"/>
      <c r="J84" s="19"/>
      <c r="K84" s="27" t="s">
        <v>67</v>
      </c>
      <c r="L84" s="250" t="s">
        <v>161</v>
      </c>
      <c r="M84" s="251"/>
      <c r="N84" s="251"/>
      <c r="O84" s="252"/>
      <c r="P84" s="19"/>
      <c r="Q84" s="19"/>
      <c r="R84" s="19"/>
      <c r="S84" s="19"/>
      <c r="T84" s="19"/>
      <c r="V84" s="62" t="s">
        <v>184</v>
      </c>
      <c r="W84" s="240" t="s">
        <v>185</v>
      </c>
      <c r="X84" s="240"/>
      <c r="Y84" s="240"/>
      <c r="Z84" s="240" t="s">
        <v>186</v>
      </c>
      <c r="AA84" s="240"/>
      <c r="AB84" s="240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</row>
    <row r="85" spans="3:61" ht="15">
      <c r="C85" s="19"/>
      <c r="D85" s="19"/>
      <c r="E85" s="33" t="s">
        <v>30</v>
      </c>
      <c r="F85" s="250" t="s">
        <v>187</v>
      </c>
      <c r="G85" s="251"/>
      <c r="H85" s="251"/>
      <c r="I85" s="252"/>
      <c r="J85" s="19"/>
      <c r="K85" s="28" t="s">
        <v>188</v>
      </c>
      <c r="L85" s="250" t="s">
        <v>161</v>
      </c>
      <c r="M85" s="251"/>
      <c r="N85" s="251"/>
      <c r="O85" s="252"/>
      <c r="P85" s="19"/>
      <c r="Q85" s="19"/>
      <c r="R85" s="19"/>
      <c r="S85" s="19"/>
      <c r="T85" s="19"/>
      <c r="V85" s="50" t="s">
        <v>42</v>
      </c>
      <c r="W85" s="240" t="s">
        <v>189</v>
      </c>
      <c r="X85" s="240"/>
      <c r="Y85" s="240"/>
      <c r="Z85" s="240" t="s">
        <v>190</v>
      </c>
      <c r="AA85" s="240"/>
      <c r="AB85" s="240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</row>
    <row r="86" spans="3:61" ht="15">
      <c r="C86" s="19"/>
      <c r="D86" s="19"/>
      <c r="E86" s="35" t="s">
        <v>191</v>
      </c>
      <c r="F86" s="250" t="s">
        <v>192</v>
      </c>
      <c r="G86" s="251"/>
      <c r="H86" s="251"/>
      <c r="I86" s="252"/>
      <c r="J86" s="19"/>
      <c r="K86" s="28" t="s">
        <v>193</v>
      </c>
      <c r="L86" s="250" t="s">
        <v>161</v>
      </c>
      <c r="M86" s="251"/>
      <c r="N86" s="251"/>
      <c r="O86" s="252"/>
      <c r="P86" s="19"/>
      <c r="Q86" s="19"/>
      <c r="R86" s="19"/>
      <c r="S86" s="19"/>
      <c r="T86" s="19"/>
      <c r="V86" s="51" t="s">
        <v>194</v>
      </c>
      <c r="W86" s="240" t="s">
        <v>195</v>
      </c>
      <c r="X86" s="240"/>
      <c r="Y86" s="240"/>
      <c r="Z86" s="240" t="s">
        <v>196</v>
      </c>
      <c r="AA86" s="240"/>
      <c r="AB86" s="240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</row>
    <row r="87" spans="3:61" ht="15">
      <c r="C87" s="19"/>
      <c r="D87" s="19"/>
      <c r="E87" s="36" t="s">
        <v>197</v>
      </c>
      <c r="F87" s="250" t="s">
        <v>198</v>
      </c>
      <c r="G87" s="251"/>
      <c r="H87" s="251"/>
      <c r="I87" s="252"/>
      <c r="J87" s="19"/>
      <c r="K87" s="37" t="s">
        <v>199</v>
      </c>
      <c r="L87" s="250" t="s">
        <v>161</v>
      </c>
      <c r="M87" s="251"/>
      <c r="N87" s="251"/>
      <c r="O87" s="252"/>
      <c r="P87" s="19"/>
      <c r="Q87" s="19"/>
      <c r="R87" s="19"/>
      <c r="S87" s="19"/>
      <c r="T87" s="19"/>
      <c r="V87" s="49" t="s">
        <v>200</v>
      </c>
      <c r="W87" s="240" t="s">
        <v>201</v>
      </c>
      <c r="X87" s="240"/>
      <c r="Y87" s="240"/>
      <c r="Z87" s="240" t="s">
        <v>202</v>
      </c>
      <c r="AA87" s="240"/>
      <c r="AB87" s="240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</row>
    <row r="88" spans="3:61" ht="15">
      <c r="C88" s="19"/>
      <c r="D88" s="19"/>
      <c r="E88" s="27" t="s">
        <v>203</v>
      </c>
      <c r="F88" s="250" t="s">
        <v>204</v>
      </c>
      <c r="G88" s="251"/>
      <c r="H88" s="251"/>
      <c r="I88" s="252"/>
      <c r="J88" s="19"/>
      <c r="K88" s="28" t="s">
        <v>205</v>
      </c>
      <c r="L88" s="250" t="s">
        <v>161</v>
      </c>
      <c r="M88" s="251"/>
      <c r="N88" s="251"/>
      <c r="O88" s="252"/>
      <c r="P88" s="19"/>
      <c r="Q88" s="19"/>
      <c r="R88" s="19"/>
      <c r="S88" s="19"/>
      <c r="T88" s="19"/>
      <c r="V88" s="63" t="s">
        <v>206</v>
      </c>
      <c r="W88" s="240" t="s">
        <v>207</v>
      </c>
      <c r="X88" s="240"/>
      <c r="Y88" s="240"/>
      <c r="Z88" s="240" t="s">
        <v>208</v>
      </c>
      <c r="AA88" s="240"/>
      <c r="AB88" s="240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</row>
    <row r="89" spans="3:61" ht="15">
      <c r="C89" s="19"/>
      <c r="D89" s="19"/>
      <c r="E89" s="36" t="s">
        <v>209</v>
      </c>
      <c r="F89" s="250" t="s">
        <v>210</v>
      </c>
      <c r="G89" s="251"/>
      <c r="H89" s="251"/>
      <c r="I89" s="252"/>
      <c r="J89" s="19"/>
      <c r="K89" s="38" t="s">
        <v>211</v>
      </c>
      <c r="L89" s="250" t="s">
        <v>212</v>
      </c>
      <c r="M89" s="251"/>
      <c r="N89" s="251"/>
      <c r="O89" s="252"/>
      <c r="P89" s="19"/>
      <c r="Q89" s="19"/>
      <c r="R89" s="19"/>
      <c r="S89" s="19"/>
      <c r="T89" s="19"/>
      <c r="V89" s="56" t="s">
        <v>116</v>
      </c>
      <c r="W89" s="240" t="s">
        <v>213</v>
      </c>
      <c r="X89" s="240"/>
      <c r="Y89" s="240"/>
      <c r="Z89" s="240" t="s">
        <v>214</v>
      </c>
      <c r="AA89" s="240"/>
      <c r="AB89" s="240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</row>
    <row r="90" spans="3:61" ht="15">
      <c r="C90" s="19"/>
      <c r="D90" s="19"/>
      <c r="V90" s="54" t="s">
        <v>215</v>
      </c>
      <c r="W90" s="240" t="s">
        <v>216</v>
      </c>
      <c r="X90" s="240"/>
      <c r="Y90" s="240"/>
      <c r="Z90" s="240" t="s">
        <v>217</v>
      </c>
      <c r="AA90" s="240"/>
      <c r="AB90" s="240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</row>
    <row r="91" spans="3:61" ht="15">
      <c r="C91" s="19"/>
      <c r="D91" s="19"/>
      <c r="V91" s="55" t="s">
        <v>113</v>
      </c>
      <c r="W91" s="240" t="s">
        <v>218</v>
      </c>
      <c r="X91" s="240"/>
      <c r="Y91" s="240"/>
      <c r="Z91" s="240" t="s">
        <v>219</v>
      </c>
      <c r="AA91" s="240"/>
      <c r="AB91" s="240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</row>
    <row r="92" spans="3:61" ht="15">
      <c r="C92" s="19"/>
      <c r="D92" s="19"/>
      <c r="V92" s="64" t="s">
        <v>220</v>
      </c>
      <c r="W92" s="240" t="s">
        <v>221</v>
      </c>
      <c r="X92" s="240"/>
      <c r="Y92" s="240"/>
      <c r="Z92" s="240" t="s">
        <v>222</v>
      </c>
      <c r="AA92" s="240"/>
      <c r="AB92" s="240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</row>
    <row r="93" spans="3:61" ht="15">
      <c r="C93" s="19"/>
      <c r="D93" s="19"/>
      <c r="V93" s="65" t="s">
        <v>223</v>
      </c>
      <c r="W93" s="240" t="s">
        <v>224</v>
      </c>
      <c r="X93" s="240"/>
      <c r="Y93" s="240"/>
      <c r="Z93" s="240" t="s">
        <v>225</v>
      </c>
      <c r="AA93" s="240"/>
      <c r="AB93" s="240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</row>
    <row r="94" spans="3:61" ht="15"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V94" s="66" t="s">
        <v>226</v>
      </c>
      <c r="W94" s="240" t="s">
        <v>227</v>
      </c>
      <c r="X94" s="240"/>
      <c r="Y94" s="240"/>
      <c r="Z94" s="240" t="s">
        <v>228</v>
      </c>
      <c r="AA94" s="240"/>
      <c r="AB94" s="240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</row>
    <row r="95" spans="3:61" ht="15"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V95" s="67" t="s">
        <v>84</v>
      </c>
      <c r="W95" s="240" t="s">
        <v>229</v>
      </c>
      <c r="X95" s="240"/>
      <c r="Y95" s="240"/>
      <c r="Z95" s="240" t="s">
        <v>230</v>
      </c>
      <c r="AA95" s="240"/>
      <c r="AB95" s="240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</row>
    <row r="96" spans="3:61" ht="15"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V96" s="68" t="s">
        <v>41</v>
      </c>
      <c r="W96" s="240" t="s">
        <v>231</v>
      </c>
      <c r="X96" s="240"/>
      <c r="Y96" s="240"/>
      <c r="Z96" s="240" t="s">
        <v>232</v>
      </c>
      <c r="AA96" s="240"/>
      <c r="AB96" s="240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</row>
    <row r="97" spans="3:61" ht="15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V97" s="69" t="s">
        <v>233</v>
      </c>
      <c r="W97" s="240" t="s">
        <v>234</v>
      </c>
      <c r="X97" s="240"/>
      <c r="Y97" s="240"/>
      <c r="Z97" s="240" t="s">
        <v>235</v>
      </c>
      <c r="AA97" s="240"/>
      <c r="AB97" s="240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</row>
    <row r="98" spans="3:61" ht="15"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V98" s="70" t="s">
        <v>66</v>
      </c>
      <c r="W98" s="240" t="s">
        <v>236</v>
      </c>
      <c r="X98" s="240"/>
      <c r="Y98" s="240"/>
      <c r="Z98" s="240" t="s">
        <v>237</v>
      </c>
      <c r="AA98" s="240"/>
      <c r="AB98" s="240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</row>
    <row r="99" spans="3:61" ht="15"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V99" s="52" t="s">
        <v>23</v>
      </c>
      <c r="W99" s="240" t="s">
        <v>238</v>
      </c>
      <c r="X99" s="240"/>
      <c r="Y99" s="240"/>
      <c r="Z99" s="240" t="s">
        <v>239</v>
      </c>
      <c r="AA99" s="240"/>
      <c r="AB99" s="240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</row>
    <row r="100" spans="3:61" ht="15"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V100" s="53" t="s">
        <v>240</v>
      </c>
      <c r="W100" s="240" t="s">
        <v>241</v>
      </c>
      <c r="X100" s="240"/>
      <c r="Y100" s="240"/>
      <c r="Z100" s="240" t="s">
        <v>242</v>
      </c>
      <c r="AA100" s="240"/>
      <c r="AB100" s="240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</row>
    <row r="101" spans="3:61" ht="15"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V101" s="71" t="s">
        <v>243</v>
      </c>
      <c r="W101" s="240" t="s">
        <v>244</v>
      </c>
      <c r="X101" s="240"/>
      <c r="Y101" s="240"/>
      <c r="Z101" s="240" t="s">
        <v>245</v>
      </c>
      <c r="AA101" s="240"/>
      <c r="AB101" s="240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</row>
    <row r="102" spans="3:61" ht="15"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V102" s="48" t="s">
        <v>246</v>
      </c>
      <c r="W102" s="240" t="s">
        <v>247</v>
      </c>
      <c r="X102" s="240"/>
      <c r="Y102" s="240"/>
      <c r="Z102" s="240" t="s">
        <v>248</v>
      </c>
      <c r="AA102" s="240"/>
      <c r="AB102" s="240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</row>
    <row r="103" spans="3:61" ht="15"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</row>
    <row r="104" spans="3:61" ht="15"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</row>
    <row r="105" spans="3:61" ht="15"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</row>
    <row r="106" spans="3:61" ht="15"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</row>
    <row r="107" spans="3:61" ht="15"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</row>
    <row r="108" spans="3:61" ht="15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</row>
    <row r="109" spans="3:61" ht="15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</row>
    <row r="110" spans="3:61" ht="15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</row>
    <row r="111" spans="3:61" ht="15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</row>
    <row r="112" spans="3:61" ht="15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</row>
    <row r="113" spans="3:61" ht="15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</row>
    <row r="114" spans="3:61" ht="15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</row>
    <row r="115" spans="3:61" ht="15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</row>
    <row r="116" spans="3:61" ht="15"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</row>
    <row r="117" spans="3:61" ht="15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</row>
    <row r="118" spans="3:61" ht="15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</row>
    <row r="119" spans="3:61" ht="15"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</row>
    <row r="120" spans="3:61" ht="15"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</row>
    <row r="121" spans="3:61" ht="15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</row>
    <row r="122" spans="3:61" ht="15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</row>
    <row r="123" spans="3:61" ht="15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</row>
    <row r="124" spans="3:61" ht="15"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</row>
    <row r="125" spans="3:61" ht="15"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</row>
    <row r="126" spans="3:61" ht="15"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</row>
    <row r="127" spans="3:61" ht="15"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</row>
    <row r="128" spans="3:61" ht="15"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</row>
    <row r="129" spans="3:61" ht="15"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</row>
    <row r="130" spans="3:61" ht="15"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</row>
    <row r="131" spans="3:61" ht="15"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</row>
    <row r="132" spans="3:61" ht="15"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</row>
    <row r="133" spans="3:61" ht="15"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</row>
    <row r="134" spans="3:61" ht="15"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</row>
    <row r="135" spans="3:61" ht="15"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</row>
    <row r="136" spans="3:61" ht="15"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</row>
    <row r="137" spans="3:61" ht="15"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</row>
    <row r="138" spans="3:61" ht="15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</row>
    <row r="139" spans="3:61" ht="15"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</row>
    <row r="140" spans="3:61" ht="15"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</row>
    <row r="141" spans="3:61" ht="15"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</row>
    <row r="142" spans="3:61" ht="15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</row>
    <row r="143" spans="3:61" ht="15"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</row>
    <row r="144" spans="3:61" ht="15"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</row>
    <row r="145" spans="3:61" ht="15"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</row>
    <row r="146" spans="3:61" ht="15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</row>
    <row r="147" spans="3:61" ht="15"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</row>
    <row r="148" spans="3:61" ht="15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</row>
    <row r="149" spans="3:61" ht="15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</row>
    <row r="150" spans="3:61" ht="15"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</row>
    <row r="151" spans="3:61" ht="15"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</row>
    <row r="152" spans="3:61" ht="15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</row>
    <row r="153" spans="3:61" ht="15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</row>
    <row r="154" spans="3:61" ht="15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</row>
    <row r="155" spans="3:61" ht="15"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</row>
    <row r="156" spans="3:61" ht="15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</row>
    <row r="157" spans="3:61" ht="15"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</row>
    <row r="158" spans="3:61" ht="15"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</row>
    <row r="159" spans="3:61" ht="15"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</row>
    <row r="160" spans="3:61" ht="15"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</row>
    <row r="161" spans="3:61" ht="15"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</row>
    <row r="162" spans="3:61" ht="15"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</row>
    <row r="163" spans="3:61" ht="15"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</row>
    <row r="164" spans="3:61" ht="15"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</row>
    <row r="165" spans="3:61" ht="15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</row>
    <row r="166" spans="3:61" ht="15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</row>
    <row r="167" spans="3:61" ht="15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</row>
    <row r="168" spans="3:61" ht="15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</row>
    <row r="169" spans="3:61" ht="15"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</row>
    <row r="170" spans="3:61" ht="15"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</row>
    <row r="171" spans="3:61" ht="15"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</row>
    <row r="172" spans="3:61" ht="15"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</row>
    <row r="173" spans="3:61" ht="15"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</row>
    <row r="174" spans="3:61" ht="15"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</row>
    <row r="175" spans="3:61" ht="15"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</row>
    <row r="176" spans="3:61" ht="15"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</row>
    <row r="177" spans="3:61" ht="15"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</row>
    <row r="178" spans="3:61" ht="15"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</row>
    <row r="179" spans="3:61" ht="15"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</row>
    <row r="180" spans="3:61" ht="15"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</row>
    <row r="181" spans="3:61" ht="15"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</row>
    <row r="182" spans="3:61" ht="15"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</row>
    <row r="183" spans="3:61" ht="15"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</row>
    <row r="184" spans="3:61" ht="15"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</row>
    <row r="185" spans="3:61" ht="15"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</row>
    <row r="186" spans="3:61" ht="15"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</row>
    <row r="187" spans="3:61" ht="15"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</row>
    <row r="188" spans="3:61" ht="15"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</row>
    <row r="189" spans="3:61" ht="15"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</row>
    <row r="190" spans="3:61" ht="15"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</row>
    <row r="191" spans="3:61" ht="15"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</row>
    <row r="192" spans="3:61" ht="15"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</row>
    <row r="193" spans="3:61" ht="15"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</row>
    <row r="194" spans="3:61" ht="15"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</row>
    <row r="195" spans="3:61" ht="15"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</row>
    <row r="196" spans="3:61" ht="15"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</row>
    <row r="197" spans="3:61" ht="15"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</row>
    <row r="198" spans="3:61" ht="15"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</row>
    <row r="199" spans="3:61" ht="15"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</row>
    <row r="200" spans="3:61" ht="15"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</row>
    <row r="201" spans="3:61" ht="15"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</row>
    <row r="202" spans="3:61" ht="15"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</row>
    <row r="203" spans="3:61" ht="15"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</row>
    <row r="204" spans="3:61" ht="15"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</row>
    <row r="205" spans="3:61" ht="15"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</row>
    <row r="206" spans="3:61" ht="15"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</row>
    <row r="207" spans="3:61" ht="15"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</row>
    <row r="208" spans="3:61" ht="15"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</row>
    <row r="209" spans="3:61" ht="15"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</row>
    <row r="210" spans="3:61" ht="15"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</row>
    <row r="211" spans="3:61" ht="15"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</row>
    <row r="212" spans="3:61" ht="15"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</row>
    <row r="213" spans="3:61" ht="15"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</row>
    <row r="214" spans="3:61" ht="15"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</row>
    <row r="215" spans="3:61" ht="15"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</row>
    <row r="216" spans="3:61" ht="15"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</row>
    <row r="217" spans="3:61" ht="15"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</row>
    <row r="218" spans="3:61" ht="15"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</row>
    <row r="219" spans="3:61" ht="15"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</row>
    <row r="220" spans="3:61" ht="15"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</row>
    <row r="221" spans="3:61" ht="15"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</row>
    <row r="222" spans="3:61" ht="15"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</row>
    <row r="223" spans="3:61" ht="15"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</row>
    <row r="224" spans="3:61" ht="15"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</row>
    <row r="225" spans="3:61" ht="15"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</row>
    <row r="226" spans="3:61" ht="15"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</row>
    <row r="227" spans="3:61" ht="15"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</row>
    <row r="228" spans="3:61" ht="15"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</row>
    <row r="229" spans="3:61" ht="15"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</row>
    <row r="230" spans="3:61" ht="15"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</row>
    <row r="231" spans="3:61" ht="15"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</row>
    <row r="232" spans="3:61" ht="15"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</row>
    <row r="233" spans="3:61" ht="15"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</row>
    <row r="234" spans="3:61" ht="15"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</row>
    <row r="235" spans="3:61" ht="15"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</row>
    <row r="236" spans="3:61" ht="15"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</row>
    <row r="237" spans="3:61" ht="15"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</row>
    <row r="238" spans="3:61" ht="15"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</row>
    <row r="239" spans="3:61" ht="15"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</row>
    <row r="240" spans="3:61" ht="15"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</row>
    <row r="241" spans="3:61" ht="15"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</row>
    <row r="242" spans="3:61" ht="15"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</row>
    <row r="243" spans="3:61" ht="15"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</row>
    <row r="244" spans="3:61" ht="15"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</row>
    <row r="245" spans="3:61" ht="15"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</row>
    <row r="246" spans="3:61" ht="15"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</row>
    <row r="247" spans="3:61" ht="15"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</row>
    <row r="248" spans="3:61" ht="15"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</row>
    <row r="249" spans="3:61" ht="15"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</row>
    <row r="250" spans="3:61" ht="15"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</row>
    <row r="251" spans="3:61" ht="15"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</row>
    <row r="252" spans="3:61" ht="15"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</row>
    <row r="253" spans="3:61" ht="15"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</row>
    <row r="254" spans="3:61" ht="15"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</row>
    <row r="255" spans="3:61" ht="15"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</row>
    <row r="256" spans="3:61" ht="15"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</row>
    <row r="257" spans="3:61" ht="15"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</row>
    <row r="258" spans="3:61" ht="15"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</row>
    <row r="259" spans="3:61" ht="15"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</row>
    <row r="260" spans="3:61" ht="15"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</row>
    <row r="261" spans="3:61" ht="15"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</row>
    <row r="262" spans="3:61" ht="15"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</row>
    <row r="263" spans="3:61" ht="15"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</row>
    <row r="264" spans="3:61" ht="15"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</row>
    <row r="265" spans="3:61" ht="15"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</row>
    <row r="266" spans="3:61" ht="15"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</row>
    <row r="267" spans="3:61" ht="15"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</row>
    <row r="268" spans="3:61" ht="15"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</row>
    <row r="269" spans="3:61" ht="15"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</row>
    <row r="270" spans="3:61" ht="15"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</row>
    <row r="271" spans="3:61" ht="15"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</row>
    <row r="272" spans="3:61" ht="15"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</row>
    <row r="273" spans="3:61" ht="15"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</row>
    <row r="274" spans="3:61" ht="15"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</row>
    <row r="275" spans="3:61" ht="15"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</row>
    <row r="276" spans="3:61" ht="15"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</row>
    <row r="277" spans="3:61" ht="15"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</row>
    <row r="278" spans="3:61" ht="15"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</row>
    <row r="279" spans="3:61" ht="15"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</row>
    <row r="280" spans="3:61" ht="15"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</row>
    <row r="281" spans="3:61" ht="15"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</row>
    <row r="282" spans="3:61" ht="15"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</row>
    <row r="283" spans="3:61" ht="15"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</row>
    <row r="284" spans="3:61" ht="15"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</row>
    <row r="285" spans="3:61" ht="15"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</row>
    <row r="286" spans="3:61" ht="15"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</row>
    <row r="287" spans="3:61" ht="15"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</row>
    <row r="288" spans="3:61" ht="15"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</row>
    <row r="289" spans="3:61" ht="15"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</row>
    <row r="290" spans="3:61" ht="15"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</row>
    <row r="291" spans="3:61" ht="15"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</row>
    <row r="292" spans="3:61" ht="15"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</row>
    <row r="293" spans="3:61" ht="15"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</row>
    <row r="294" spans="3:61" ht="15"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</row>
    <row r="295" spans="3:61" ht="15"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</row>
    <row r="296" spans="3:61" ht="15"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</row>
    <row r="297" spans="3:61" ht="15"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</row>
    <row r="298" spans="3:61" ht="15"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</row>
    <row r="299" spans="3:61" ht="15"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</row>
    <row r="300" spans="3:61" ht="15"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</row>
    <row r="301" spans="3:61" ht="15"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</row>
    <row r="302" spans="3:61" ht="15"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</row>
    <row r="303" spans="3:61" ht="15"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</row>
    <row r="304" spans="3:61" ht="15"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</row>
    <row r="305" spans="3:61" ht="15"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</row>
    <row r="306" spans="3:61" ht="15"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</row>
    <row r="307" spans="3:61" ht="15"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</row>
    <row r="308" spans="3:61" ht="15"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</row>
    <row r="309" spans="3:61" ht="15"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</row>
    <row r="310" spans="3:61" ht="15"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</row>
    <row r="311" spans="3:61" ht="15"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</row>
    <row r="312" spans="3:61" ht="15"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</row>
    <row r="313" spans="3:61" ht="15"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</row>
    <row r="314" spans="3:61" ht="15"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</row>
    <row r="315" spans="3:61" ht="15"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</row>
    <row r="316" spans="3:61" ht="15"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</row>
    <row r="317" spans="3:61" ht="15"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</row>
    <row r="318" spans="3:61" ht="15"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</row>
    <row r="319" spans="3:61" ht="15"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</row>
    <row r="320" spans="3:61" ht="15"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</row>
    <row r="321" spans="3:61" ht="15"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</row>
    <row r="322" spans="3:61" ht="15"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</row>
    <row r="323" spans="3:61" ht="15"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</row>
    <row r="324" spans="3:61" ht="15"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</row>
    <row r="325" spans="3:61" ht="15"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</row>
    <row r="326" spans="3:61" ht="15"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</row>
    <row r="327" spans="3:61" ht="15"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</row>
    <row r="328" spans="3:61" ht="15"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</row>
    <row r="329" spans="3:61" ht="15"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</row>
    <row r="330" spans="3:61" ht="15"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</row>
    <row r="331" spans="3:61" ht="15"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</row>
    <row r="332" spans="3:61" ht="15"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</row>
    <row r="333" spans="3:61" ht="15"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</row>
    <row r="334" spans="3:61" ht="15"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</row>
    <row r="335" spans="3:61" ht="15"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</row>
    <row r="336" spans="3:61" ht="15"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</row>
    <row r="337" spans="3:61" ht="15"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</row>
    <row r="338" spans="3:61" ht="15"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</row>
    <row r="339" spans="3:61" ht="15"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</row>
    <row r="340" spans="3:61" ht="15"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</row>
    <row r="341" spans="3:61" ht="15"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</row>
    <row r="342" spans="3:61" ht="15"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</row>
    <row r="343" spans="3:61" ht="15"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</row>
    <row r="344" spans="3:61" ht="15"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</row>
    <row r="345" spans="3:61" ht="15"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</row>
    <row r="346" spans="3:61" ht="15"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</row>
    <row r="347" spans="3:61" ht="15"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</row>
    <row r="348" spans="3:61" ht="15"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</row>
    <row r="349" spans="3:61" ht="15"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</row>
    <row r="350" spans="3:61" ht="15"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</row>
    <row r="351" spans="3:61" ht="15"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</row>
    <row r="352" spans="3:61" ht="15"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</row>
    <row r="353" spans="3:61" ht="15"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</row>
    <row r="354" spans="3:61" ht="15"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</row>
    <row r="355" spans="3:61" ht="15"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</row>
    <row r="356" spans="3:61" ht="15"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</row>
    <row r="357" spans="3:61" ht="15"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</row>
    <row r="358" spans="3:61" ht="15"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</row>
    <row r="359" spans="3:61" ht="15"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</row>
    <row r="360" spans="3:61" ht="15"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</row>
    <row r="361" spans="3:61" ht="15"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</row>
    <row r="362" spans="3:61" ht="15"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</row>
    <row r="363" spans="3:61" ht="15"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</row>
    <row r="364" spans="3:61" ht="15"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</row>
    <row r="365" spans="3:61" ht="15"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</row>
    <row r="366" spans="3:61" ht="15"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</row>
    <row r="367" spans="3:61" ht="15"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</row>
    <row r="368" spans="3:61" ht="15"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</row>
    <row r="369" spans="3:61" ht="15"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</row>
  </sheetData>
  <mergeCells count="109">
    <mergeCell ref="Z80:AB80"/>
    <mergeCell ref="W81:Y81"/>
    <mergeCell ref="Z81:AB81"/>
    <mergeCell ref="F81:I81"/>
    <mergeCell ref="L81:O81"/>
    <mergeCell ref="F82:I82"/>
    <mergeCell ref="L82:O82"/>
    <mergeCell ref="F88:I88"/>
    <mergeCell ref="L88:O88"/>
    <mergeCell ref="W82:Y82"/>
    <mergeCell ref="Z82:AB82"/>
    <mergeCell ref="W83:Y83"/>
    <mergeCell ref="Z83:AB83"/>
    <mergeCell ref="W84:Y84"/>
    <mergeCell ref="Z84:AB84"/>
    <mergeCell ref="W85:Y85"/>
    <mergeCell ref="Z85:AB85"/>
    <mergeCell ref="W86:Y86"/>
    <mergeCell ref="Z86:AB86"/>
    <mergeCell ref="W87:Y87"/>
    <mergeCell ref="Z87:AB87"/>
    <mergeCell ref="W88:Y88"/>
    <mergeCell ref="Z88:AB88"/>
    <mergeCell ref="F89:I89"/>
    <mergeCell ref="L89:O89"/>
    <mergeCell ref="F85:I85"/>
    <mergeCell ref="L85:O85"/>
    <mergeCell ref="F86:I86"/>
    <mergeCell ref="L86:O86"/>
    <mergeCell ref="R80:S80"/>
    <mergeCell ref="R76:S76"/>
    <mergeCell ref="R77:S77"/>
    <mergeCell ref="R79:S79"/>
    <mergeCell ref="C2:D2"/>
    <mergeCell ref="C3:D4"/>
    <mergeCell ref="AL2:AN3"/>
    <mergeCell ref="B2:B4"/>
    <mergeCell ref="B5:B12"/>
    <mergeCell ref="B13:B24"/>
    <mergeCell ref="B36:B39"/>
    <mergeCell ref="B40:B47"/>
    <mergeCell ref="B25:B35"/>
    <mergeCell ref="B49:C51"/>
    <mergeCell ref="W75:Y75"/>
    <mergeCell ref="Z75:AB75"/>
    <mergeCell ref="W76:Y76"/>
    <mergeCell ref="Z76:AB76"/>
    <mergeCell ref="W77:Y77"/>
    <mergeCell ref="Z77:AB77"/>
    <mergeCell ref="W78:Y78"/>
    <mergeCell ref="Z78:AB78"/>
    <mergeCell ref="F75:I75"/>
    <mergeCell ref="R78:S78"/>
    <mergeCell ref="B53:C56"/>
    <mergeCell ref="B58:C61"/>
    <mergeCell ref="B63:C65"/>
    <mergeCell ref="B67:C69"/>
    <mergeCell ref="W79:Y79"/>
    <mergeCell ref="Z79:AB79"/>
    <mergeCell ref="W80:Y80"/>
    <mergeCell ref="AP2:AR3"/>
    <mergeCell ref="AT2:AT4"/>
    <mergeCell ref="L75:O75"/>
    <mergeCell ref="E2:AI2"/>
    <mergeCell ref="Q75:S75"/>
    <mergeCell ref="L87:O87"/>
    <mergeCell ref="F87:I87"/>
    <mergeCell ref="L84:O84"/>
    <mergeCell ref="F84:I84"/>
    <mergeCell ref="L83:O83"/>
    <mergeCell ref="F83:I83"/>
    <mergeCell ref="L76:O76"/>
    <mergeCell ref="F76:I76"/>
    <mergeCell ref="L79:O79"/>
    <mergeCell ref="F79:I79"/>
    <mergeCell ref="F80:I80"/>
    <mergeCell ref="L80:O80"/>
    <mergeCell ref="F77:I77"/>
    <mergeCell ref="L77:O77"/>
    <mergeCell ref="F78:I78"/>
    <mergeCell ref="L78:O78"/>
    <mergeCell ref="W89:Y89"/>
    <mergeCell ref="Z89:AB89"/>
    <mergeCell ref="W90:Y90"/>
    <mergeCell ref="Z90:AB90"/>
    <mergeCell ref="W91:Y91"/>
    <mergeCell ref="Z91:AB91"/>
    <mergeCell ref="W92:Y92"/>
    <mergeCell ref="Z92:AB92"/>
    <mergeCell ref="W93:Y93"/>
    <mergeCell ref="Z93:AB93"/>
    <mergeCell ref="W94:Y94"/>
    <mergeCell ref="Z94:AB94"/>
    <mergeCell ref="W95:Y95"/>
    <mergeCell ref="Z95:AB95"/>
    <mergeCell ref="W96:Y96"/>
    <mergeCell ref="Z96:AB96"/>
    <mergeCell ref="W102:Y102"/>
    <mergeCell ref="Z102:AB102"/>
    <mergeCell ref="W97:Y97"/>
    <mergeCell ref="Z97:AB97"/>
    <mergeCell ref="W98:Y98"/>
    <mergeCell ref="Z98:AB98"/>
    <mergeCell ref="W99:Y99"/>
    <mergeCell ref="Z99:AB99"/>
    <mergeCell ref="W100:Y100"/>
    <mergeCell ref="Z100:AB100"/>
    <mergeCell ref="W101:Y101"/>
    <mergeCell ref="Z101:AB101"/>
  </mergeCells>
  <conditionalFormatting sqref="AN5:AN47">
    <cfRule type="cellIs" dxfId="72" priority="3" operator="greaterThan">
      <formula>1</formula>
    </cfRule>
    <cfRule type="cellIs" dxfId="71" priority="4" operator="equal">
      <formula>1</formula>
    </cfRule>
    <cfRule type="cellIs" dxfId="70" priority="12" operator="greaterThan">
      <formula>0</formula>
    </cfRule>
  </conditionalFormatting>
  <conditionalFormatting sqref="AR5:AR47">
    <cfRule type="cellIs" dxfId="69" priority="1" operator="lessThan">
      <formula>0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equal" id="{7113070D-3716-4D7C-976C-39F8426BD705}">
            <xm:f>Sheet1!$B$3</xm:f>
            <x14:dxf>
              <fill>
                <patternFill>
                  <bgColor theme="6" tint="0.79998168889431442"/>
                </patternFill>
              </fill>
            </x14:dxf>
          </x14:cfRule>
          <x14:cfRule type="cellIs" priority="8" operator="equal" id="{00B1E2AE-831A-41E2-AD36-C5F9B4D5C368}">
            <xm:f>Sheet1!$B$2</xm:f>
            <x14:dxf>
              <fill>
                <patternFill>
                  <bgColor rgb="FFFFFF99"/>
                </patternFill>
              </fill>
            </x14:dxf>
          </x14:cfRule>
          <xm:sqref>B2:B4</xm:sqref>
        </x14:conditionalFormatting>
        <x14:conditionalFormatting xmlns:xm="http://schemas.microsoft.com/office/excel/2006/main">
          <x14:cfRule type="cellIs" priority="11" operator="equal" id="{9B7A719D-4A88-4B57-ACDF-4FEA5BF8AA46}">
            <xm:f>Sheet1!$B$2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C79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9EAE6F3-6FAB-41A3-9D8B-709190E601A6}">
          <x14:formula1>
            <xm:f>Sheet1!$B$2:$B$3</xm:f>
          </x14:formula1>
          <xm:sqref>B2:B4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EC0C-0CE1-4B44-A8FE-00883483EEB9}">
  <dimension ref="B2:BH326"/>
  <sheetViews>
    <sheetView showGridLines="0" zoomScaleNormal="100" workbookViewId="0">
      <pane xSplit="4" ySplit="4" topLeftCell="E5" activePane="bottomRight" state="frozen"/>
      <selection pane="bottomRight" activeCell="R19" sqref="R19"/>
      <selection pane="bottomLeft"/>
      <selection pane="topRight"/>
    </sheetView>
  </sheetViews>
  <sheetFormatPr defaultRowHeight="15"/>
  <cols>
    <col min="1" max="2" width="9.140625" style="18"/>
    <col min="3" max="3" width="20.7109375" style="18" customWidth="1"/>
    <col min="4" max="4" width="30.28515625" style="18" bestFit="1" customWidth="1"/>
    <col min="5" max="32" width="6" style="18" customWidth="1"/>
    <col min="33" max="41" width="9.140625" style="18"/>
    <col min="42" max="42" width="10.7109375" style="18" customWidth="1"/>
    <col min="43" max="16384" width="9.140625" style="18"/>
  </cols>
  <sheetData>
    <row r="2" spans="2:57" ht="15.75" customHeight="1">
      <c r="B2" s="270" t="s">
        <v>0</v>
      </c>
      <c r="C2" s="267" t="s">
        <v>2</v>
      </c>
      <c r="D2" s="267"/>
      <c r="E2" s="253" t="s">
        <v>249</v>
      </c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5"/>
      <c r="AH2" s="241" t="s">
        <v>4</v>
      </c>
      <c r="AI2" s="242"/>
      <c r="AJ2" s="243"/>
      <c r="AL2" s="241" t="s">
        <v>5</v>
      </c>
      <c r="AM2" s="242"/>
      <c r="AN2" s="243"/>
      <c r="AP2" s="247" t="s">
        <v>6</v>
      </c>
    </row>
    <row r="3" spans="2:57" ht="15.75">
      <c r="B3" s="271"/>
      <c r="C3" s="268" t="s">
        <v>250</v>
      </c>
      <c r="D3" s="268"/>
      <c r="E3" s="2" t="s">
        <v>11</v>
      </c>
      <c r="F3" s="1" t="s">
        <v>12</v>
      </c>
      <c r="G3" s="1" t="s">
        <v>13</v>
      </c>
      <c r="H3" s="1" t="s">
        <v>14</v>
      </c>
      <c r="I3" s="1" t="s">
        <v>8</v>
      </c>
      <c r="J3" s="1" t="s">
        <v>9</v>
      </c>
      <c r="K3" s="2" t="s">
        <v>10</v>
      </c>
      <c r="L3" s="2" t="s">
        <v>11</v>
      </c>
      <c r="M3" s="1" t="s">
        <v>12</v>
      </c>
      <c r="N3" s="1" t="s">
        <v>13</v>
      </c>
      <c r="O3" s="1" t="s">
        <v>14</v>
      </c>
      <c r="P3" s="1" t="s">
        <v>8</v>
      </c>
      <c r="Q3" s="1" t="s">
        <v>9</v>
      </c>
      <c r="R3" s="2" t="s">
        <v>10</v>
      </c>
      <c r="S3" s="2" t="s">
        <v>11</v>
      </c>
      <c r="T3" s="1" t="s">
        <v>12</v>
      </c>
      <c r="U3" s="13" t="s">
        <v>13</v>
      </c>
      <c r="V3" s="1" t="s">
        <v>14</v>
      </c>
      <c r="W3" s="1" t="s">
        <v>8</v>
      </c>
      <c r="X3" s="1" t="s">
        <v>9</v>
      </c>
      <c r="Y3" s="2" t="s">
        <v>10</v>
      </c>
      <c r="Z3" s="2" t="s">
        <v>11</v>
      </c>
      <c r="AA3" s="1" t="s">
        <v>12</v>
      </c>
      <c r="AB3" s="1" t="s">
        <v>13</v>
      </c>
      <c r="AC3" s="1" t="s">
        <v>14</v>
      </c>
      <c r="AD3" s="1" t="s">
        <v>8</v>
      </c>
      <c r="AE3" s="1" t="s">
        <v>9</v>
      </c>
      <c r="AF3" s="3" t="s">
        <v>10</v>
      </c>
      <c r="AH3" s="244"/>
      <c r="AI3" s="245"/>
      <c r="AJ3" s="246"/>
      <c r="AL3" s="244"/>
      <c r="AM3" s="245"/>
      <c r="AN3" s="246"/>
      <c r="AP3" s="248"/>
    </row>
    <row r="4" spans="2:57" ht="16.5" thickBot="1">
      <c r="B4" s="272"/>
      <c r="C4" s="269"/>
      <c r="D4" s="269"/>
      <c r="E4" s="100">
        <v>1</v>
      </c>
      <c r="F4" s="99">
        <v>2</v>
      </c>
      <c r="G4" s="99">
        <v>3</v>
      </c>
      <c r="H4" s="99">
        <v>4</v>
      </c>
      <c r="I4" s="99">
        <v>5</v>
      </c>
      <c r="J4" s="99">
        <v>6</v>
      </c>
      <c r="K4" s="100">
        <v>7</v>
      </c>
      <c r="L4" s="100">
        <v>8</v>
      </c>
      <c r="M4" s="99">
        <v>9</v>
      </c>
      <c r="N4" s="99">
        <v>10</v>
      </c>
      <c r="O4" s="99">
        <v>11</v>
      </c>
      <c r="P4" s="99">
        <v>12</v>
      </c>
      <c r="Q4" s="99">
        <v>13</v>
      </c>
      <c r="R4" s="100">
        <v>14</v>
      </c>
      <c r="S4" s="100">
        <v>15</v>
      </c>
      <c r="T4" s="99">
        <v>16</v>
      </c>
      <c r="U4" s="123">
        <v>17</v>
      </c>
      <c r="V4" s="99">
        <v>18</v>
      </c>
      <c r="W4" s="99">
        <v>19</v>
      </c>
      <c r="X4" s="99">
        <v>20</v>
      </c>
      <c r="Y4" s="100">
        <v>21</v>
      </c>
      <c r="Z4" s="100">
        <v>22</v>
      </c>
      <c r="AA4" s="99">
        <v>23</v>
      </c>
      <c r="AB4" s="99">
        <v>24</v>
      </c>
      <c r="AC4" s="99">
        <v>25</v>
      </c>
      <c r="AD4" s="99">
        <v>26</v>
      </c>
      <c r="AE4" s="99">
        <v>27</v>
      </c>
      <c r="AF4" s="101">
        <v>28</v>
      </c>
      <c r="AH4" s="23">
        <v>2025</v>
      </c>
      <c r="AI4" s="24" t="s">
        <v>15</v>
      </c>
      <c r="AJ4" s="23" t="s">
        <v>16</v>
      </c>
      <c r="AK4" s="25"/>
      <c r="AL4" s="23">
        <v>2026</v>
      </c>
      <c r="AM4" s="24" t="s">
        <v>15</v>
      </c>
      <c r="AN4" s="23" t="s">
        <v>16</v>
      </c>
      <c r="AP4" s="249"/>
    </row>
    <row r="5" spans="2:57" ht="15" customHeight="1">
      <c r="B5" s="273" t="s">
        <v>17</v>
      </c>
      <c r="C5" s="214" t="s">
        <v>18</v>
      </c>
      <c r="D5" s="215" t="s">
        <v>19</v>
      </c>
      <c r="E5" s="218" t="s">
        <v>22</v>
      </c>
      <c r="F5" s="218" t="s">
        <v>22</v>
      </c>
      <c r="G5" s="217" t="s">
        <v>21</v>
      </c>
      <c r="H5" s="217" t="s">
        <v>21</v>
      </c>
      <c r="I5" s="217" t="s">
        <v>21</v>
      </c>
      <c r="J5" s="217" t="s">
        <v>21</v>
      </c>
      <c r="K5" s="218" t="s">
        <v>22</v>
      </c>
      <c r="L5" s="218" t="s">
        <v>22</v>
      </c>
      <c r="M5" s="219" t="s">
        <v>23</v>
      </c>
      <c r="N5" s="219" t="s">
        <v>23</v>
      </c>
      <c r="O5" s="219" t="s">
        <v>23</v>
      </c>
      <c r="P5" s="219" t="s">
        <v>23</v>
      </c>
      <c r="Q5" s="218" t="s">
        <v>22</v>
      </c>
      <c r="R5" s="218" t="s">
        <v>22</v>
      </c>
      <c r="S5" s="217" t="s">
        <v>21</v>
      </c>
      <c r="T5" s="217" t="s">
        <v>21</v>
      </c>
      <c r="U5" s="217" t="s">
        <v>21</v>
      </c>
      <c r="V5" s="217" t="s">
        <v>21</v>
      </c>
      <c r="W5" s="218" t="s">
        <v>22</v>
      </c>
      <c r="X5" s="218" t="s">
        <v>22</v>
      </c>
      <c r="Y5" s="219" t="s">
        <v>23</v>
      </c>
      <c r="Z5" s="219" t="s">
        <v>23</v>
      </c>
      <c r="AA5" s="219" t="s">
        <v>23</v>
      </c>
      <c r="AB5" s="219" t="s">
        <v>23</v>
      </c>
      <c r="AC5" s="218" t="s">
        <v>22</v>
      </c>
      <c r="AD5" s="218" t="s">
        <v>22</v>
      </c>
      <c r="AE5" s="217" t="s">
        <v>21</v>
      </c>
      <c r="AF5" s="231" t="s">
        <v>21</v>
      </c>
      <c r="AG5" s="19"/>
      <c r="AH5" s="20">
        <f>JAN!AN5</f>
        <v>1</v>
      </c>
      <c r="AI5" s="21">
        <f>COUNTIF(E5:AF5, "UA")</f>
        <v>0</v>
      </c>
      <c r="AJ5" s="20">
        <f>AH5-AI5</f>
        <v>1</v>
      </c>
      <c r="AK5" s="19"/>
      <c r="AL5" s="20"/>
      <c r="AM5" s="21">
        <f t="shared" ref="AM5:AM47" si="0">COUNTIF(E5:AF5, "U")</f>
        <v>0</v>
      </c>
      <c r="AN5" s="20">
        <f t="shared" ref="AN5:AN47" si="1">AL5-AM5</f>
        <v>0</v>
      </c>
      <c r="AO5" s="19"/>
      <c r="AP5" s="21">
        <f t="shared" ref="AP5:AP47" si="2">COUNTIF(E5:AF5,"P*")+COUNTIF(E5:AF5,"H*")+COUNTIF(E5:AF5,"T*")-COUNTIF(E5:AF5,"H")-COUNTIF(E5:AF5,"P")</f>
        <v>18</v>
      </c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</row>
    <row r="6" spans="2:57">
      <c r="B6" s="274"/>
      <c r="C6" s="130" t="s">
        <v>24</v>
      </c>
      <c r="D6" s="20" t="s">
        <v>25</v>
      </c>
      <c r="E6" s="60" t="s">
        <v>21</v>
      </c>
      <c r="F6" s="60" t="s">
        <v>21</v>
      </c>
      <c r="G6" s="28" t="s">
        <v>22</v>
      </c>
      <c r="H6" s="28" t="s">
        <v>22</v>
      </c>
      <c r="I6" s="74" t="s">
        <v>23</v>
      </c>
      <c r="J6" s="74" t="s">
        <v>23</v>
      </c>
      <c r="K6" s="67" t="s">
        <v>84</v>
      </c>
      <c r="L6" s="60" t="s">
        <v>21</v>
      </c>
      <c r="M6" s="28" t="s">
        <v>22</v>
      </c>
      <c r="N6" s="28" t="s">
        <v>22</v>
      </c>
      <c r="O6" s="106" t="s">
        <v>30</v>
      </c>
      <c r="P6" s="32" t="s">
        <v>36</v>
      </c>
      <c r="Q6" s="32" t="s">
        <v>36</v>
      </c>
      <c r="R6" s="32" t="s">
        <v>36</v>
      </c>
      <c r="S6" s="28" t="s">
        <v>22</v>
      </c>
      <c r="T6" s="28" t="s">
        <v>22</v>
      </c>
      <c r="U6" s="32" t="s">
        <v>20</v>
      </c>
      <c r="V6" s="32" t="s">
        <v>36</v>
      </c>
      <c r="W6" s="32" t="s">
        <v>36</v>
      </c>
      <c r="X6" s="32" t="s">
        <v>36</v>
      </c>
      <c r="Y6" s="28" t="s">
        <v>22</v>
      </c>
      <c r="Z6" s="28" t="s">
        <v>22</v>
      </c>
      <c r="AA6" s="60" t="s">
        <v>21</v>
      </c>
      <c r="AB6" s="60" t="s">
        <v>21</v>
      </c>
      <c r="AC6" s="60" t="s">
        <v>21</v>
      </c>
      <c r="AD6" s="60" t="s">
        <v>21</v>
      </c>
      <c r="AE6" s="28" t="s">
        <v>22</v>
      </c>
      <c r="AF6" s="222" t="s">
        <v>22</v>
      </c>
      <c r="AG6" s="19"/>
      <c r="AH6" s="20">
        <f>JAN!AN6</f>
        <v>0</v>
      </c>
      <c r="AI6" s="21">
        <f t="shared" ref="AI6:AI47" si="3">COUNTIF(E6:AF6, "UA")</f>
        <v>0</v>
      </c>
      <c r="AJ6" s="20">
        <f t="shared" ref="AJ6:AJ47" si="4">AH6-AI6</f>
        <v>0</v>
      </c>
      <c r="AK6" s="19"/>
      <c r="AL6" s="20"/>
      <c r="AM6" s="21">
        <f t="shared" si="0"/>
        <v>6</v>
      </c>
      <c r="AN6" s="20">
        <f t="shared" si="1"/>
        <v>-6</v>
      </c>
      <c r="AO6" s="19"/>
      <c r="AP6" s="21">
        <f t="shared" si="2"/>
        <v>10</v>
      </c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</row>
    <row r="7" spans="2:57" ht="15" customHeight="1">
      <c r="B7" s="274"/>
      <c r="C7" s="20" t="s">
        <v>27</v>
      </c>
      <c r="D7" s="20" t="s">
        <v>28</v>
      </c>
      <c r="E7" s="28" t="s">
        <v>22</v>
      </c>
      <c r="F7" s="60" t="s">
        <v>21</v>
      </c>
      <c r="G7" s="60" t="s">
        <v>21</v>
      </c>
      <c r="H7" s="60" t="s">
        <v>21</v>
      </c>
      <c r="I7" s="60" t="s">
        <v>21</v>
      </c>
      <c r="J7" s="28" t="s">
        <v>22</v>
      </c>
      <c r="K7" s="28" t="s">
        <v>22</v>
      </c>
      <c r="L7" s="74" t="s">
        <v>23</v>
      </c>
      <c r="M7" s="74" t="s">
        <v>23</v>
      </c>
      <c r="N7" s="74" t="s">
        <v>23</v>
      </c>
      <c r="O7" s="74" t="s">
        <v>23</v>
      </c>
      <c r="P7" s="28" t="s">
        <v>22</v>
      </c>
      <c r="Q7" s="28" t="s">
        <v>22</v>
      </c>
      <c r="R7" s="60" t="s">
        <v>21</v>
      </c>
      <c r="S7" s="60" t="s">
        <v>21</v>
      </c>
      <c r="T7" s="60" t="s">
        <v>21</v>
      </c>
      <c r="U7" s="60" t="s">
        <v>21</v>
      </c>
      <c r="V7" s="28" t="s">
        <v>22</v>
      </c>
      <c r="W7" s="28" t="s">
        <v>22</v>
      </c>
      <c r="X7" s="60" t="s">
        <v>21</v>
      </c>
      <c r="Y7" s="60" t="s">
        <v>21</v>
      </c>
      <c r="Z7" s="60" t="s">
        <v>21</v>
      </c>
      <c r="AA7" s="60" t="s">
        <v>21</v>
      </c>
      <c r="AB7" s="28" t="s">
        <v>22</v>
      </c>
      <c r="AC7" s="28" t="s">
        <v>22</v>
      </c>
      <c r="AD7" s="78" t="s">
        <v>29</v>
      </c>
      <c r="AE7" s="78" t="s">
        <v>29</v>
      </c>
      <c r="AF7" s="237" t="s">
        <v>29</v>
      </c>
      <c r="AG7" s="19"/>
      <c r="AH7" s="20">
        <f>JAN!AN7</f>
        <v>1</v>
      </c>
      <c r="AI7" s="21">
        <f t="shared" si="3"/>
        <v>0</v>
      </c>
      <c r="AJ7" s="20">
        <f t="shared" si="4"/>
        <v>1</v>
      </c>
      <c r="AK7" s="19"/>
      <c r="AL7" s="26"/>
      <c r="AM7" s="21">
        <f t="shared" si="0"/>
        <v>0</v>
      </c>
      <c r="AN7" s="44">
        <f t="shared" si="1"/>
        <v>0</v>
      </c>
      <c r="AO7" s="19"/>
      <c r="AP7" s="21">
        <f t="shared" si="2"/>
        <v>19</v>
      </c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</row>
    <row r="8" spans="2:57" ht="15" customHeight="1">
      <c r="B8" s="274"/>
      <c r="C8" s="22" t="s">
        <v>31</v>
      </c>
      <c r="D8" s="20" t="s">
        <v>32</v>
      </c>
      <c r="E8" s="74" t="s">
        <v>23</v>
      </c>
      <c r="F8" s="28" t="s">
        <v>22</v>
      </c>
      <c r="G8" s="28" t="s">
        <v>22</v>
      </c>
      <c r="H8" s="60" t="s">
        <v>21</v>
      </c>
      <c r="I8" s="60" t="s">
        <v>21</v>
      </c>
      <c r="J8" s="60" t="s">
        <v>21</v>
      </c>
      <c r="K8" s="60" t="s">
        <v>21</v>
      </c>
      <c r="L8" s="28" t="s">
        <v>22</v>
      </c>
      <c r="M8" s="28" t="s">
        <v>22</v>
      </c>
      <c r="N8" s="74" t="s">
        <v>23</v>
      </c>
      <c r="O8" s="74" t="s">
        <v>23</v>
      </c>
      <c r="P8" s="74" t="s">
        <v>23</v>
      </c>
      <c r="Q8" s="74" t="s">
        <v>23</v>
      </c>
      <c r="R8" s="28" t="s">
        <v>22</v>
      </c>
      <c r="S8" s="28" t="s">
        <v>22</v>
      </c>
      <c r="T8" s="60" t="s">
        <v>21</v>
      </c>
      <c r="U8" s="60" t="s">
        <v>21</v>
      </c>
      <c r="V8" s="60" t="s">
        <v>21</v>
      </c>
      <c r="W8" s="60" t="s">
        <v>21</v>
      </c>
      <c r="X8" s="28" t="s">
        <v>22</v>
      </c>
      <c r="Y8" s="28" t="s">
        <v>22</v>
      </c>
      <c r="Z8" s="74" t="s">
        <v>23</v>
      </c>
      <c r="AA8" s="74" t="s">
        <v>23</v>
      </c>
      <c r="AB8" s="74" t="s">
        <v>23</v>
      </c>
      <c r="AC8" s="74" t="s">
        <v>23</v>
      </c>
      <c r="AD8" s="28" t="s">
        <v>22</v>
      </c>
      <c r="AE8" s="28" t="s">
        <v>22</v>
      </c>
      <c r="AF8" s="221" t="s">
        <v>21</v>
      </c>
      <c r="AG8" s="19"/>
      <c r="AH8" s="20">
        <f>JAN!AN8</f>
        <v>2</v>
      </c>
      <c r="AI8" s="21">
        <f t="shared" si="3"/>
        <v>0</v>
      </c>
      <c r="AJ8" s="20">
        <f t="shared" si="4"/>
        <v>2</v>
      </c>
      <c r="AK8" s="19"/>
      <c r="AL8" s="20"/>
      <c r="AM8" s="21">
        <f t="shared" si="0"/>
        <v>0</v>
      </c>
      <c r="AN8" s="20">
        <f t="shared" si="1"/>
        <v>0</v>
      </c>
      <c r="AO8" s="19"/>
      <c r="AP8" s="21">
        <f t="shared" si="2"/>
        <v>18</v>
      </c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</row>
    <row r="9" spans="2:57" ht="15" customHeight="1">
      <c r="B9" s="274"/>
      <c r="C9" s="20" t="s">
        <v>34</v>
      </c>
      <c r="D9" s="20" t="s">
        <v>35</v>
      </c>
      <c r="E9" s="60" t="s">
        <v>21</v>
      </c>
      <c r="F9" s="60" t="s">
        <v>21</v>
      </c>
      <c r="G9" s="60" t="s">
        <v>21</v>
      </c>
      <c r="H9" s="28" t="s">
        <v>22</v>
      </c>
      <c r="I9" s="28" t="s">
        <v>22</v>
      </c>
      <c r="J9" s="74" t="s">
        <v>23</v>
      </c>
      <c r="K9" s="74" t="s">
        <v>23</v>
      </c>
      <c r="L9" s="74" t="s">
        <v>23</v>
      </c>
      <c r="M9" s="74" t="s">
        <v>23</v>
      </c>
      <c r="N9" s="28" t="s">
        <v>22</v>
      </c>
      <c r="O9" s="28" t="s">
        <v>22</v>
      </c>
      <c r="P9" s="60" t="s">
        <v>21</v>
      </c>
      <c r="Q9" s="60" t="s">
        <v>21</v>
      </c>
      <c r="R9" s="60" t="s">
        <v>21</v>
      </c>
      <c r="S9" s="60" t="s">
        <v>21</v>
      </c>
      <c r="T9" s="28" t="s">
        <v>22</v>
      </c>
      <c r="U9" s="28" t="s">
        <v>22</v>
      </c>
      <c r="V9" s="74" t="s">
        <v>23</v>
      </c>
      <c r="W9" s="74" t="s">
        <v>23</v>
      </c>
      <c r="X9" s="74" t="s">
        <v>23</v>
      </c>
      <c r="Y9" s="74" t="s">
        <v>23</v>
      </c>
      <c r="Z9" s="28" t="s">
        <v>22</v>
      </c>
      <c r="AA9" s="28" t="s">
        <v>22</v>
      </c>
      <c r="AB9" s="60" t="s">
        <v>21</v>
      </c>
      <c r="AC9" s="60" t="s">
        <v>21</v>
      </c>
      <c r="AD9" s="60" t="s">
        <v>21</v>
      </c>
      <c r="AE9" s="60" t="s">
        <v>21</v>
      </c>
      <c r="AF9" s="222" t="s">
        <v>22</v>
      </c>
      <c r="AG9" s="19"/>
      <c r="AH9" s="20">
        <f>JAN!AN9</f>
        <v>0</v>
      </c>
      <c r="AI9" s="21">
        <f t="shared" si="3"/>
        <v>0</v>
      </c>
      <c r="AJ9" s="20">
        <f t="shared" si="4"/>
        <v>0</v>
      </c>
      <c r="AK9" s="19"/>
      <c r="AL9" s="20"/>
      <c r="AM9" s="21">
        <f t="shared" si="0"/>
        <v>0</v>
      </c>
      <c r="AN9" s="20">
        <f t="shared" si="1"/>
        <v>0</v>
      </c>
      <c r="AO9" s="19"/>
      <c r="AP9" s="21">
        <f t="shared" si="2"/>
        <v>19</v>
      </c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</row>
    <row r="10" spans="2:57">
      <c r="B10" s="274"/>
      <c r="C10" s="22" t="s">
        <v>37</v>
      </c>
      <c r="D10" s="20" t="s">
        <v>38</v>
      </c>
      <c r="E10" s="60" t="s">
        <v>21</v>
      </c>
      <c r="F10" s="28" t="s">
        <v>22</v>
      </c>
      <c r="G10" s="28" t="s">
        <v>22</v>
      </c>
      <c r="H10" s="74" t="s">
        <v>23</v>
      </c>
      <c r="I10" s="74" t="s">
        <v>23</v>
      </c>
      <c r="J10" s="74" t="s">
        <v>23</v>
      </c>
      <c r="K10" s="74" t="s">
        <v>23</v>
      </c>
      <c r="L10" s="28" t="s">
        <v>22</v>
      </c>
      <c r="M10" s="28" t="s">
        <v>22</v>
      </c>
      <c r="N10" s="60" t="s">
        <v>21</v>
      </c>
      <c r="O10" s="60" t="s">
        <v>21</v>
      </c>
      <c r="P10" s="60" t="s">
        <v>21</v>
      </c>
      <c r="Q10" s="60" t="s">
        <v>21</v>
      </c>
      <c r="R10" s="28" t="s">
        <v>22</v>
      </c>
      <c r="S10" s="28" t="s">
        <v>22</v>
      </c>
      <c r="T10" s="74" t="s">
        <v>23</v>
      </c>
      <c r="U10" s="74" t="s">
        <v>23</v>
      </c>
      <c r="V10" s="74" t="s">
        <v>23</v>
      </c>
      <c r="W10" s="74" t="s">
        <v>23</v>
      </c>
      <c r="X10" s="28" t="s">
        <v>22</v>
      </c>
      <c r="Y10" s="28" t="s">
        <v>22</v>
      </c>
      <c r="Z10" s="60" t="s">
        <v>21</v>
      </c>
      <c r="AA10" s="60" t="s">
        <v>21</v>
      </c>
      <c r="AB10" s="60" t="s">
        <v>21</v>
      </c>
      <c r="AC10" s="60" t="s">
        <v>21</v>
      </c>
      <c r="AD10" s="28" t="s">
        <v>22</v>
      </c>
      <c r="AE10" s="28" t="s">
        <v>22</v>
      </c>
      <c r="AF10" s="232" t="s">
        <v>30</v>
      </c>
      <c r="AG10" s="19"/>
      <c r="AH10" s="20">
        <f>JAN!AN10</f>
        <v>0</v>
      </c>
      <c r="AI10" s="21">
        <f t="shared" si="3"/>
        <v>0</v>
      </c>
      <c r="AJ10" s="20">
        <f t="shared" si="4"/>
        <v>0</v>
      </c>
      <c r="AK10" s="19"/>
      <c r="AL10" s="20"/>
      <c r="AM10" s="21">
        <f t="shared" si="0"/>
        <v>0</v>
      </c>
      <c r="AN10" s="20">
        <f t="shared" si="1"/>
        <v>0</v>
      </c>
      <c r="AO10" s="19"/>
      <c r="AP10" s="21">
        <f t="shared" si="2"/>
        <v>17</v>
      </c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</row>
    <row r="11" spans="2:57" ht="15" customHeight="1">
      <c r="B11" s="274"/>
      <c r="C11" s="20" t="s">
        <v>39</v>
      </c>
      <c r="D11" s="20" t="s">
        <v>40</v>
      </c>
      <c r="E11" s="74" t="s">
        <v>23</v>
      </c>
      <c r="F11" s="74" t="s">
        <v>23</v>
      </c>
      <c r="G11" s="74" t="s">
        <v>23</v>
      </c>
      <c r="H11" s="28" t="s">
        <v>22</v>
      </c>
      <c r="I11" s="28" t="s">
        <v>22</v>
      </c>
      <c r="J11" s="60" t="s">
        <v>21</v>
      </c>
      <c r="K11" s="60" t="s">
        <v>21</v>
      </c>
      <c r="L11" s="60" t="s">
        <v>21</v>
      </c>
      <c r="M11" s="60" t="s">
        <v>21</v>
      </c>
      <c r="N11" s="28" t="s">
        <v>22</v>
      </c>
      <c r="O11" s="28" t="s">
        <v>22</v>
      </c>
      <c r="P11" s="74" t="s">
        <v>23</v>
      </c>
      <c r="Q11" s="74" t="s">
        <v>23</v>
      </c>
      <c r="R11" s="74" t="s">
        <v>23</v>
      </c>
      <c r="S11" s="74" t="s">
        <v>23</v>
      </c>
      <c r="T11" s="28" t="s">
        <v>22</v>
      </c>
      <c r="U11" s="28" t="s">
        <v>22</v>
      </c>
      <c r="V11" s="60" t="s">
        <v>21</v>
      </c>
      <c r="W11" s="60" t="s">
        <v>21</v>
      </c>
      <c r="X11" s="60" t="s">
        <v>21</v>
      </c>
      <c r="Y11" s="60" t="s">
        <v>21</v>
      </c>
      <c r="Z11" s="28" t="s">
        <v>22</v>
      </c>
      <c r="AA11" s="28" t="s">
        <v>22</v>
      </c>
      <c r="AB11" s="74" t="s">
        <v>23</v>
      </c>
      <c r="AC11" s="74" t="s">
        <v>23</v>
      </c>
      <c r="AD11" s="74" t="s">
        <v>23</v>
      </c>
      <c r="AE11" s="74" t="s">
        <v>23</v>
      </c>
      <c r="AF11" s="222" t="s">
        <v>22</v>
      </c>
      <c r="AG11" s="19"/>
      <c r="AH11" s="20">
        <f>JAN!AN11</f>
        <v>0</v>
      </c>
      <c r="AI11" s="21">
        <f t="shared" si="3"/>
        <v>0</v>
      </c>
      <c r="AJ11" s="20">
        <f t="shared" si="4"/>
        <v>0</v>
      </c>
      <c r="AK11" s="19"/>
      <c r="AL11" s="20"/>
      <c r="AM11" s="21">
        <f t="shared" si="0"/>
        <v>0</v>
      </c>
      <c r="AN11" s="20">
        <f t="shared" si="1"/>
        <v>0</v>
      </c>
      <c r="AO11" s="19"/>
      <c r="AP11" s="21">
        <f t="shared" si="2"/>
        <v>19</v>
      </c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</row>
    <row r="12" spans="2:57" ht="15" customHeight="1" thickBot="1">
      <c r="B12" s="275"/>
      <c r="C12" s="224" t="s">
        <v>43</v>
      </c>
      <c r="D12" s="225" t="s">
        <v>44</v>
      </c>
      <c r="E12" s="226" t="s">
        <v>22</v>
      </c>
      <c r="F12" s="228" t="s">
        <v>23</v>
      </c>
      <c r="G12" s="228" t="s">
        <v>23</v>
      </c>
      <c r="H12" s="228" t="s">
        <v>23</v>
      </c>
      <c r="I12" s="228" t="s">
        <v>23</v>
      </c>
      <c r="J12" s="226" t="s">
        <v>22</v>
      </c>
      <c r="K12" s="226" t="s">
        <v>22</v>
      </c>
      <c r="L12" s="227" t="s">
        <v>21</v>
      </c>
      <c r="M12" s="227" t="s">
        <v>21</v>
      </c>
      <c r="N12" s="227" t="s">
        <v>21</v>
      </c>
      <c r="O12" s="233" t="s">
        <v>26</v>
      </c>
      <c r="P12" s="226" t="s">
        <v>22</v>
      </c>
      <c r="Q12" s="226" t="s">
        <v>22</v>
      </c>
      <c r="R12" s="234" t="s">
        <v>36</v>
      </c>
      <c r="S12" s="234" t="s">
        <v>36</v>
      </c>
      <c r="T12" s="234" t="s">
        <v>36</v>
      </c>
      <c r="U12" s="234" t="s">
        <v>20</v>
      </c>
      <c r="V12" s="226" t="s">
        <v>22</v>
      </c>
      <c r="W12" s="226" t="s">
        <v>22</v>
      </c>
      <c r="X12" s="227" t="s">
        <v>21</v>
      </c>
      <c r="Y12" s="227" t="s">
        <v>21</v>
      </c>
      <c r="Z12" s="227" t="s">
        <v>21</v>
      </c>
      <c r="AA12" s="227" t="s">
        <v>21</v>
      </c>
      <c r="AB12" s="226" t="s">
        <v>22</v>
      </c>
      <c r="AC12" s="226" t="s">
        <v>22</v>
      </c>
      <c r="AD12" s="228" t="s">
        <v>23</v>
      </c>
      <c r="AE12" s="228" t="s">
        <v>23</v>
      </c>
      <c r="AF12" s="235" t="s">
        <v>23</v>
      </c>
      <c r="AG12" s="19"/>
      <c r="AH12" s="20">
        <f>JAN!AN12</f>
        <v>0</v>
      </c>
      <c r="AI12" s="21">
        <f t="shared" si="3"/>
        <v>0</v>
      </c>
      <c r="AJ12" s="20">
        <f t="shared" si="4"/>
        <v>0</v>
      </c>
      <c r="AK12" s="19"/>
      <c r="AL12" s="20"/>
      <c r="AM12" s="21">
        <f t="shared" si="0"/>
        <v>3</v>
      </c>
      <c r="AN12" s="20">
        <f t="shared" si="1"/>
        <v>-3</v>
      </c>
      <c r="AO12" s="19"/>
      <c r="AP12" s="21">
        <f t="shared" si="2"/>
        <v>14</v>
      </c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</row>
    <row r="13" spans="2:57">
      <c r="B13" s="276" t="s">
        <v>45</v>
      </c>
      <c r="C13" s="22" t="s">
        <v>46</v>
      </c>
      <c r="D13" s="22" t="s">
        <v>47</v>
      </c>
      <c r="E13" s="176" t="s">
        <v>23</v>
      </c>
      <c r="F13" s="176" t="s">
        <v>23</v>
      </c>
      <c r="G13" s="176" t="s">
        <v>23</v>
      </c>
      <c r="H13" s="145" t="s">
        <v>22</v>
      </c>
      <c r="I13" s="145" t="s">
        <v>22</v>
      </c>
      <c r="J13" s="177" t="s">
        <v>21</v>
      </c>
      <c r="K13" s="177" t="s">
        <v>21</v>
      </c>
      <c r="L13" s="177" t="s">
        <v>21</v>
      </c>
      <c r="M13" s="177" t="s">
        <v>21</v>
      </c>
      <c r="N13" s="145" t="s">
        <v>22</v>
      </c>
      <c r="O13" s="145" t="s">
        <v>22</v>
      </c>
      <c r="P13" s="177" t="s">
        <v>21</v>
      </c>
      <c r="Q13" s="177" t="s">
        <v>21</v>
      </c>
      <c r="R13" s="177" t="s">
        <v>21</v>
      </c>
      <c r="S13" s="177" t="s">
        <v>21</v>
      </c>
      <c r="T13" s="145" t="s">
        <v>22</v>
      </c>
      <c r="U13" s="145" t="s">
        <v>22</v>
      </c>
      <c r="V13" s="182" t="s">
        <v>29</v>
      </c>
      <c r="W13" s="182" t="s">
        <v>29</v>
      </c>
      <c r="X13" s="182" t="s">
        <v>29</v>
      </c>
      <c r="Y13" s="182" t="s">
        <v>29</v>
      </c>
      <c r="Z13" s="145" t="s">
        <v>22</v>
      </c>
      <c r="AA13" s="145" t="s">
        <v>22</v>
      </c>
      <c r="AB13" s="176" t="s">
        <v>23</v>
      </c>
      <c r="AC13" s="176" t="s">
        <v>23</v>
      </c>
      <c r="AD13" s="176" t="s">
        <v>23</v>
      </c>
      <c r="AE13" s="176" t="s">
        <v>23</v>
      </c>
      <c r="AF13" s="230" t="s">
        <v>22</v>
      </c>
      <c r="AG13" s="19"/>
      <c r="AH13" s="20">
        <f>JAN!AN13</f>
        <v>0</v>
      </c>
      <c r="AI13" s="21">
        <f t="shared" si="3"/>
        <v>0</v>
      </c>
      <c r="AJ13" s="20">
        <f t="shared" si="4"/>
        <v>0</v>
      </c>
      <c r="AK13" s="19"/>
      <c r="AL13" s="20"/>
      <c r="AM13" s="21">
        <f t="shared" si="0"/>
        <v>0</v>
      </c>
      <c r="AN13" s="20">
        <f t="shared" si="1"/>
        <v>0</v>
      </c>
      <c r="AO13" s="19"/>
      <c r="AP13" s="21">
        <f t="shared" si="2"/>
        <v>19</v>
      </c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</row>
    <row r="14" spans="2:57">
      <c r="B14" s="276"/>
      <c r="C14" s="22" t="s">
        <v>48</v>
      </c>
      <c r="D14" s="20" t="s">
        <v>49</v>
      </c>
      <c r="E14" s="60" t="s">
        <v>21</v>
      </c>
      <c r="F14" s="28" t="s">
        <v>22</v>
      </c>
      <c r="G14" s="28" t="s">
        <v>22</v>
      </c>
      <c r="H14" s="74" t="s">
        <v>23</v>
      </c>
      <c r="I14" s="74" t="s">
        <v>23</v>
      </c>
      <c r="J14" s="74" t="s">
        <v>23</v>
      </c>
      <c r="K14" s="74" t="s">
        <v>23</v>
      </c>
      <c r="L14" s="28" t="s">
        <v>22</v>
      </c>
      <c r="M14" s="28" t="s">
        <v>22</v>
      </c>
      <c r="N14" s="60" t="s">
        <v>21</v>
      </c>
      <c r="O14" s="60" t="s">
        <v>21</v>
      </c>
      <c r="P14" s="60" t="s">
        <v>21</v>
      </c>
      <c r="Q14" s="60" t="s">
        <v>21</v>
      </c>
      <c r="R14" s="28" t="s">
        <v>22</v>
      </c>
      <c r="S14" s="28" t="s">
        <v>22</v>
      </c>
      <c r="T14" s="60" t="s">
        <v>21</v>
      </c>
      <c r="U14" s="60" t="s">
        <v>21</v>
      </c>
      <c r="V14" s="60" t="s">
        <v>21</v>
      </c>
      <c r="W14" s="60" t="s">
        <v>21</v>
      </c>
      <c r="X14" s="28" t="s">
        <v>22</v>
      </c>
      <c r="Y14" s="28" t="s">
        <v>22</v>
      </c>
      <c r="Z14" s="78" t="s">
        <v>29</v>
      </c>
      <c r="AA14" s="78" t="s">
        <v>29</v>
      </c>
      <c r="AB14" s="78" t="s">
        <v>29</v>
      </c>
      <c r="AC14" s="78" t="s">
        <v>29</v>
      </c>
      <c r="AD14" s="28" t="s">
        <v>22</v>
      </c>
      <c r="AE14" s="28" t="s">
        <v>22</v>
      </c>
      <c r="AF14" s="89" t="s">
        <v>23</v>
      </c>
      <c r="AG14" s="19"/>
      <c r="AH14" s="20">
        <f>JAN!AN14</f>
        <v>11</v>
      </c>
      <c r="AI14" s="21">
        <f t="shared" si="3"/>
        <v>0</v>
      </c>
      <c r="AJ14" s="20">
        <f t="shared" si="4"/>
        <v>11</v>
      </c>
      <c r="AK14" s="19"/>
      <c r="AL14" s="20"/>
      <c r="AM14" s="21">
        <f t="shared" si="0"/>
        <v>0</v>
      </c>
      <c r="AN14" s="20">
        <f t="shared" si="1"/>
        <v>0</v>
      </c>
      <c r="AO14" s="19"/>
      <c r="AP14" s="21">
        <f t="shared" si="2"/>
        <v>18</v>
      </c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</row>
    <row r="15" spans="2:57">
      <c r="B15" s="276"/>
      <c r="C15" s="20" t="s">
        <v>50</v>
      </c>
      <c r="D15" s="20" t="s">
        <v>51</v>
      </c>
      <c r="E15" s="28" t="s">
        <v>22</v>
      </c>
      <c r="F15" s="60" t="s">
        <v>21</v>
      </c>
      <c r="G15" s="60" t="s">
        <v>21</v>
      </c>
      <c r="H15" s="60" t="s">
        <v>21</v>
      </c>
      <c r="I15" s="60" t="s">
        <v>21</v>
      </c>
      <c r="J15" s="28" t="s">
        <v>22</v>
      </c>
      <c r="K15" s="28" t="s">
        <v>22</v>
      </c>
      <c r="L15" s="74" t="s">
        <v>23</v>
      </c>
      <c r="M15" s="74" t="s">
        <v>23</v>
      </c>
      <c r="N15" s="74" t="s">
        <v>23</v>
      </c>
      <c r="O15" s="74" t="s">
        <v>23</v>
      </c>
      <c r="P15" s="28" t="s">
        <v>22</v>
      </c>
      <c r="Q15" s="28" t="s">
        <v>22</v>
      </c>
      <c r="R15" s="60" t="s">
        <v>21</v>
      </c>
      <c r="S15" s="60" t="s">
        <v>21</v>
      </c>
      <c r="T15" s="60" t="s">
        <v>21</v>
      </c>
      <c r="U15" s="60" t="s">
        <v>21</v>
      </c>
      <c r="V15" s="28" t="s">
        <v>22</v>
      </c>
      <c r="W15" s="28" t="s">
        <v>22</v>
      </c>
      <c r="X15" s="60" t="s">
        <v>21</v>
      </c>
      <c r="Y15" s="60" t="s">
        <v>21</v>
      </c>
      <c r="Z15" s="60" t="s">
        <v>21</v>
      </c>
      <c r="AA15" s="60" t="s">
        <v>21</v>
      </c>
      <c r="AB15" s="28" t="s">
        <v>22</v>
      </c>
      <c r="AC15" s="28" t="s">
        <v>22</v>
      </c>
      <c r="AD15" s="78" t="s">
        <v>29</v>
      </c>
      <c r="AE15" s="78" t="s">
        <v>29</v>
      </c>
      <c r="AF15" s="107" t="s">
        <v>29</v>
      </c>
      <c r="AG15" s="19"/>
      <c r="AH15" s="20">
        <f>JAN!AN15</f>
        <v>0</v>
      </c>
      <c r="AI15" s="21">
        <f t="shared" si="3"/>
        <v>0</v>
      </c>
      <c r="AJ15" s="20">
        <f t="shared" si="4"/>
        <v>0</v>
      </c>
      <c r="AK15" s="19"/>
      <c r="AL15" s="20"/>
      <c r="AM15" s="21">
        <f t="shared" si="0"/>
        <v>0</v>
      </c>
      <c r="AN15" s="20">
        <f t="shared" si="1"/>
        <v>0</v>
      </c>
      <c r="AO15" s="19"/>
      <c r="AP15" s="21">
        <f t="shared" si="2"/>
        <v>19</v>
      </c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</row>
    <row r="16" spans="2:57">
      <c r="B16" s="276"/>
      <c r="C16" s="22" t="s">
        <v>52</v>
      </c>
      <c r="D16" s="20" t="s">
        <v>53</v>
      </c>
      <c r="E16" s="74" t="s">
        <v>23</v>
      </c>
      <c r="F16" s="74" t="s">
        <v>23</v>
      </c>
      <c r="G16" s="74" t="s">
        <v>23</v>
      </c>
      <c r="H16" s="28" t="s">
        <v>22</v>
      </c>
      <c r="I16" s="28" t="s">
        <v>22</v>
      </c>
      <c r="J16" s="60" t="s">
        <v>21</v>
      </c>
      <c r="K16" s="60" t="s">
        <v>21</v>
      </c>
      <c r="L16" s="60" t="s">
        <v>21</v>
      </c>
      <c r="M16" s="60" t="s">
        <v>21</v>
      </c>
      <c r="N16" s="28" t="s">
        <v>22</v>
      </c>
      <c r="O16" s="28" t="s">
        <v>22</v>
      </c>
      <c r="P16" s="74" t="s">
        <v>23</v>
      </c>
      <c r="Q16" s="74" t="s">
        <v>23</v>
      </c>
      <c r="R16" s="74" t="s">
        <v>23</v>
      </c>
      <c r="S16" s="74" t="s">
        <v>23</v>
      </c>
      <c r="T16" s="28" t="s">
        <v>22</v>
      </c>
      <c r="U16" s="28" t="s">
        <v>22</v>
      </c>
      <c r="V16" s="60" t="s">
        <v>21</v>
      </c>
      <c r="W16" s="60" t="s">
        <v>21</v>
      </c>
      <c r="X16" s="60" t="s">
        <v>21</v>
      </c>
      <c r="Y16" s="60" t="s">
        <v>21</v>
      </c>
      <c r="Z16" s="28" t="s">
        <v>22</v>
      </c>
      <c r="AA16" s="28" t="s">
        <v>22</v>
      </c>
      <c r="AB16" s="74" t="s">
        <v>23</v>
      </c>
      <c r="AC16" s="74" t="s">
        <v>23</v>
      </c>
      <c r="AD16" s="74" t="s">
        <v>23</v>
      </c>
      <c r="AE16" s="74" t="s">
        <v>23</v>
      </c>
      <c r="AF16" s="91" t="s">
        <v>22</v>
      </c>
      <c r="AG16" s="19"/>
      <c r="AH16" s="20">
        <f>JAN!AN16</f>
        <v>0</v>
      </c>
      <c r="AI16" s="21">
        <f t="shared" si="3"/>
        <v>0</v>
      </c>
      <c r="AJ16" s="20">
        <f t="shared" si="4"/>
        <v>0</v>
      </c>
      <c r="AK16" s="19"/>
      <c r="AL16" s="20"/>
      <c r="AM16" s="21">
        <f t="shared" si="0"/>
        <v>0</v>
      </c>
      <c r="AN16" s="20">
        <f t="shared" si="1"/>
        <v>0</v>
      </c>
      <c r="AO16" s="19"/>
      <c r="AP16" s="21">
        <f t="shared" si="2"/>
        <v>19</v>
      </c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</row>
    <row r="17" spans="2:57" ht="15" customHeight="1">
      <c r="B17" s="276"/>
      <c r="C17" s="22" t="s">
        <v>54</v>
      </c>
      <c r="D17" s="20" t="s">
        <v>55</v>
      </c>
      <c r="E17" s="60" t="s">
        <v>21</v>
      </c>
      <c r="F17" s="28" t="s">
        <v>22</v>
      </c>
      <c r="G17" s="28" t="s">
        <v>22</v>
      </c>
      <c r="H17" s="74" t="s">
        <v>23</v>
      </c>
      <c r="I17" s="74" t="s">
        <v>23</v>
      </c>
      <c r="J17" s="74" t="s">
        <v>23</v>
      </c>
      <c r="K17" s="74" t="s">
        <v>23</v>
      </c>
      <c r="L17" s="28" t="s">
        <v>22</v>
      </c>
      <c r="M17" s="28" t="s">
        <v>22</v>
      </c>
      <c r="N17" s="60" t="s">
        <v>21</v>
      </c>
      <c r="O17" s="60" t="s">
        <v>21</v>
      </c>
      <c r="P17" s="60" t="s">
        <v>21</v>
      </c>
      <c r="Q17" s="60" t="s">
        <v>21</v>
      </c>
      <c r="R17" s="28" t="s">
        <v>22</v>
      </c>
      <c r="S17" s="28" t="s">
        <v>22</v>
      </c>
      <c r="T17" s="74" t="s">
        <v>23</v>
      </c>
      <c r="U17" s="74" t="s">
        <v>23</v>
      </c>
      <c r="V17" s="74" t="s">
        <v>23</v>
      </c>
      <c r="W17" s="74" t="s">
        <v>23</v>
      </c>
      <c r="X17" s="28" t="s">
        <v>22</v>
      </c>
      <c r="Y17" s="28" t="s">
        <v>22</v>
      </c>
      <c r="Z17" s="76" t="s">
        <v>33</v>
      </c>
      <c r="AA17" s="60" t="s">
        <v>21</v>
      </c>
      <c r="AB17" s="60" t="s">
        <v>21</v>
      </c>
      <c r="AC17" s="60" t="s">
        <v>21</v>
      </c>
      <c r="AD17" s="28" t="s">
        <v>22</v>
      </c>
      <c r="AE17" s="28" t="s">
        <v>22</v>
      </c>
      <c r="AF17" s="60" t="s">
        <v>21</v>
      </c>
      <c r="AG17" s="19"/>
      <c r="AH17" s="20">
        <f>JAN!AN17</f>
        <v>1</v>
      </c>
      <c r="AI17" s="21">
        <f t="shared" si="3"/>
        <v>1</v>
      </c>
      <c r="AJ17" s="20">
        <f t="shared" si="4"/>
        <v>0</v>
      </c>
      <c r="AK17" s="19"/>
      <c r="AL17" s="20"/>
      <c r="AM17" s="21">
        <f t="shared" si="0"/>
        <v>0</v>
      </c>
      <c r="AN17" s="20">
        <f t="shared" si="1"/>
        <v>0</v>
      </c>
      <c r="AO17" s="19"/>
      <c r="AP17" s="21">
        <f t="shared" si="2"/>
        <v>17</v>
      </c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</row>
    <row r="18" spans="2:57">
      <c r="B18" s="276"/>
      <c r="C18" s="22" t="s">
        <v>56</v>
      </c>
      <c r="D18" s="20" t="s">
        <v>57</v>
      </c>
      <c r="E18" s="28" t="s">
        <v>22</v>
      </c>
      <c r="F18" s="60" t="s">
        <v>21</v>
      </c>
      <c r="G18" s="60" t="s">
        <v>21</v>
      </c>
      <c r="H18" s="60" t="s">
        <v>21</v>
      </c>
      <c r="I18" s="76" t="s">
        <v>33</v>
      </c>
      <c r="J18" s="28" t="s">
        <v>22</v>
      </c>
      <c r="K18" s="28" t="s">
        <v>22</v>
      </c>
      <c r="L18" s="76" t="s">
        <v>33</v>
      </c>
      <c r="M18" s="76" t="s">
        <v>33</v>
      </c>
      <c r="N18" s="76" t="s">
        <v>33</v>
      </c>
      <c r="O18" s="76" t="s">
        <v>33</v>
      </c>
      <c r="P18" s="28" t="s">
        <v>22</v>
      </c>
      <c r="Q18" s="28" t="s">
        <v>22</v>
      </c>
      <c r="R18" s="78" t="s">
        <v>29</v>
      </c>
      <c r="S18" s="78" t="s">
        <v>29</v>
      </c>
      <c r="T18" s="78" t="s">
        <v>29</v>
      </c>
      <c r="U18" s="78" t="s">
        <v>29</v>
      </c>
      <c r="V18" s="28" t="s">
        <v>22</v>
      </c>
      <c r="W18" s="28" t="s">
        <v>22</v>
      </c>
      <c r="X18" s="74" t="s">
        <v>23</v>
      </c>
      <c r="Y18" s="74" t="s">
        <v>23</v>
      </c>
      <c r="Z18" s="74" t="s">
        <v>23</v>
      </c>
      <c r="AA18" s="74" t="s">
        <v>23</v>
      </c>
      <c r="AB18" s="28" t="s">
        <v>22</v>
      </c>
      <c r="AC18" s="28" t="s">
        <v>22</v>
      </c>
      <c r="AD18" s="60" t="s">
        <v>21</v>
      </c>
      <c r="AE18" s="60" t="s">
        <v>21</v>
      </c>
      <c r="AF18" s="90" t="s">
        <v>21</v>
      </c>
      <c r="AG18" s="19"/>
      <c r="AH18" s="20">
        <f>JAN!AN18</f>
        <v>18</v>
      </c>
      <c r="AI18" s="21">
        <f t="shared" si="3"/>
        <v>5</v>
      </c>
      <c r="AJ18" s="20">
        <f t="shared" si="4"/>
        <v>13</v>
      </c>
      <c r="AK18" s="19"/>
      <c r="AL18" s="20"/>
      <c r="AM18" s="21">
        <f t="shared" si="0"/>
        <v>0</v>
      </c>
      <c r="AN18" s="20">
        <f t="shared" si="1"/>
        <v>0</v>
      </c>
      <c r="AO18" s="19"/>
      <c r="AP18" s="21">
        <f t="shared" si="2"/>
        <v>14</v>
      </c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</row>
    <row r="19" spans="2:57" ht="14.25">
      <c r="B19" s="276"/>
      <c r="C19" s="20" t="s">
        <v>58</v>
      </c>
      <c r="D19" s="20" t="s">
        <v>59</v>
      </c>
      <c r="E19" s="76" t="s">
        <v>33</v>
      </c>
      <c r="F19" s="74" t="s">
        <v>23</v>
      </c>
      <c r="G19" s="74" t="s">
        <v>23</v>
      </c>
      <c r="H19" s="28" t="s">
        <v>22</v>
      </c>
      <c r="I19" s="28" t="s">
        <v>22</v>
      </c>
      <c r="J19" s="60" t="s">
        <v>21</v>
      </c>
      <c r="K19" s="60" t="s">
        <v>21</v>
      </c>
      <c r="L19" s="60" t="s">
        <v>21</v>
      </c>
      <c r="M19" s="60" t="s">
        <v>21</v>
      </c>
      <c r="N19" s="28" t="s">
        <v>22</v>
      </c>
      <c r="O19" s="28" t="s">
        <v>22</v>
      </c>
      <c r="P19" s="74" t="s">
        <v>23</v>
      </c>
      <c r="Q19" s="74" t="s">
        <v>23</v>
      </c>
      <c r="R19" s="74" t="s">
        <v>23</v>
      </c>
      <c r="S19" s="74" t="s">
        <v>23</v>
      </c>
      <c r="T19" s="28" t="s">
        <v>22</v>
      </c>
      <c r="U19" s="28" t="s">
        <v>22</v>
      </c>
      <c r="V19" s="60" t="s">
        <v>21</v>
      </c>
      <c r="W19" s="60" t="s">
        <v>21</v>
      </c>
      <c r="X19" s="60" t="s">
        <v>21</v>
      </c>
      <c r="Y19" s="60" t="s">
        <v>21</v>
      </c>
      <c r="Z19" s="28" t="s">
        <v>22</v>
      </c>
      <c r="AA19" s="28" t="s">
        <v>22</v>
      </c>
      <c r="AB19" s="74" t="s">
        <v>23</v>
      </c>
      <c r="AC19" s="74" t="s">
        <v>23</v>
      </c>
      <c r="AD19" s="74" t="s">
        <v>23</v>
      </c>
      <c r="AE19" s="74" t="s">
        <v>23</v>
      </c>
      <c r="AF19" s="91" t="s">
        <v>22</v>
      </c>
      <c r="AG19" s="19"/>
      <c r="AH19" s="20">
        <f>JAN!AN19</f>
        <v>1</v>
      </c>
      <c r="AI19" s="21">
        <f t="shared" si="3"/>
        <v>1</v>
      </c>
      <c r="AJ19" s="20">
        <f t="shared" si="4"/>
        <v>0</v>
      </c>
      <c r="AK19" s="19"/>
      <c r="AL19" s="26"/>
      <c r="AM19" s="21">
        <f t="shared" si="0"/>
        <v>0</v>
      </c>
      <c r="AN19" s="44">
        <f t="shared" si="1"/>
        <v>0</v>
      </c>
      <c r="AO19" s="19"/>
      <c r="AP19" s="21">
        <f t="shared" si="2"/>
        <v>18</v>
      </c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</row>
    <row r="20" spans="2:57">
      <c r="B20" s="276"/>
      <c r="C20" s="22" t="s">
        <v>60</v>
      </c>
      <c r="D20" s="20" t="s">
        <v>61</v>
      </c>
      <c r="E20" s="78" t="s">
        <v>29</v>
      </c>
      <c r="F20" s="28" t="s">
        <v>22</v>
      </c>
      <c r="G20" s="28" t="s">
        <v>22</v>
      </c>
      <c r="H20" s="74" t="s">
        <v>23</v>
      </c>
      <c r="I20" s="74" t="s">
        <v>23</v>
      </c>
      <c r="J20" s="74" t="s">
        <v>23</v>
      </c>
      <c r="K20" s="74" t="s">
        <v>23</v>
      </c>
      <c r="L20" s="28" t="s">
        <v>22</v>
      </c>
      <c r="M20" s="28" t="s">
        <v>22</v>
      </c>
      <c r="N20" s="60" t="s">
        <v>21</v>
      </c>
      <c r="O20" s="60" t="s">
        <v>21</v>
      </c>
      <c r="P20" s="60" t="s">
        <v>21</v>
      </c>
      <c r="Q20" s="60" t="s">
        <v>21</v>
      </c>
      <c r="R20" s="28" t="s">
        <v>22</v>
      </c>
      <c r="S20" s="28" t="s">
        <v>22</v>
      </c>
      <c r="T20" s="74" t="s">
        <v>23</v>
      </c>
      <c r="U20" s="74" t="s">
        <v>23</v>
      </c>
      <c r="V20" s="74" t="s">
        <v>23</v>
      </c>
      <c r="W20" s="74" t="s">
        <v>23</v>
      </c>
      <c r="X20" s="28" t="s">
        <v>22</v>
      </c>
      <c r="Y20" s="28" t="s">
        <v>22</v>
      </c>
      <c r="Z20" s="60" t="s">
        <v>21</v>
      </c>
      <c r="AA20" s="60" t="s">
        <v>21</v>
      </c>
      <c r="AB20" s="60" t="s">
        <v>21</v>
      </c>
      <c r="AC20" s="60" t="s">
        <v>21</v>
      </c>
      <c r="AD20" s="28" t="s">
        <v>22</v>
      </c>
      <c r="AE20" s="28" t="s">
        <v>22</v>
      </c>
      <c r="AF20" s="89" t="s">
        <v>23</v>
      </c>
      <c r="AG20" s="19"/>
      <c r="AH20" s="20">
        <f>JAN!AN20</f>
        <v>0</v>
      </c>
      <c r="AI20" s="21">
        <f t="shared" si="3"/>
        <v>0</v>
      </c>
      <c r="AJ20" s="20">
        <f t="shared" si="4"/>
        <v>0</v>
      </c>
      <c r="AK20" s="19"/>
      <c r="AL20" s="20"/>
      <c r="AM20" s="21">
        <f t="shared" si="0"/>
        <v>0</v>
      </c>
      <c r="AN20" s="20">
        <f t="shared" si="1"/>
        <v>0</v>
      </c>
      <c r="AO20" s="19"/>
      <c r="AP20" s="21">
        <f t="shared" si="2"/>
        <v>18</v>
      </c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</row>
    <row r="21" spans="2:57" ht="14.25">
      <c r="B21" s="276"/>
      <c r="C21" s="20" t="s">
        <v>62</v>
      </c>
      <c r="D21" s="20" t="s">
        <v>63</v>
      </c>
      <c r="E21" s="28" t="s">
        <v>22</v>
      </c>
      <c r="F21" s="78" t="s">
        <v>29</v>
      </c>
      <c r="G21" s="78" t="s">
        <v>29</v>
      </c>
      <c r="H21" s="78" t="s">
        <v>29</v>
      </c>
      <c r="I21" s="78" t="s">
        <v>29</v>
      </c>
      <c r="J21" s="28" t="s">
        <v>22</v>
      </c>
      <c r="K21" s="28" t="s">
        <v>22</v>
      </c>
      <c r="L21" s="74" t="s">
        <v>23</v>
      </c>
      <c r="M21" s="74" t="s">
        <v>23</v>
      </c>
      <c r="N21" s="74" t="s">
        <v>23</v>
      </c>
      <c r="O21" s="74" t="s">
        <v>23</v>
      </c>
      <c r="P21" s="28" t="s">
        <v>22</v>
      </c>
      <c r="Q21" s="28" t="s">
        <v>22</v>
      </c>
      <c r="R21" s="60" t="s">
        <v>21</v>
      </c>
      <c r="S21" s="60" t="s">
        <v>21</v>
      </c>
      <c r="T21" s="60" t="s">
        <v>21</v>
      </c>
      <c r="U21" s="60" t="s">
        <v>21</v>
      </c>
      <c r="V21" s="28" t="s">
        <v>22</v>
      </c>
      <c r="W21" s="28" t="s">
        <v>22</v>
      </c>
      <c r="X21" s="74" t="s">
        <v>23</v>
      </c>
      <c r="Y21" s="74" t="s">
        <v>23</v>
      </c>
      <c r="Z21" s="74" t="s">
        <v>23</v>
      </c>
      <c r="AA21" s="74" t="s">
        <v>23</v>
      </c>
      <c r="AB21" s="28" t="s">
        <v>22</v>
      </c>
      <c r="AC21" s="28" t="s">
        <v>22</v>
      </c>
      <c r="AD21" s="60" t="s">
        <v>21</v>
      </c>
      <c r="AE21" s="60" t="s">
        <v>21</v>
      </c>
      <c r="AF21" s="90" t="s">
        <v>21</v>
      </c>
      <c r="AG21" s="19"/>
      <c r="AH21" s="20">
        <f>JAN!AN21</f>
        <v>0</v>
      </c>
      <c r="AI21" s="21">
        <f t="shared" si="3"/>
        <v>0</v>
      </c>
      <c r="AJ21" s="20">
        <f t="shared" si="4"/>
        <v>0</v>
      </c>
      <c r="AK21" s="19"/>
      <c r="AL21" s="20"/>
      <c r="AM21" s="21">
        <f t="shared" si="0"/>
        <v>0</v>
      </c>
      <c r="AN21" s="20">
        <f t="shared" si="1"/>
        <v>0</v>
      </c>
      <c r="AO21" s="19"/>
      <c r="AP21" s="21">
        <f t="shared" si="2"/>
        <v>19</v>
      </c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</row>
    <row r="22" spans="2:57">
      <c r="B22" s="276"/>
      <c r="C22" s="86" t="s">
        <v>64</v>
      </c>
      <c r="D22" s="87" t="s">
        <v>65</v>
      </c>
      <c r="E22" s="60" t="s">
        <v>21</v>
      </c>
      <c r="F22" s="60" t="s">
        <v>21</v>
      </c>
      <c r="G22" s="60" t="s">
        <v>21</v>
      </c>
      <c r="H22" s="28" t="s">
        <v>22</v>
      </c>
      <c r="I22" s="28" t="s">
        <v>22</v>
      </c>
      <c r="J22" s="78" t="s">
        <v>29</v>
      </c>
      <c r="K22" s="78" t="s">
        <v>29</v>
      </c>
      <c r="L22" s="78" t="s">
        <v>29</v>
      </c>
      <c r="M22" s="78" t="s">
        <v>29</v>
      </c>
      <c r="N22" s="28" t="s">
        <v>22</v>
      </c>
      <c r="O22" s="28" t="s">
        <v>22</v>
      </c>
      <c r="P22" s="74" t="s">
        <v>23</v>
      </c>
      <c r="Q22" s="74" t="s">
        <v>23</v>
      </c>
      <c r="R22" s="74" t="s">
        <v>23</v>
      </c>
      <c r="S22" s="74" t="s">
        <v>23</v>
      </c>
      <c r="T22" s="28" t="s">
        <v>22</v>
      </c>
      <c r="U22" s="28" t="s">
        <v>22</v>
      </c>
      <c r="V22" s="60" t="s">
        <v>21</v>
      </c>
      <c r="W22" s="60" t="s">
        <v>21</v>
      </c>
      <c r="X22" s="60" t="s">
        <v>21</v>
      </c>
      <c r="Y22" s="60" t="s">
        <v>21</v>
      </c>
      <c r="Z22" s="28" t="s">
        <v>22</v>
      </c>
      <c r="AA22" s="28" t="s">
        <v>22</v>
      </c>
      <c r="AB22" s="74" t="s">
        <v>23</v>
      </c>
      <c r="AC22" s="74" t="s">
        <v>23</v>
      </c>
      <c r="AD22" s="74" t="s">
        <v>23</v>
      </c>
      <c r="AE22" s="74" t="s">
        <v>23</v>
      </c>
      <c r="AF22" s="91" t="s">
        <v>22</v>
      </c>
      <c r="AG22" s="19"/>
      <c r="AH22" s="20">
        <f>JAN!AN22</f>
        <v>1</v>
      </c>
      <c r="AI22" s="21">
        <f t="shared" si="3"/>
        <v>0</v>
      </c>
      <c r="AJ22" s="20">
        <f t="shared" si="4"/>
        <v>1</v>
      </c>
      <c r="AK22" s="19"/>
      <c r="AL22" s="20"/>
      <c r="AM22" s="21">
        <f t="shared" si="0"/>
        <v>0</v>
      </c>
      <c r="AN22" s="20">
        <f t="shared" si="1"/>
        <v>0</v>
      </c>
      <c r="AO22" s="19"/>
      <c r="AP22" s="21">
        <f t="shared" si="2"/>
        <v>19</v>
      </c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</row>
    <row r="23" spans="2:57" ht="15" customHeight="1">
      <c r="B23" s="276"/>
      <c r="C23" s="20" t="s">
        <v>68</v>
      </c>
      <c r="D23" s="20" t="s">
        <v>69</v>
      </c>
      <c r="E23" s="60" t="s">
        <v>21</v>
      </c>
      <c r="F23" s="28" t="s">
        <v>22</v>
      </c>
      <c r="G23" s="28" t="s">
        <v>22</v>
      </c>
      <c r="H23" s="60" t="s">
        <v>21</v>
      </c>
      <c r="I23" s="60" t="s">
        <v>21</v>
      </c>
      <c r="J23" s="60" t="s">
        <v>21</v>
      </c>
      <c r="K23" s="60" t="s">
        <v>21</v>
      </c>
      <c r="L23" s="28" t="s">
        <v>22</v>
      </c>
      <c r="M23" s="28" t="s">
        <v>22</v>
      </c>
      <c r="N23" s="78" t="s">
        <v>29</v>
      </c>
      <c r="O23" s="78" t="s">
        <v>29</v>
      </c>
      <c r="P23" s="78" t="s">
        <v>29</v>
      </c>
      <c r="Q23" s="78" t="s">
        <v>29</v>
      </c>
      <c r="R23" s="28" t="s">
        <v>22</v>
      </c>
      <c r="S23" s="28" t="s">
        <v>22</v>
      </c>
      <c r="T23" s="74" t="s">
        <v>23</v>
      </c>
      <c r="U23" s="74" t="s">
        <v>23</v>
      </c>
      <c r="V23" s="74" t="s">
        <v>23</v>
      </c>
      <c r="W23" s="74" t="s">
        <v>23</v>
      </c>
      <c r="X23" s="28" t="s">
        <v>22</v>
      </c>
      <c r="Y23" s="28" t="s">
        <v>22</v>
      </c>
      <c r="Z23" s="60" t="s">
        <v>21</v>
      </c>
      <c r="AA23" s="60" t="s">
        <v>21</v>
      </c>
      <c r="AB23" s="60" t="s">
        <v>21</v>
      </c>
      <c r="AC23" s="60" t="s">
        <v>21</v>
      </c>
      <c r="AD23" s="28" t="s">
        <v>22</v>
      </c>
      <c r="AE23" s="28" t="s">
        <v>22</v>
      </c>
      <c r="AF23" s="89" t="s">
        <v>23</v>
      </c>
      <c r="AG23" s="19"/>
      <c r="AH23" s="20">
        <f>JAN!AN23</f>
        <v>3</v>
      </c>
      <c r="AI23" s="21">
        <f t="shared" si="3"/>
        <v>0</v>
      </c>
      <c r="AJ23" s="20">
        <f t="shared" si="4"/>
        <v>3</v>
      </c>
      <c r="AK23" s="19"/>
      <c r="AL23" s="20"/>
      <c r="AM23" s="21">
        <f t="shared" si="0"/>
        <v>0</v>
      </c>
      <c r="AN23" s="20">
        <f t="shared" si="1"/>
        <v>0</v>
      </c>
      <c r="AO23" s="19"/>
      <c r="AP23" s="21">
        <f t="shared" si="2"/>
        <v>18</v>
      </c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</row>
    <row r="24" spans="2:57" ht="14.25">
      <c r="B24" s="276"/>
      <c r="C24" s="108" t="s">
        <v>70</v>
      </c>
      <c r="D24" s="109" t="s">
        <v>71</v>
      </c>
      <c r="E24" s="110" t="s">
        <v>22</v>
      </c>
      <c r="F24" s="111" t="s">
        <v>21</v>
      </c>
      <c r="G24" s="111" t="s">
        <v>21</v>
      </c>
      <c r="H24" s="111" t="s">
        <v>21</v>
      </c>
      <c r="I24" s="111" t="s">
        <v>21</v>
      </c>
      <c r="J24" s="110" t="s">
        <v>22</v>
      </c>
      <c r="K24" s="110" t="s">
        <v>22</v>
      </c>
      <c r="L24" s="234" t="s">
        <v>36</v>
      </c>
      <c r="M24" s="234" t="s">
        <v>36</v>
      </c>
      <c r="N24" s="111" t="s">
        <v>21</v>
      </c>
      <c r="O24" s="111" t="s">
        <v>21</v>
      </c>
      <c r="P24" s="110" t="s">
        <v>22</v>
      </c>
      <c r="Q24" s="110" t="s">
        <v>22</v>
      </c>
      <c r="R24" s="116" t="s">
        <v>29</v>
      </c>
      <c r="S24" s="116" t="s">
        <v>29</v>
      </c>
      <c r="T24" s="116" t="s">
        <v>29</v>
      </c>
      <c r="U24" s="116" t="s">
        <v>29</v>
      </c>
      <c r="V24" s="110" t="s">
        <v>22</v>
      </c>
      <c r="W24" s="110" t="s">
        <v>22</v>
      </c>
      <c r="X24" s="112" t="s">
        <v>23</v>
      </c>
      <c r="Y24" s="112" t="s">
        <v>23</v>
      </c>
      <c r="Z24" s="112" t="s">
        <v>23</v>
      </c>
      <c r="AA24" s="112" t="s">
        <v>23</v>
      </c>
      <c r="AB24" s="110" t="s">
        <v>22</v>
      </c>
      <c r="AC24" s="110" t="s">
        <v>22</v>
      </c>
      <c r="AD24" s="111" t="s">
        <v>21</v>
      </c>
      <c r="AE24" s="111" t="s">
        <v>21</v>
      </c>
      <c r="AF24" s="127" t="s">
        <v>21</v>
      </c>
      <c r="AG24" s="19"/>
      <c r="AH24" s="20">
        <f>JAN!AN24</f>
        <v>0</v>
      </c>
      <c r="AI24" s="21">
        <f t="shared" si="3"/>
        <v>0</v>
      </c>
      <c r="AJ24" s="20">
        <f t="shared" si="4"/>
        <v>0</v>
      </c>
      <c r="AK24" s="19"/>
      <c r="AL24" s="20"/>
      <c r="AM24" s="21">
        <f t="shared" si="0"/>
        <v>2</v>
      </c>
      <c r="AN24" s="20">
        <f t="shared" si="1"/>
        <v>-2</v>
      </c>
      <c r="AO24" s="19"/>
      <c r="AP24" s="21">
        <f t="shared" si="2"/>
        <v>17</v>
      </c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</row>
    <row r="25" spans="2:57" ht="15" customHeight="1">
      <c r="B25" s="280" t="s">
        <v>72</v>
      </c>
      <c r="C25" s="88" t="s">
        <v>73</v>
      </c>
      <c r="D25" s="88" t="s">
        <v>74</v>
      </c>
      <c r="E25" s="102" t="s">
        <v>23</v>
      </c>
      <c r="F25" s="102" t="s">
        <v>23</v>
      </c>
      <c r="G25" s="102" t="s">
        <v>23</v>
      </c>
      <c r="H25" s="103" t="s">
        <v>22</v>
      </c>
      <c r="I25" s="103" t="s">
        <v>22</v>
      </c>
      <c r="J25" s="104" t="s">
        <v>21</v>
      </c>
      <c r="K25" s="104" t="s">
        <v>21</v>
      </c>
      <c r="L25" s="104" t="s">
        <v>21</v>
      </c>
      <c r="M25" s="104" t="s">
        <v>21</v>
      </c>
      <c r="N25" s="103" t="s">
        <v>22</v>
      </c>
      <c r="O25" s="103" t="s">
        <v>22</v>
      </c>
      <c r="P25" s="104" t="s">
        <v>21</v>
      </c>
      <c r="Q25" s="104" t="s">
        <v>21</v>
      </c>
      <c r="R25" s="104" t="s">
        <v>21</v>
      </c>
      <c r="S25" s="104" t="s">
        <v>21</v>
      </c>
      <c r="T25" s="103" t="s">
        <v>22</v>
      </c>
      <c r="U25" s="103" t="s">
        <v>22</v>
      </c>
      <c r="V25" s="115" t="s">
        <v>29</v>
      </c>
      <c r="W25" s="115" t="s">
        <v>29</v>
      </c>
      <c r="X25" s="115" t="s">
        <v>29</v>
      </c>
      <c r="Y25" s="115" t="s">
        <v>29</v>
      </c>
      <c r="Z25" s="103" t="s">
        <v>22</v>
      </c>
      <c r="AA25" s="103" t="s">
        <v>22</v>
      </c>
      <c r="AB25" s="126" t="s">
        <v>33</v>
      </c>
      <c r="AC25" s="126" t="s">
        <v>33</v>
      </c>
      <c r="AD25" s="126" t="s">
        <v>33</v>
      </c>
      <c r="AE25" s="126" t="s">
        <v>33</v>
      </c>
      <c r="AF25" s="120" t="s">
        <v>22</v>
      </c>
      <c r="AG25" s="19"/>
      <c r="AH25" s="20">
        <f>JAN!AN25</f>
        <v>4</v>
      </c>
      <c r="AI25" s="21">
        <f t="shared" si="3"/>
        <v>4</v>
      </c>
      <c r="AJ25" s="20">
        <f t="shared" si="4"/>
        <v>0</v>
      </c>
      <c r="AK25" s="19"/>
      <c r="AL25" s="20"/>
      <c r="AM25" s="21">
        <f t="shared" si="0"/>
        <v>0</v>
      </c>
      <c r="AN25" s="20">
        <f t="shared" si="1"/>
        <v>0</v>
      </c>
      <c r="AO25" s="19"/>
      <c r="AP25" s="21">
        <f t="shared" si="2"/>
        <v>15</v>
      </c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</row>
    <row r="26" spans="2:57">
      <c r="B26" s="276"/>
      <c r="C26" s="22" t="s">
        <v>75</v>
      </c>
      <c r="D26" s="20" t="s">
        <v>76</v>
      </c>
      <c r="E26" s="60" t="s">
        <v>21</v>
      </c>
      <c r="F26" s="28" t="s">
        <v>22</v>
      </c>
      <c r="G26" s="28" t="s">
        <v>22</v>
      </c>
      <c r="H26" s="74" t="s">
        <v>23</v>
      </c>
      <c r="I26" s="74" t="s">
        <v>23</v>
      </c>
      <c r="J26" s="74" t="s">
        <v>23</v>
      </c>
      <c r="K26" s="74" t="s">
        <v>23</v>
      </c>
      <c r="L26" s="28" t="s">
        <v>22</v>
      </c>
      <c r="M26" s="28" t="s">
        <v>22</v>
      </c>
      <c r="N26" s="60" t="s">
        <v>21</v>
      </c>
      <c r="O26" s="60" t="s">
        <v>21</v>
      </c>
      <c r="P26" s="60" t="s">
        <v>21</v>
      </c>
      <c r="Q26" s="60" t="s">
        <v>21</v>
      </c>
      <c r="R26" s="28" t="s">
        <v>22</v>
      </c>
      <c r="S26" s="28" t="s">
        <v>22</v>
      </c>
      <c r="T26" s="60" t="s">
        <v>21</v>
      </c>
      <c r="U26" s="60" t="s">
        <v>21</v>
      </c>
      <c r="V26" s="60" t="s">
        <v>21</v>
      </c>
      <c r="W26" s="60" t="s">
        <v>21</v>
      </c>
      <c r="X26" s="28" t="s">
        <v>22</v>
      </c>
      <c r="Y26" s="28" t="s">
        <v>22</v>
      </c>
      <c r="Z26" s="78" t="s">
        <v>29</v>
      </c>
      <c r="AA26" s="78" t="s">
        <v>29</v>
      </c>
      <c r="AB26" s="78" t="s">
        <v>29</v>
      </c>
      <c r="AC26" s="78" t="s">
        <v>29</v>
      </c>
      <c r="AD26" s="28" t="s">
        <v>22</v>
      </c>
      <c r="AE26" s="28" t="s">
        <v>22</v>
      </c>
      <c r="AF26" s="89" t="s">
        <v>23</v>
      </c>
      <c r="AG26" s="19"/>
      <c r="AH26" s="20">
        <f>JAN!AN26</f>
        <v>0</v>
      </c>
      <c r="AI26" s="21">
        <f t="shared" si="3"/>
        <v>0</v>
      </c>
      <c r="AJ26" s="20">
        <f t="shared" si="4"/>
        <v>0</v>
      </c>
      <c r="AK26" s="19"/>
      <c r="AL26" s="20"/>
      <c r="AM26" s="21">
        <f t="shared" si="0"/>
        <v>0</v>
      </c>
      <c r="AN26" s="20">
        <f t="shared" si="1"/>
        <v>0</v>
      </c>
      <c r="AO26" s="19"/>
      <c r="AP26" s="21">
        <f t="shared" si="2"/>
        <v>18</v>
      </c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</row>
    <row r="27" spans="2:57">
      <c r="B27" s="276"/>
      <c r="C27" s="22" t="s">
        <v>77</v>
      </c>
      <c r="D27" s="20" t="s">
        <v>78</v>
      </c>
      <c r="E27" s="74" t="s">
        <v>23</v>
      </c>
      <c r="F27" s="74" t="s">
        <v>23</v>
      </c>
      <c r="G27" s="74" t="s">
        <v>23</v>
      </c>
      <c r="H27" s="28" t="s">
        <v>22</v>
      </c>
      <c r="I27" s="28" t="s">
        <v>22</v>
      </c>
      <c r="J27" s="60" t="s">
        <v>21</v>
      </c>
      <c r="K27" s="60" t="s">
        <v>21</v>
      </c>
      <c r="L27" s="60" t="s">
        <v>21</v>
      </c>
      <c r="M27" s="60" t="s">
        <v>21</v>
      </c>
      <c r="N27" s="28" t="s">
        <v>22</v>
      </c>
      <c r="O27" s="28" t="s">
        <v>22</v>
      </c>
      <c r="P27" s="74" t="s">
        <v>23</v>
      </c>
      <c r="Q27" s="74" t="s">
        <v>23</v>
      </c>
      <c r="R27" s="74" t="s">
        <v>23</v>
      </c>
      <c r="S27" s="74" t="s">
        <v>23</v>
      </c>
      <c r="T27" s="28" t="s">
        <v>22</v>
      </c>
      <c r="U27" s="28" t="s">
        <v>22</v>
      </c>
      <c r="V27" s="60" t="s">
        <v>21</v>
      </c>
      <c r="W27" s="60" t="s">
        <v>21</v>
      </c>
      <c r="X27" s="60" t="s">
        <v>21</v>
      </c>
      <c r="Y27" s="60" t="s">
        <v>21</v>
      </c>
      <c r="Z27" s="28" t="s">
        <v>22</v>
      </c>
      <c r="AA27" s="28" t="s">
        <v>22</v>
      </c>
      <c r="AB27" s="60" t="s">
        <v>21</v>
      </c>
      <c r="AC27" s="60" t="s">
        <v>21</v>
      </c>
      <c r="AD27" s="60" t="s">
        <v>21</v>
      </c>
      <c r="AE27" s="60" t="s">
        <v>21</v>
      </c>
      <c r="AF27" s="91" t="s">
        <v>22</v>
      </c>
      <c r="AG27" s="19"/>
      <c r="AH27" s="20">
        <f>JAN!AN27</f>
        <v>11</v>
      </c>
      <c r="AI27" s="21">
        <f t="shared" si="3"/>
        <v>0</v>
      </c>
      <c r="AJ27" s="20">
        <f t="shared" si="4"/>
        <v>11</v>
      </c>
      <c r="AK27" s="19"/>
      <c r="AL27" s="20"/>
      <c r="AM27" s="21">
        <f t="shared" si="0"/>
        <v>0</v>
      </c>
      <c r="AN27" s="20">
        <f t="shared" si="1"/>
        <v>0</v>
      </c>
      <c r="AO27" s="19"/>
      <c r="AP27" s="21">
        <f t="shared" si="2"/>
        <v>19</v>
      </c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</row>
    <row r="28" spans="2:57" ht="15" customHeight="1">
      <c r="B28" s="276"/>
      <c r="C28" s="20" t="s">
        <v>79</v>
      </c>
      <c r="D28" s="20" t="s">
        <v>80</v>
      </c>
      <c r="E28" s="78" t="s">
        <v>29</v>
      </c>
      <c r="F28" s="28" t="s">
        <v>22</v>
      </c>
      <c r="G28" s="28" t="s">
        <v>22</v>
      </c>
      <c r="H28" s="74" t="s">
        <v>23</v>
      </c>
      <c r="I28" s="74" t="s">
        <v>23</v>
      </c>
      <c r="J28" s="74" t="s">
        <v>23</v>
      </c>
      <c r="K28" s="74" t="s">
        <v>23</v>
      </c>
      <c r="L28" s="28" t="s">
        <v>22</v>
      </c>
      <c r="M28" s="28" t="s">
        <v>22</v>
      </c>
      <c r="N28" s="60" t="s">
        <v>21</v>
      </c>
      <c r="O28" s="60" t="s">
        <v>21</v>
      </c>
      <c r="P28" s="60" t="s">
        <v>21</v>
      </c>
      <c r="Q28" s="60" t="s">
        <v>21</v>
      </c>
      <c r="R28" s="28" t="s">
        <v>22</v>
      </c>
      <c r="S28" s="28" t="s">
        <v>22</v>
      </c>
      <c r="T28" s="74" t="s">
        <v>23</v>
      </c>
      <c r="U28" s="74" t="s">
        <v>23</v>
      </c>
      <c r="V28" s="74" t="s">
        <v>23</v>
      </c>
      <c r="W28" s="74" t="s">
        <v>23</v>
      </c>
      <c r="X28" s="28" t="s">
        <v>22</v>
      </c>
      <c r="Y28" s="28" t="s">
        <v>22</v>
      </c>
      <c r="Z28" s="60" t="s">
        <v>21</v>
      </c>
      <c r="AA28" s="60" t="s">
        <v>21</v>
      </c>
      <c r="AB28" s="60" t="s">
        <v>21</v>
      </c>
      <c r="AC28" s="60" t="s">
        <v>21</v>
      </c>
      <c r="AD28" s="28" t="s">
        <v>22</v>
      </c>
      <c r="AE28" s="28" t="s">
        <v>22</v>
      </c>
      <c r="AF28" s="90" t="s">
        <v>21</v>
      </c>
      <c r="AG28" s="19"/>
      <c r="AH28" s="20">
        <f>JAN!AN28</f>
        <v>0</v>
      </c>
      <c r="AI28" s="21">
        <f t="shared" si="3"/>
        <v>0</v>
      </c>
      <c r="AJ28" s="20">
        <f t="shared" si="4"/>
        <v>0</v>
      </c>
      <c r="AK28" s="19"/>
      <c r="AL28" s="20"/>
      <c r="AM28" s="21">
        <f t="shared" si="0"/>
        <v>0</v>
      </c>
      <c r="AN28" s="20">
        <f t="shared" si="1"/>
        <v>0</v>
      </c>
      <c r="AO28" s="19"/>
      <c r="AP28" s="21">
        <f t="shared" si="2"/>
        <v>18</v>
      </c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</row>
    <row r="29" spans="2:57">
      <c r="B29" s="276"/>
      <c r="C29" s="22" t="s">
        <v>82</v>
      </c>
      <c r="D29" s="20" t="s">
        <v>83</v>
      </c>
      <c r="E29" s="28" t="s">
        <v>22</v>
      </c>
      <c r="F29" s="78" t="s">
        <v>29</v>
      </c>
      <c r="G29" s="78" t="s">
        <v>29</v>
      </c>
      <c r="H29" s="78" t="s">
        <v>29</v>
      </c>
      <c r="I29" s="78" t="s">
        <v>29</v>
      </c>
      <c r="J29" s="28" t="s">
        <v>22</v>
      </c>
      <c r="K29" s="28" t="s">
        <v>22</v>
      </c>
      <c r="L29" s="74" t="s">
        <v>23</v>
      </c>
      <c r="M29" s="74" t="s">
        <v>23</v>
      </c>
      <c r="N29" s="74" t="s">
        <v>23</v>
      </c>
      <c r="O29" s="74" t="s">
        <v>23</v>
      </c>
      <c r="P29" s="28" t="s">
        <v>22</v>
      </c>
      <c r="Q29" s="28" t="s">
        <v>22</v>
      </c>
      <c r="R29" s="60" t="s">
        <v>21</v>
      </c>
      <c r="S29" s="106" t="s">
        <v>30</v>
      </c>
      <c r="T29" s="76" t="s">
        <v>33</v>
      </c>
      <c r="U29" s="60" t="s">
        <v>21</v>
      </c>
      <c r="V29" s="28" t="s">
        <v>22</v>
      </c>
      <c r="W29" s="28" t="s">
        <v>22</v>
      </c>
      <c r="X29" s="74" t="s">
        <v>23</v>
      </c>
      <c r="Y29" s="74" t="s">
        <v>23</v>
      </c>
      <c r="Z29" s="74" t="s">
        <v>23</v>
      </c>
      <c r="AA29" s="74" t="s">
        <v>23</v>
      </c>
      <c r="AB29" s="28" t="s">
        <v>22</v>
      </c>
      <c r="AC29" s="28" t="s">
        <v>22</v>
      </c>
      <c r="AD29" s="60" t="s">
        <v>21</v>
      </c>
      <c r="AE29" s="60" t="s">
        <v>21</v>
      </c>
      <c r="AF29" s="90" t="s">
        <v>21</v>
      </c>
      <c r="AG29" s="19"/>
      <c r="AH29" s="20">
        <f>JAN!AN29</f>
        <v>1</v>
      </c>
      <c r="AI29" s="21">
        <f t="shared" si="3"/>
        <v>1</v>
      </c>
      <c r="AJ29" s="20">
        <f t="shared" si="4"/>
        <v>0</v>
      </c>
      <c r="AK29" s="19"/>
      <c r="AL29" s="20"/>
      <c r="AM29" s="21">
        <f t="shared" si="0"/>
        <v>0</v>
      </c>
      <c r="AN29" s="20">
        <f t="shared" si="1"/>
        <v>0</v>
      </c>
      <c r="AO29" s="19"/>
      <c r="AP29" s="21">
        <f t="shared" si="2"/>
        <v>17</v>
      </c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</row>
    <row r="30" spans="2:57">
      <c r="B30" s="276"/>
      <c r="C30" s="20" t="s">
        <v>85</v>
      </c>
      <c r="D30" s="20" t="s">
        <v>86</v>
      </c>
      <c r="E30" s="60" t="s">
        <v>21</v>
      </c>
      <c r="F30" s="60" t="s">
        <v>21</v>
      </c>
      <c r="G30" s="60" t="s">
        <v>21</v>
      </c>
      <c r="H30" s="28" t="s">
        <v>22</v>
      </c>
      <c r="I30" s="28" t="s">
        <v>22</v>
      </c>
      <c r="J30" s="78" t="s">
        <v>29</v>
      </c>
      <c r="K30" s="78" t="s">
        <v>29</v>
      </c>
      <c r="L30" s="78" t="s">
        <v>29</v>
      </c>
      <c r="M30" s="78" t="s">
        <v>29</v>
      </c>
      <c r="N30" s="28" t="s">
        <v>22</v>
      </c>
      <c r="O30" s="28" t="s">
        <v>22</v>
      </c>
      <c r="P30" s="74" t="s">
        <v>23</v>
      </c>
      <c r="Q30" s="74" t="s">
        <v>23</v>
      </c>
      <c r="R30" s="74" t="s">
        <v>23</v>
      </c>
      <c r="S30" s="74" t="s">
        <v>23</v>
      </c>
      <c r="T30" s="28" t="s">
        <v>22</v>
      </c>
      <c r="U30" s="28" t="s">
        <v>22</v>
      </c>
      <c r="V30" s="60" t="s">
        <v>21</v>
      </c>
      <c r="W30" s="60" t="s">
        <v>21</v>
      </c>
      <c r="X30" s="60" t="s">
        <v>21</v>
      </c>
      <c r="Y30" s="60" t="s">
        <v>21</v>
      </c>
      <c r="Z30" s="28" t="s">
        <v>22</v>
      </c>
      <c r="AA30" s="28" t="s">
        <v>22</v>
      </c>
      <c r="AB30" s="74" t="s">
        <v>23</v>
      </c>
      <c r="AC30" s="74" t="s">
        <v>23</v>
      </c>
      <c r="AD30" s="74" t="s">
        <v>23</v>
      </c>
      <c r="AE30" s="74" t="s">
        <v>23</v>
      </c>
      <c r="AF30" s="91" t="s">
        <v>22</v>
      </c>
      <c r="AG30" s="19"/>
      <c r="AH30" s="20">
        <f>JAN!AN30</f>
        <v>0</v>
      </c>
      <c r="AI30" s="21">
        <f t="shared" si="3"/>
        <v>0</v>
      </c>
      <c r="AJ30" s="20">
        <f t="shared" si="4"/>
        <v>0</v>
      </c>
      <c r="AK30" s="19"/>
      <c r="AL30" s="26"/>
      <c r="AM30" s="21">
        <f t="shared" si="0"/>
        <v>0</v>
      </c>
      <c r="AN30" s="44">
        <f t="shared" si="1"/>
        <v>0</v>
      </c>
      <c r="AO30" s="19"/>
      <c r="AP30" s="21">
        <f t="shared" si="2"/>
        <v>19</v>
      </c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</row>
    <row r="31" spans="2:57">
      <c r="B31" s="276"/>
      <c r="C31" s="22" t="s">
        <v>87</v>
      </c>
      <c r="D31" s="20" t="s">
        <v>88</v>
      </c>
      <c r="E31" s="60" t="s">
        <v>21</v>
      </c>
      <c r="F31" s="28" t="s">
        <v>22</v>
      </c>
      <c r="G31" s="28" t="s">
        <v>22</v>
      </c>
      <c r="H31" s="60" t="s">
        <v>21</v>
      </c>
      <c r="I31" s="60" t="s">
        <v>21</v>
      </c>
      <c r="J31" s="60" t="s">
        <v>21</v>
      </c>
      <c r="K31" s="60" t="s">
        <v>21</v>
      </c>
      <c r="L31" s="28" t="s">
        <v>22</v>
      </c>
      <c r="M31" s="28" t="s">
        <v>22</v>
      </c>
      <c r="N31" s="78" t="s">
        <v>29</v>
      </c>
      <c r="O31" s="78" t="s">
        <v>29</v>
      </c>
      <c r="P31" s="78" t="s">
        <v>29</v>
      </c>
      <c r="Q31" s="78" t="s">
        <v>29</v>
      </c>
      <c r="R31" s="28" t="s">
        <v>22</v>
      </c>
      <c r="S31" s="28" t="s">
        <v>22</v>
      </c>
      <c r="T31" s="74" t="s">
        <v>23</v>
      </c>
      <c r="U31" s="74" t="s">
        <v>23</v>
      </c>
      <c r="V31" s="74" t="s">
        <v>23</v>
      </c>
      <c r="W31" s="74" t="s">
        <v>23</v>
      </c>
      <c r="X31" s="28" t="s">
        <v>22</v>
      </c>
      <c r="Y31" s="28" t="s">
        <v>22</v>
      </c>
      <c r="Z31" s="60" t="s">
        <v>21</v>
      </c>
      <c r="AA31" s="60" t="s">
        <v>21</v>
      </c>
      <c r="AB31" s="60" t="s">
        <v>21</v>
      </c>
      <c r="AC31" s="60" t="s">
        <v>21</v>
      </c>
      <c r="AD31" s="28" t="s">
        <v>22</v>
      </c>
      <c r="AE31" s="28" t="s">
        <v>22</v>
      </c>
      <c r="AF31" s="89" t="s">
        <v>23</v>
      </c>
      <c r="AG31" s="19"/>
      <c r="AH31" s="20">
        <f>JAN!AN31</f>
        <v>6</v>
      </c>
      <c r="AI31" s="21">
        <f t="shared" si="3"/>
        <v>0</v>
      </c>
      <c r="AJ31" s="20">
        <f t="shared" si="4"/>
        <v>6</v>
      </c>
      <c r="AK31" s="19"/>
      <c r="AL31" s="20"/>
      <c r="AM31" s="21">
        <f t="shared" si="0"/>
        <v>0</v>
      </c>
      <c r="AN31" s="20">
        <f t="shared" si="1"/>
        <v>0</v>
      </c>
      <c r="AO31" s="19"/>
      <c r="AP31" s="21">
        <f t="shared" si="2"/>
        <v>18</v>
      </c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</row>
    <row r="32" spans="2:57">
      <c r="B32" s="276"/>
      <c r="C32" s="20" t="s">
        <v>89</v>
      </c>
      <c r="D32" s="20" t="s">
        <v>90</v>
      </c>
      <c r="E32" s="74" t="s">
        <v>23</v>
      </c>
      <c r="F32" s="74" t="s">
        <v>23</v>
      </c>
      <c r="G32" s="74" t="s">
        <v>23</v>
      </c>
      <c r="H32" s="74" t="s">
        <v>23</v>
      </c>
      <c r="I32" s="28" t="s">
        <v>22</v>
      </c>
      <c r="J32" s="28" t="s">
        <v>22</v>
      </c>
      <c r="K32" s="74" t="s">
        <v>23</v>
      </c>
      <c r="L32" s="74" t="s">
        <v>23</v>
      </c>
      <c r="M32" s="112" t="s">
        <v>23</v>
      </c>
      <c r="N32" s="76" t="s">
        <v>33</v>
      </c>
      <c r="O32" s="110" t="s">
        <v>22</v>
      </c>
      <c r="P32" s="124" t="s">
        <v>26</v>
      </c>
      <c r="Q32" s="124" t="s">
        <v>176</v>
      </c>
      <c r="R32" s="76" t="s">
        <v>33</v>
      </c>
      <c r="S32" s="76" t="s">
        <v>33</v>
      </c>
      <c r="T32" s="76" t="s">
        <v>33</v>
      </c>
      <c r="U32" s="28" t="s">
        <v>22</v>
      </c>
      <c r="V32" s="28" t="s">
        <v>22</v>
      </c>
      <c r="W32" s="76" t="s">
        <v>33</v>
      </c>
      <c r="X32" s="76" t="s">
        <v>33</v>
      </c>
      <c r="Y32" s="76" t="s">
        <v>33</v>
      </c>
      <c r="Z32" s="76" t="s">
        <v>33</v>
      </c>
      <c r="AA32" s="28" t="s">
        <v>22</v>
      </c>
      <c r="AB32" s="28" t="s">
        <v>22</v>
      </c>
      <c r="AC32" s="60" t="s">
        <v>21</v>
      </c>
      <c r="AD32" s="60" t="s">
        <v>21</v>
      </c>
      <c r="AE32" s="60" t="s">
        <v>21</v>
      </c>
      <c r="AF32" s="90" t="s">
        <v>21</v>
      </c>
      <c r="AG32" s="19"/>
      <c r="AH32" s="20">
        <f>JAN!AN32</f>
        <v>8</v>
      </c>
      <c r="AI32" s="21">
        <f t="shared" si="3"/>
        <v>8</v>
      </c>
      <c r="AJ32" s="20">
        <f t="shared" si="4"/>
        <v>0</v>
      </c>
      <c r="AK32" s="19"/>
      <c r="AL32" s="20"/>
      <c r="AM32" s="21">
        <f t="shared" si="0"/>
        <v>0</v>
      </c>
      <c r="AN32" s="20">
        <f t="shared" si="1"/>
        <v>0</v>
      </c>
      <c r="AO32" s="19"/>
      <c r="AP32" s="21">
        <f t="shared" si="2"/>
        <v>11</v>
      </c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</row>
    <row r="33" spans="2:60">
      <c r="B33" s="276"/>
      <c r="C33" s="22" t="s">
        <v>91</v>
      </c>
      <c r="D33" s="20" t="s">
        <v>92</v>
      </c>
      <c r="E33" s="74" t="s">
        <v>23</v>
      </c>
      <c r="F33" s="74" t="s">
        <v>23</v>
      </c>
      <c r="G33" s="28" t="s">
        <v>22</v>
      </c>
      <c r="H33" s="28" t="s">
        <v>22</v>
      </c>
      <c r="I33" s="60" t="s">
        <v>21</v>
      </c>
      <c r="J33" s="60" t="s">
        <v>21</v>
      </c>
      <c r="K33" s="60" t="s">
        <v>21</v>
      </c>
      <c r="L33" s="60" t="s">
        <v>21</v>
      </c>
      <c r="M33" s="28" t="s">
        <v>22</v>
      </c>
      <c r="N33" s="28" t="s">
        <v>22</v>
      </c>
      <c r="O33" s="74" t="s">
        <v>23</v>
      </c>
      <c r="P33" s="74" t="s">
        <v>23</v>
      </c>
      <c r="Q33" s="74" t="s">
        <v>23</v>
      </c>
      <c r="R33" s="74" t="s">
        <v>23</v>
      </c>
      <c r="S33" s="28" t="s">
        <v>22</v>
      </c>
      <c r="T33" s="28" t="s">
        <v>22</v>
      </c>
      <c r="U33" s="60" t="s">
        <v>21</v>
      </c>
      <c r="V33" s="60" t="s">
        <v>21</v>
      </c>
      <c r="W33" s="60" t="s">
        <v>21</v>
      </c>
      <c r="X33" s="60" t="s">
        <v>21</v>
      </c>
      <c r="Y33" s="28" t="s">
        <v>22</v>
      </c>
      <c r="Z33" s="28" t="s">
        <v>22</v>
      </c>
      <c r="AA33" s="74" t="s">
        <v>23</v>
      </c>
      <c r="AB33" s="74" t="s">
        <v>23</v>
      </c>
      <c r="AC33" s="74" t="s">
        <v>23</v>
      </c>
      <c r="AD33" s="74" t="s">
        <v>23</v>
      </c>
      <c r="AE33" s="28" t="s">
        <v>22</v>
      </c>
      <c r="AF33" s="91" t="s">
        <v>22</v>
      </c>
      <c r="AG33" s="19"/>
      <c r="AH33" s="20">
        <f>JAN!AN33</f>
        <v>7</v>
      </c>
      <c r="AI33" s="21">
        <f t="shared" si="3"/>
        <v>0</v>
      </c>
      <c r="AJ33" s="20">
        <f t="shared" si="4"/>
        <v>7</v>
      </c>
      <c r="AK33" s="19"/>
      <c r="AL33" s="20"/>
      <c r="AM33" s="21">
        <f t="shared" si="0"/>
        <v>0</v>
      </c>
      <c r="AN33" s="20">
        <f t="shared" si="1"/>
        <v>0</v>
      </c>
      <c r="AO33" s="19"/>
      <c r="AP33" s="21">
        <f t="shared" si="2"/>
        <v>18</v>
      </c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</row>
    <row r="34" spans="2:60" ht="15" customHeight="1">
      <c r="B34" s="276"/>
      <c r="C34" s="20" t="s">
        <v>93</v>
      </c>
      <c r="D34" s="20" t="s">
        <v>94</v>
      </c>
      <c r="E34" s="28" t="s">
        <v>22</v>
      </c>
      <c r="F34" s="28" t="s">
        <v>22</v>
      </c>
      <c r="G34" s="74" t="s">
        <v>23</v>
      </c>
      <c r="H34" s="74" t="s">
        <v>23</v>
      </c>
      <c r="I34" s="74" t="s">
        <v>23</v>
      </c>
      <c r="J34" s="74" t="s">
        <v>23</v>
      </c>
      <c r="K34" s="28" t="s">
        <v>22</v>
      </c>
      <c r="L34" s="28" t="s">
        <v>22</v>
      </c>
      <c r="M34" s="60" t="s">
        <v>21</v>
      </c>
      <c r="N34" s="60" t="s">
        <v>21</v>
      </c>
      <c r="O34" s="60" t="s">
        <v>21</v>
      </c>
      <c r="P34" s="60" t="s">
        <v>21</v>
      </c>
      <c r="Q34" s="28" t="s">
        <v>22</v>
      </c>
      <c r="R34" s="28" t="s">
        <v>22</v>
      </c>
      <c r="S34" s="74" t="s">
        <v>23</v>
      </c>
      <c r="T34" s="74" t="s">
        <v>23</v>
      </c>
      <c r="U34" s="74" t="s">
        <v>23</v>
      </c>
      <c r="V34" s="74" t="s">
        <v>23</v>
      </c>
      <c r="W34" s="28" t="s">
        <v>22</v>
      </c>
      <c r="X34" s="28" t="s">
        <v>22</v>
      </c>
      <c r="Y34" s="60" t="s">
        <v>21</v>
      </c>
      <c r="Z34" s="60" t="s">
        <v>21</v>
      </c>
      <c r="AA34" s="60" t="s">
        <v>21</v>
      </c>
      <c r="AB34" s="60" t="s">
        <v>21</v>
      </c>
      <c r="AC34" s="28" t="s">
        <v>22</v>
      </c>
      <c r="AD34" s="28" t="s">
        <v>22</v>
      </c>
      <c r="AE34" s="74" t="s">
        <v>23</v>
      </c>
      <c r="AF34" s="89" t="s">
        <v>23</v>
      </c>
      <c r="AG34" s="19"/>
      <c r="AH34" s="20">
        <f>JAN!AN34</f>
        <v>0</v>
      </c>
      <c r="AI34" s="21">
        <f t="shared" si="3"/>
        <v>0</v>
      </c>
      <c r="AJ34" s="20">
        <f t="shared" si="4"/>
        <v>0</v>
      </c>
      <c r="AK34" s="19"/>
      <c r="AL34" s="20"/>
      <c r="AM34" s="21">
        <f t="shared" si="0"/>
        <v>0</v>
      </c>
      <c r="AN34" s="20">
        <f t="shared" si="1"/>
        <v>0</v>
      </c>
      <c r="AO34" s="19"/>
      <c r="AP34" s="21">
        <f t="shared" si="2"/>
        <v>18</v>
      </c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</row>
    <row r="35" spans="2:60">
      <c r="B35" s="276"/>
      <c r="C35" s="108" t="s">
        <v>95</v>
      </c>
      <c r="D35" s="109" t="s">
        <v>96</v>
      </c>
      <c r="E35" s="111" t="s">
        <v>21</v>
      </c>
      <c r="F35" s="111" t="s">
        <v>21</v>
      </c>
      <c r="G35" s="111" t="s">
        <v>21</v>
      </c>
      <c r="H35" s="111" t="s">
        <v>21</v>
      </c>
      <c r="I35" s="110" t="s">
        <v>22</v>
      </c>
      <c r="J35" s="110" t="s">
        <v>22</v>
      </c>
      <c r="K35" s="112" t="s">
        <v>23</v>
      </c>
      <c r="L35" s="112" t="s">
        <v>23</v>
      </c>
      <c r="M35" s="112" t="s">
        <v>23</v>
      </c>
      <c r="N35" s="112" t="s">
        <v>23</v>
      </c>
      <c r="O35" s="110" t="s">
        <v>22</v>
      </c>
      <c r="P35" s="110" t="s">
        <v>22</v>
      </c>
      <c r="Q35" s="111" t="s">
        <v>21</v>
      </c>
      <c r="R35" s="111" t="s">
        <v>21</v>
      </c>
      <c r="S35" s="111" t="s">
        <v>21</v>
      </c>
      <c r="T35" s="111" t="s">
        <v>21</v>
      </c>
      <c r="U35" s="110" t="s">
        <v>22</v>
      </c>
      <c r="V35" s="110" t="s">
        <v>22</v>
      </c>
      <c r="W35" s="112" t="s">
        <v>23</v>
      </c>
      <c r="X35" s="76" t="s">
        <v>33</v>
      </c>
      <c r="Y35" s="112" t="s">
        <v>23</v>
      </c>
      <c r="Z35" s="112" t="s">
        <v>23</v>
      </c>
      <c r="AA35" s="110" t="s">
        <v>22</v>
      </c>
      <c r="AB35" s="110" t="s">
        <v>22</v>
      </c>
      <c r="AC35" s="111" t="s">
        <v>21</v>
      </c>
      <c r="AD35" s="111" t="s">
        <v>21</v>
      </c>
      <c r="AE35" s="111" t="s">
        <v>21</v>
      </c>
      <c r="AF35" s="127" t="s">
        <v>21</v>
      </c>
      <c r="AG35" s="19"/>
      <c r="AH35" s="20">
        <f>JAN!AN35</f>
        <v>5</v>
      </c>
      <c r="AI35" s="21">
        <f t="shared" si="3"/>
        <v>1</v>
      </c>
      <c r="AJ35" s="20">
        <f t="shared" si="4"/>
        <v>4</v>
      </c>
      <c r="AK35" s="19"/>
      <c r="AL35" s="20"/>
      <c r="AM35" s="21">
        <f t="shared" si="0"/>
        <v>0</v>
      </c>
      <c r="AN35" s="20">
        <f t="shared" si="1"/>
        <v>0</v>
      </c>
      <c r="AO35" s="19"/>
      <c r="AP35" s="21">
        <f t="shared" si="2"/>
        <v>19</v>
      </c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</row>
    <row r="36" spans="2:60">
      <c r="B36" s="285" t="s">
        <v>97</v>
      </c>
      <c r="C36" s="88" t="s">
        <v>98</v>
      </c>
      <c r="D36" s="88" t="s">
        <v>99</v>
      </c>
      <c r="E36" s="119" t="s">
        <v>66</v>
      </c>
      <c r="F36" s="119" t="s">
        <v>66</v>
      </c>
      <c r="G36" s="119" t="s">
        <v>66</v>
      </c>
      <c r="H36" s="119" t="s">
        <v>66</v>
      </c>
      <c r="I36" s="103" t="s">
        <v>22</v>
      </c>
      <c r="J36" s="103" t="s">
        <v>22</v>
      </c>
      <c r="K36" s="118" t="s">
        <v>100</v>
      </c>
      <c r="L36" s="118" t="s">
        <v>100</v>
      </c>
      <c r="M36" s="118" t="s">
        <v>100</v>
      </c>
      <c r="N36" s="118" t="s">
        <v>100</v>
      </c>
      <c r="O36" s="103" t="s">
        <v>22</v>
      </c>
      <c r="P36" s="103" t="s">
        <v>22</v>
      </c>
      <c r="Q36" s="119" t="s">
        <v>66</v>
      </c>
      <c r="R36" s="119" t="s">
        <v>66</v>
      </c>
      <c r="S36" s="119" t="s">
        <v>66</v>
      </c>
      <c r="T36" s="119" t="s">
        <v>66</v>
      </c>
      <c r="U36" s="103" t="s">
        <v>22</v>
      </c>
      <c r="V36" s="103" t="s">
        <v>22</v>
      </c>
      <c r="W36" s="118" t="s">
        <v>100</v>
      </c>
      <c r="X36" s="118" t="s">
        <v>100</v>
      </c>
      <c r="Y36" s="118" t="s">
        <v>100</v>
      </c>
      <c r="Z36" s="118" t="s">
        <v>100</v>
      </c>
      <c r="AA36" s="103" t="s">
        <v>22</v>
      </c>
      <c r="AB36" s="103" t="s">
        <v>22</v>
      </c>
      <c r="AC36" s="119" t="s">
        <v>66</v>
      </c>
      <c r="AD36" s="119" t="s">
        <v>66</v>
      </c>
      <c r="AE36" s="119" t="s">
        <v>66</v>
      </c>
      <c r="AF36" s="128" t="s">
        <v>66</v>
      </c>
      <c r="AG36" s="19"/>
      <c r="AH36" s="20">
        <f>JAN!AN36</f>
        <v>0</v>
      </c>
      <c r="AI36" s="21">
        <f t="shared" si="3"/>
        <v>0</v>
      </c>
      <c r="AJ36" s="20">
        <f t="shared" si="4"/>
        <v>0</v>
      </c>
      <c r="AK36" s="19"/>
      <c r="AL36" s="20"/>
      <c r="AM36" s="21">
        <f t="shared" si="0"/>
        <v>0</v>
      </c>
      <c r="AN36" s="20">
        <f t="shared" si="1"/>
        <v>0</v>
      </c>
      <c r="AO36" s="19"/>
      <c r="AP36" s="21">
        <f t="shared" si="2"/>
        <v>20</v>
      </c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</row>
    <row r="37" spans="2:60">
      <c r="B37" s="278"/>
      <c r="C37" s="22" t="s">
        <v>101</v>
      </c>
      <c r="D37" s="20" t="s">
        <v>102</v>
      </c>
      <c r="E37" s="28" t="s">
        <v>22</v>
      </c>
      <c r="F37" s="28" t="s">
        <v>22</v>
      </c>
      <c r="G37" s="85" t="s">
        <v>100</v>
      </c>
      <c r="H37" s="85" t="s">
        <v>100</v>
      </c>
      <c r="I37" s="85" t="s">
        <v>100</v>
      </c>
      <c r="J37" s="85" t="s">
        <v>100</v>
      </c>
      <c r="K37" s="28" t="s">
        <v>22</v>
      </c>
      <c r="L37" s="28" t="s">
        <v>22</v>
      </c>
      <c r="M37" s="79" t="s">
        <v>66</v>
      </c>
      <c r="N37" s="79" t="s">
        <v>66</v>
      </c>
      <c r="O37" s="79" t="s">
        <v>66</v>
      </c>
      <c r="P37" s="79" t="s">
        <v>66</v>
      </c>
      <c r="Q37" s="28" t="s">
        <v>22</v>
      </c>
      <c r="R37" s="28" t="s">
        <v>22</v>
      </c>
      <c r="S37" s="85" t="s">
        <v>100</v>
      </c>
      <c r="T37" s="85" t="s">
        <v>100</v>
      </c>
      <c r="U37" s="85" t="s">
        <v>100</v>
      </c>
      <c r="V37" s="85" t="s">
        <v>100</v>
      </c>
      <c r="W37" s="28" t="s">
        <v>22</v>
      </c>
      <c r="X37" s="28" t="s">
        <v>22</v>
      </c>
      <c r="Y37" s="79" t="s">
        <v>66</v>
      </c>
      <c r="Z37" s="79" t="s">
        <v>66</v>
      </c>
      <c r="AA37" s="79" t="s">
        <v>66</v>
      </c>
      <c r="AB37" s="79" t="s">
        <v>66</v>
      </c>
      <c r="AC37" s="28" t="s">
        <v>22</v>
      </c>
      <c r="AD37" s="28" t="s">
        <v>22</v>
      </c>
      <c r="AE37" s="85" t="s">
        <v>100</v>
      </c>
      <c r="AF37" s="121" t="s">
        <v>100</v>
      </c>
      <c r="AG37" s="19"/>
      <c r="AH37" s="20">
        <f>JAN!AN37</f>
        <v>0</v>
      </c>
      <c r="AI37" s="21">
        <f t="shared" si="3"/>
        <v>0</v>
      </c>
      <c r="AJ37" s="20">
        <f t="shared" si="4"/>
        <v>0</v>
      </c>
      <c r="AK37" s="19"/>
      <c r="AL37" s="20"/>
      <c r="AM37" s="21">
        <f t="shared" si="0"/>
        <v>0</v>
      </c>
      <c r="AN37" s="20">
        <f t="shared" si="1"/>
        <v>0</v>
      </c>
      <c r="AO37" s="19"/>
      <c r="AP37" s="21">
        <f t="shared" si="2"/>
        <v>18</v>
      </c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</row>
    <row r="38" spans="2:60">
      <c r="B38" s="278"/>
      <c r="C38" s="20" t="s">
        <v>103</v>
      </c>
      <c r="D38" s="20" t="s">
        <v>104</v>
      </c>
      <c r="E38" s="85" t="s">
        <v>100</v>
      </c>
      <c r="F38" s="85" t="s">
        <v>100</v>
      </c>
      <c r="G38" s="28" t="s">
        <v>22</v>
      </c>
      <c r="H38" s="28" t="s">
        <v>22</v>
      </c>
      <c r="I38" s="79" t="s">
        <v>66</v>
      </c>
      <c r="J38" s="79" t="s">
        <v>66</v>
      </c>
      <c r="K38" s="79" t="s">
        <v>66</v>
      </c>
      <c r="L38" s="79" t="s">
        <v>66</v>
      </c>
      <c r="M38" s="28" t="s">
        <v>22</v>
      </c>
      <c r="N38" s="28" t="s">
        <v>22</v>
      </c>
      <c r="O38" s="85" t="s">
        <v>100</v>
      </c>
      <c r="P38" s="85" t="s">
        <v>100</v>
      </c>
      <c r="Q38" s="85" t="s">
        <v>100</v>
      </c>
      <c r="R38" s="85" t="s">
        <v>100</v>
      </c>
      <c r="S38" s="28" t="s">
        <v>22</v>
      </c>
      <c r="T38" s="28" t="s">
        <v>22</v>
      </c>
      <c r="U38" s="79" t="s">
        <v>66</v>
      </c>
      <c r="V38" s="79" t="s">
        <v>66</v>
      </c>
      <c r="W38" s="79" t="s">
        <v>66</v>
      </c>
      <c r="X38" s="79" t="s">
        <v>66</v>
      </c>
      <c r="Y38" s="28" t="s">
        <v>22</v>
      </c>
      <c r="Z38" s="28" t="s">
        <v>22</v>
      </c>
      <c r="AA38" s="85" t="s">
        <v>100</v>
      </c>
      <c r="AB38" s="85" t="s">
        <v>100</v>
      </c>
      <c r="AC38" s="85" t="s">
        <v>100</v>
      </c>
      <c r="AD38" s="85" t="s">
        <v>100</v>
      </c>
      <c r="AE38" s="28" t="s">
        <v>22</v>
      </c>
      <c r="AF38" s="91" t="s">
        <v>22</v>
      </c>
      <c r="AG38" s="19"/>
      <c r="AH38" s="20">
        <f>JAN!AN38</f>
        <v>0</v>
      </c>
      <c r="AI38" s="21">
        <f t="shared" si="3"/>
        <v>0</v>
      </c>
      <c r="AJ38" s="20">
        <f t="shared" si="4"/>
        <v>0</v>
      </c>
      <c r="AK38" s="19"/>
      <c r="AL38" s="20"/>
      <c r="AM38" s="21">
        <f t="shared" si="0"/>
        <v>0</v>
      </c>
      <c r="AN38" s="20">
        <f t="shared" si="1"/>
        <v>0</v>
      </c>
      <c r="AO38" s="19"/>
      <c r="AP38" s="21">
        <f t="shared" si="2"/>
        <v>18</v>
      </c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</row>
    <row r="39" spans="2:60">
      <c r="B39" s="279"/>
      <c r="C39" s="108" t="s">
        <v>105</v>
      </c>
      <c r="D39" s="109" t="s">
        <v>106</v>
      </c>
      <c r="E39" s="28" t="s">
        <v>107</v>
      </c>
      <c r="F39" s="28" t="s">
        <v>107</v>
      </c>
      <c r="G39" s="28" t="s">
        <v>107</v>
      </c>
      <c r="H39" s="28" t="s">
        <v>107</v>
      </c>
      <c r="I39" s="28" t="s">
        <v>107</v>
      </c>
      <c r="J39" s="28" t="s">
        <v>107</v>
      </c>
      <c r="K39" s="28" t="s">
        <v>107</v>
      </c>
      <c r="L39" s="28" t="s">
        <v>107</v>
      </c>
      <c r="M39" s="28" t="s">
        <v>107</v>
      </c>
      <c r="N39" s="28" t="s">
        <v>107</v>
      </c>
      <c r="O39" s="28" t="s">
        <v>107</v>
      </c>
      <c r="P39" s="28" t="s">
        <v>107</v>
      </c>
      <c r="Q39" s="28" t="s">
        <v>107</v>
      </c>
      <c r="R39" s="28" t="s">
        <v>107</v>
      </c>
      <c r="S39" s="28" t="s">
        <v>107</v>
      </c>
      <c r="T39" s="28" t="s">
        <v>107</v>
      </c>
      <c r="U39" s="28" t="s">
        <v>107</v>
      </c>
      <c r="V39" s="28" t="s">
        <v>107</v>
      </c>
      <c r="W39" s="28" t="s">
        <v>107</v>
      </c>
      <c r="X39" s="28" t="s">
        <v>107</v>
      </c>
      <c r="Y39" s="28" t="s">
        <v>107</v>
      </c>
      <c r="Z39" s="28" t="s">
        <v>107</v>
      </c>
      <c r="AA39" s="28" t="s">
        <v>107</v>
      </c>
      <c r="AB39" s="28" t="s">
        <v>107</v>
      </c>
      <c r="AC39" s="28" t="s">
        <v>107</v>
      </c>
      <c r="AD39" s="28" t="s">
        <v>107</v>
      </c>
      <c r="AE39" s="28" t="s">
        <v>107</v>
      </c>
      <c r="AF39" s="28" t="s">
        <v>107</v>
      </c>
      <c r="AG39" s="19"/>
      <c r="AH39" s="20">
        <f>JAN!AN39</f>
        <v>19</v>
      </c>
      <c r="AI39" s="21">
        <f t="shared" si="3"/>
        <v>0</v>
      </c>
      <c r="AJ39" s="20">
        <f t="shared" si="4"/>
        <v>19</v>
      </c>
      <c r="AK39" s="19"/>
      <c r="AL39" s="20"/>
      <c r="AM39" s="21">
        <f t="shared" si="0"/>
        <v>0</v>
      </c>
      <c r="AN39" s="20">
        <f t="shared" si="1"/>
        <v>0</v>
      </c>
      <c r="AO39" s="19"/>
      <c r="AP39" s="21">
        <f t="shared" si="2"/>
        <v>0</v>
      </c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</row>
    <row r="40" spans="2:60" ht="15" customHeight="1">
      <c r="B40" s="280" t="s">
        <v>108</v>
      </c>
      <c r="C40" s="88" t="s">
        <v>109</v>
      </c>
      <c r="D40" s="88" t="s">
        <v>110</v>
      </c>
      <c r="E40" s="33" t="s">
        <v>107</v>
      </c>
      <c r="F40" s="33" t="s">
        <v>107</v>
      </c>
      <c r="G40" s="33" t="s">
        <v>107</v>
      </c>
      <c r="H40" s="33" t="s">
        <v>107</v>
      </c>
      <c r="I40" s="33" t="s">
        <v>107</v>
      </c>
      <c r="J40" s="33" t="s">
        <v>107</v>
      </c>
      <c r="K40" s="33" t="s">
        <v>107</v>
      </c>
      <c r="L40" s="33" t="s">
        <v>107</v>
      </c>
      <c r="M40" s="33" t="s">
        <v>107</v>
      </c>
      <c r="N40" s="33" t="s">
        <v>107</v>
      </c>
      <c r="O40" s="33" t="s">
        <v>107</v>
      </c>
      <c r="P40" s="33" t="s">
        <v>107</v>
      </c>
      <c r="Q40" s="33" t="s">
        <v>107</v>
      </c>
      <c r="R40" s="33" t="s">
        <v>107</v>
      </c>
      <c r="S40" s="33" t="s">
        <v>107</v>
      </c>
      <c r="T40" s="33" t="s">
        <v>107</v>
      </c>
      <c r="U40" s="33" t="s">
        <v>107</v>
      </c>
      <c r="V40" s="33" t="s">
        <v>107</v>
      </c>
      <c r="W40" s="33" t="s">
        <v>107</v>
      </c>
      <c r="X40" s="33" t="s">
        <v>107</v>
      </c>
      <c r="Y40" s="33" t="s">
        <v>107</v>
      </c>
      <c r="Z40" s="33" t="s">
        <v>107</v>
      </c>
      <c r="AA40" s="33" t="s">
        <v>107</v>
      </c>
      <c r="AB40" s="33" t="s">
        <v>107</v>
      </c>
      <c r="AC40" s="33" t="s">
        <v>107</v>
      </c>
      <c r="AD40" s="33" t="s">
        <v>107</v>
      </c>
      <c r="AE40" s="33" t="s">
        <v>107</v>
      </c>
      <c r="AF40" s="33" t="s">
        <v>107</v>
      </c>
      <c r="AG40" s="19"/>
      <c r="AH40" s="20">
        <f>JAN!AN40</f>
        <v>14</v>
      </c>
      <c r="AI40" s="21">
        <f t="shared" si="3"/>
        <v>0</v>
      </c>
      <c r="AJ40" s="20">
        <f t="shared" si="4"/>
        <v>14</v>
      </c>
      <c r="AK40" s="19"/>
      <c r="AL40" s="20"/>
      <c r="AM40" s="21">
        <f t="shared" si="0"/>
        <v>0</v>
      </c>
      <c r="AN40" s="20">
        <f t="shared" si="1"/>
        <v>0</v>
      </c>
      <c r="AO40" s="19"/>
      <c r="AP40" s="21">
        <f t="shared" si="2"/>
        <v>0</v>
      </c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</row>
    <row r="41" spans="2:60">
      <c r="B41" s="276"/>
      <c r="C41" s="22" t="s">
        <v>111</v>
      </c>
      <c r="D41" s="20" t="s">
        <v>112</v>
      </c>
      <c r="E41" s="28" t="s">
        <v>22</v>
      </c>
      <c r="F41" s="80" t="s">
        <v>113</v>
      </c>
      <c r="G41" s="80" t="s">
        <v>113</v>
      </c>
      <c r="H41" s="80" t="s">
        <v>113</v>
      </c>
      <c r="I41" s="80" t="s">
        <v>113</v>
      </c>
      <c r="J41" s="80" t="s">
        <v>113</v>
      </c>
      <c r="K41" s="28" t="s">
        <v>22</v>
      </c>
      <c r="L41" s="28" t="s">
        <v>22</v>
      </c>
      <c r="M41" s="80" t="s">
        <v>113</v>
      </c>
      <c r="N41" s="80" t="s">
        <v>113</v>
      </c>
      <c r="O41" s="80" t="s">
        <v>113</v>
      </c>
      <c r="P41" s="80" t="s">
        <v>113</v>
      </c>
      <c r="Q41" s="80" t="s">
        <v>113</v>
      </c>
      <c r="R41" s="28" t="s">
        <v>22</v>
      </c>
      <c r="S41" s="28" t="s">
        <v>22</v>
      </c>
      <c r="T41" s="80" t="s">
        <v>113</v>
      </c>
      <c r="U41" s="80" t="s">
        <v>113</v>
      </c>
      <c r="V41" s="80" t="s">
        <v>113</v>
      </c>
      <c r="W41" s="80" t="s">
        <v>113</v>
      </c>
      <c r="X41" s="80" t="s">
        <v>113</v>
      </c>
      <c r="Y41" s="28" t="s">
        <v>22</v>
      </c>
      <c r="Z41" s="28" t="s">
        <v>22</v>
      </c>
      <c r="AA41" s="80" t="s">
        <v>113</v>
      </c>
      <c r="AB41" s="80" t="s">
        <v>113</v>
      </c>
      <c r="AC41" s="80" t="s">
        <v>113</v>
      </c>
      <c r="AD41" s="80" t="s">
        <v>113</v>
      </c>
      <c r="AE41" s="80" t="s">
        <v>113</v>
      </c>
      <c r="AF41" s="91" t="s">
        <v>22</v>
      </c>
      <c r="AG41" s="19"/>
      <c r="AH41" s="20">
        <f>JAN!AN41</f>
        <v>0</v>
      </c>
      <c r="AI41" s="21">
        <f t="shared" si="3"/>
        <v>0</v>
      </c>
      <c r="AJ41" s="20">
        <f t="shared" si="4"/>
        <v>0</v>
      </c>
      <c r="AK41" s="19"/>
      <c r="AL41" s="20"/>
      <c r="AM41" s="21">
        <f t="shared" si="0"/>
        <v>0</v>
      </c>
      <c r="AN41" s="20">
        <f t="shared" si="1"/>
        <v>0</v>
      </c>
      <c r="AO41" s="19"/>
      <c r="AP41" s="21">
        <f t="shared" si="2"/>
        <v>20</v>
      </c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</row>
    <row r="42" spans="2:60">
      <c r="B42" s="276"/>
      <c r="C42" s="20" t="s">
        <v>114</v>
      </c>
      <c r="D42" s="20" t="s">
        <v>115</v>
      </c>
      <c r="E42" s="28" t="s">
        <v>22</v>
      </c>
      <c r="F42" s="81" t="s">
        <v>116</v>
      </c>
      <c r="G42" s="81" t="s">
        <v>116</v>
      </c>
      <c r="H42" s="81" t="s">
        <v>116</v>
      </c>
      <c r="I42" s="81" t="s">
        <v>116</v>
      </c>
      <c r="J42" s="81" t="s">
        <v>116</v>
      </c>
      <c r="K42" s="28" t="s">
        <v>22</v>
      </c>
      <c r="L42" s="28" t="s">
        <v>22</v>
      </c>
      <c r="M42" s="81" t="s">
        <v>116</v>
      </c>
      <c r="N42" s="81" t="s">
        <v>116</v>
      </c>
      <c r="O42" s="81" t="s">
        <v>116</v>
      </c>
      <c r="P42" s="81" t="s">
        <v>116</v>
      </c>
      <c r="Q42" s="81" t="s">
        <v>116</v>
      </c>
      <c r="R42" s="28" t="s">
        <v>22</v>
      </c>
      <c r="S42" s="28" t="s">
        <v>22</v>
      </c>
      <c r="T42" s="81" t="s">
        <v>116</v>
      </c>
      <c r="U42" s="81" t="s">
        <v>116</v>
      </c>
      <c r="V42" s="81" t="s">
        <v>116</v>
      </c>
      <c r="W42" s="81" t="s">
        <v>116</v>
      </c>
      <c r="X42" s="81" t="s">
        <v>116</v>
      </c>
      <c r="Y42" s="28" t="s">
        <v>22</v>
      </c>
      <c r="Z42" s="28" t="s">
        <v>22</v>
      </c>
      <c r="AA42" s="81" t="s">
        <v>116</v>
      </c>
      <c r="AB42" s="81" t="s">
        <v>116</v>
      </c>
      <c r="AC42" s="81" t="s">
        <v>116</v>
      </c>
      <c r="AD42" s="81" t="s">
        <v>116</v>
      </c>
      <c r="AE42" s="81" t="s">
        <v>116</v>
      </c>
      <c r="AF42" s="91" t="s">
        <v>22</v>
      </c>
      <c r="AG42" s="19"/>
      <c r="AH42" s="20">
        <f>JAN!AN42</f>
        <v>0</v>
      </c>
      <c r="AI42" s="21">
        <f t="shared" si="3"/>
        <v>0</v>
      </c>
      <c r="AJ42" s="20">
        <f t="shared" si="4"/>
        <v>0</v>
      </c>
      <c r="AK42" s="19"/>
      <c r="AL42" s="26"/>
      <c r="AM42" s="21">
        <f t="shared" si="0"/>
        <v>0</v>
      </c>
      <c r="AN42" s="44">
        <f t="shared" si="1"/>
        <v>0</v>
      </c>
      <c r="AO42" s="19"/>
      <c r="AP42" s="21">
        <f t="shared" si="2"/>
        <v>20</v>
      </c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</row>
    <row r="43" spans="2:60">
      <c r="B43" s="276"/>
      <c r="C43" s="22" t="s">
        <v>117</v>
      </c>
      <c r="D43" s="20" t="s">
        <v>118</v>
      </c>
      <c r="E43" s="28" t="s">
        <v>22</v>
      </c>
      <c r="F43" s="28" t="s">
        <v>22</v>
      </c>
      <c r="G43" s="60" t="s">
        <v>21</v>
      </c>
      <c r="H43" s="60" t="s">
        <v>21</v>
      </c>
      <c r="I43" s="60" t="s">
        <v>21</v>
      </c>
      <c r="J43" s="60" t="s">
        <v>21</v>
      </c>
      <c r="K43" s="28" t="s">
        <v>22</v>
      </c>
      <c r="L43" s="28" t="s">
        <v>22</v>
      </c>
      <c r="M43" s="74" t="s">
        <v>23</v>
      </c>
      <c r="N43" s="74" t="s">
        <v>23</v>
      </c>
      <c r="O43" s="74" t="s">
        <v>23</v>
      </c>
      <c r="P43" s="74" t="s">
        <v>23</v>
      </c>
      <c r="Q43" s="28" t="s">
        <v>22</v>
      </c>
      <c r="R43" s="28" t="s">
        <v>22</v>
      </c>
      <c r="S43" s="60" t="s">
        <v>21</v>
      </c>
      <c r="T43" s="60" t="s">
        <v>21</v>
      </c>
      <c r="U43" s="60" t="s">
        <v>21</v>
      </c>
      <c r="V43" s="60" t="s">
        <v>21</v>
      </c>
      <c r="W43" s="28" t="s">
        <v>22</v>
      </c>
      <c r="X43" s="28" t="s">
        <v>22</v>
      </c>
      <c r="Y43" s="74" t="s">
        <v>23</v>
      </c>
      <c r="Z43" s="74" t="s">
        <v>23</v>
      </c>
      <c r="AA43" s="74" t="s">
        <v>23</v>
      </c>
      <c r="AB43" s="74" t="s">
        <v>23</v>
      </c>
      <c r="AC43" s="28" t="s">
        <v>22</v>
      </c>
      <c r="AD43" s="28" t="s">
        <v>22</v>
      </c>
      <c r="AE43" s="60" t="s">
        <v>21</v>
      </c>
      <c r="AF43" s="90" t="s">
        <v>21</v>
      </c>
      <c r="AG43" s="19"/>
      <c r="AH43" s="20">
        <f>JAN!AN43</f>
        <v>0</v>
      </c>
      <c r="AI43" s="21">
        <f t="shared" si="3"/>
        <v>0</v>
      </c>
      <c r="AJ43" s="20">
        <f t="shared" si="4"/>
        <v>0</v>
      </c>
      <c r="AK43" s="19"/>
      <c r="AL43" s="20"/>
      <c r="AM43" s="21">
        <f t="shared" si="0"/>
        <v>0</v>
      </c>
      <c r="AN43" s="20">
        <f t="shared" si="1"/>
        <v>0</v>
      </c>
      <c r="AO43" s="19"/>
      <c r="AP43" s="21">
        <f t="shared" si="2"/>
        <v>18</v>
      </c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</row>
    <row r="44" spans="2:60">
      <c r="B44" s="276"/>
      <c r="C44" s="20" t="s">
        <v>119</v>
      </c>
      <c r="D44" s="20" t="s">
        <v>120</v>
      </c>
      <c r="E44" s="28" t="s">
        <v>22</v>
      </c>
      <c r="F44" s="28" t="s">
        <v>22</v>
      </c>
      <c r="G44" s="60" t="s">
        <v>21</v>
      </c>
      <c r="H44" s="60" t="s">
        <v>21</v>
      </c>
      <c r="I44" s="60" t="s">
        <v>21</v>
      </c>
      <c r="J44" s="60" t="s">
        <v>21</v>
      </c>
      <c r="K44" s="28" t="s">
        <v>22</v>
      </c>
      <c r="L44" s="28" t="s">
        <v>22</v>
      </c>
      <c r="M44" s="74" t="s">
        <v>23</v>
      </c>
      <c r="N44" s="74" t="s">
        <v>23</v>
      </c>
      <c r="O44" s="74" t="s">
        <v>23</v>
      </c>
      <c r="P44" s="74" t="s">
        <v>23</v>
      </c>
      <c r="Q44" s="28" t="s">
        <v>22</v>
      </c>
      <c r="R44" s="28" t="s">
        <v>22</v>
      </c>
      <c r="S44" s="60" t="s">
        <v>21</v>
      </c>
      <c r="T44" s="60" t="s">
        <v>21</v>
      </c>
      <c r="U44" s="60" t="s">
        <v>21</v>
      </c>
      <c r="V44" s="60" t="s">
        <v>21</v>
      </c>
      <c r="W44" s="28" t="s">
        <v>22</v>
      </c>
      <c r="X44" s="28" t="s">
        <v>22</v>
      </c>
      <c r="Y44" s="74" t="s">
        <v>23</v>
      </c>
      <c r="Z44" s="74" t="s">
        <v>23</v>
      </c>
      <c r="AA44" s="74" t="s">
        <v>23</v>
      </c>
      <c r="AB44" s="74" t="s">
        <v>23</v>
      </c>
      <c r="AC44" s="28" t="s">
        <v>22</v>
      </c>
      <c r="AD44" s="28" t="s">
        <v>22</v>
      </c>
      <c r="AE44" s="60" t="s">
        <v>21</v>
      </c>
      <c r="AF44" s="90" t="s">
        <v>21</v>
      </c>
      <c r="AG44" s="19"/>
      <c r="AH44" s="20">
        <f>JAN!AN44</f>
        <v>2</v>
      </c>
      <c r="AI44" s="21">
        <f t="shared" si="3"/>
        <v>0</v>
      </c>
      <c r="AJ44" s="20">
        <f t="shared" si="4"/>
        <v>2</v>
      </c>
      <c r="AK44" s="19"/>
      <c r="AL44" s="20"/>
      <c r="AM44" s="21">
        <f t="shared" si="0"/>
        <v>0</v>
      </c>
      <c r="AN44" s="20">
        <f t="shared" si="1"/>
        <v>0</v>
      </c>
      <c r="AO44" s="19"/>
      <c r="AP44" s="21">
        <f t="shared" si="2"/>
        <v>18</v>
      </c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</row>
    <row r="45" spans="2:60">
      <c r="B45" s="276"/>
      <c r="C45" s="22" t="s">
        <v>121</v>
      </c>
      <c r="D45" s="20" t="s">
        <v>122</v>
      </c>
      <c r="E45" s="74" t="s">
        <v>23</v>
      </c>
      <c r="F45" s="74" t="s">
        <v>23</v>
      </c>
      <c r="G45" s="74" t="s">
        <v>23</v>
      </c>
      <c r="H45" s="74" t="s">
        <v>23</v>
      </c>
      <c r="I45" s="28" t="s">
        <v>22</v>
      </c>
      <c r="J45" s="28" t="s">
        <v>22</v>
      </c>
      <c r="K45" s="60" t="s">
        <v>21</v>
      </c>
      <c r="L45" s="60" t="s">
        <v>21</v>
      </c>
      <c r="M45" s="60" t="s">
        <v>21</v>
      </c>
      <c r="N45" s="60" t="s">
        <v>21</v>
      </c>
      <c r="O45" s="28" t="s">
        <v>22</v>
      </c>
      <c r="P45" s="28" t="s">
        <v>22</v>
      </c>
      <c r="Q45" s="74" t="s">
        <v>23</v>
      </c>
      <c r="R45" s="74" t="s">
        <v>23</v>
      </c>
      <c r="S45" s="74" t="s">
        <v>23</v>
      </c>
      <c r="T45" s="74" t="s">
        <v>23</v>
      </c>
      <c r="U45" s="28" t="s">
        <v>22</v>
      </c>
      <c r="V45" s="28" t="s">
        <v>22</v>
      </c>
      <c r="W45" s="60" t="s">
        <v>21</v>
      </c>
      <c r="X45" s="60" t="s">
        <v>21</v>
      </c>
      <c r="Y45" s="60" t="s">
        <v>21</v>
      </c>
      <c r="Z45" s="60" t="s">
        <v>21</v>
      </c>
      <c r="AA45" s="28" t="s">
        <v>22</v>
      </c>
      <c r="AB45" s="28" t="s">
        <v>22</v>
      </c>
      <c r="AC45" s="74" t="s">
        <v>23</v>
      </c>
      <c r="AD45" s="74" t="s">
        <v>23</v>
      </c>
      <c r="AE45" s="74" t="s">
        <v>23</v>
      </c>
      <c r="AF45" s="89" t="s">
        <v>23</v>
      </c>
      <c r="AG45" s="19"/>
      <c r="AH45" s="20">
        <f>JAN!AN45</f>
        <v>0</v>
      </c>
      <c r="AI45" s="21">
        <f t="shared" si="3"/>
        <v>0</v>
      </c>
      <c r="AJ45" s="20">
        <f t="shared" si="4"/>
        <v>0</v>
      </c>
      <c r="AK45" s="19"/>
      <c r="AL45" s="20"/>
      <c r="AM45" s="21">
        <f t="shared" si="0"/>
        <v>0</v>
      </c>
      <c r="AN45" s="20">
        <f t="shared" si="1"/>
        <v>0</v>
      </c>
      <c r="AO45" s="19"/>
      <c r="AP45" s="21">
        <f t="shared" si="2"/>
        <v>20</v>
      </c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</row>
    <row r="46" spans="2:60" ht="15" customHeight="1">
      <c r="B46" s="276"/>
      <c r="C46" s="20" t="s">
        <v>124</v>
      </c>
      <c r="D46" s="20" t="s">
        <v>125</v>
      </c>
      <c r="E46" s="74" t="s">
        <v>23</v>
      </c>
      <c r="F46" s="74" t="s">
        <v>23</v>
      </c>
      <c r="G46" s="74" t="s">
        <v>23</v>
      </c>
      <c r="H46" s="74" t="s">
        <v>23</v>
      </c>
      <c r="I46" s="28" t="s">
        <v>22</v>
      </c>
      <c r="J46" s="28" t="s">
        <v>22</v>
      </c>
      <c r="K46" s="60" t="s">
        <v>21</v>
      </c>
      <c r="L46" s="60" t="s">
        <v>21</v>
      </c>
      <c r="M46" s="60" t="s">
        <v>21</v>
      </c>
      <c r="N46" s="60" t="s">
        <v>21</v>
      </c>
      <c r="O46" s="28" t="s">
        <v>22</v>
      </c>
      <c r="P46" s="28" t="s">
        <v>22</v>
      </c>
      <c r="Q46" s="74" t="s">
        <v>23</v>
      </c>
      <c r="R46" s="74" t="s">
        <v>23</v>
      </c>
      <c r="S46" s="74" t="s">
        <v>23</v>
      </c>
      <c r="T46" s="74" t="s">
        <v>23</v>
      </c>
      <c r="U46" s="28" t="s">
        <v>22</v>
      </c>
      <c r="V46" s="28" t="s">
        <v>22</v>
      </c>
      <c r="W46" s="60" t="s">
        <v>21</v>
      </c>
      <c r="X46" s="60" t="s">
        <v>21</v>
      </c>
      <c r="Y46" s="60" t="s">
        <v>21</v>
      </c>
      <c r="Z46" s="60" t="s">
        <v>21</v>
      </c>
      <c r="AA46" s="28" t="s">
        <v>22</v>
      </c>
      <c r="AB46" s="28" t="s">
        <v>22</v>
      </c>
      <c r="AC46" s="74" t="s">
        <v>23</v>
      </c>
      <c r="AD46" s="74" t="s">
        <v>23</v>
      </c>
      <c r="AE46" s="74" t="s">
        <v>23</v>
      </c>
      <c r="AF46" s="89" t="s">
        <v>23</v>
      </c>
      <c r="AG46" s="19"/>
      <c r="AH46" s="20">
        <f>JAN!AN46</f>
        <v>1</v>
      </c>
      <c r="AI46" s="21">
        <f t="shared" si="3"/>
        <v>0</v>
      </c>
      <c r="AJ46" s="20">
        <f t="shared" si="4"/>
        <v>1</v>
      </c>
      <c r="AK46" s="19"/>
      <c r="AL46" s="20"/>
      <c r="AM46" s="21">
        <f t="shared" si="0"/>
        <v>0</v>
      </c>
      <c r="AN46" s="20">
        <f t="shared" si="1"/>
        <v>0</v>
      </c>
      <c r="AO46" s="19"/>
      <c r="AP46" s="21">
        <f t="shared" si="2"/>
        <v>20</v>
      </c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</row>
    <row r="47" spans="2:60">
      <c r="B47" s="281"/>
      <c r="C47" s="92" t="s">
        <v>126</v>
      </c>
      <c r="D47" s="93" t="s">
        <v>127</v>
      </c>
      <c r="E47" s="95" t="s">
        <v>21</v>
      </c>
      <c r="F47" s="95" t="s">
        <v>21</v>
      </c>
      <c r="G47" s="94" t="s">
        <v>22</v>
      </c>
      <c r="H47" s="94" t="s">
        <v>22</v>
      </c>
      <c r="I47" s="96" t="s">
        <v>23</v>
      </c>
      <c r="J47" s="96" t="s">
        <v>23</v>
      </c>
      <c r="K47" s="96" t="s">
        <v>23</v>
      </c>
      <c r="L47" s="96" t="s">
        <v>23</v>
      </c>
      <c r="M47" s="94" t="s">
        <v>22</v>
      </c>
      <c r="N47" s="94" t="s">
        <v>22</v>
      </c>
      <c r="O47" s="95" t="s">
        <v>21</v>
      </c>
      <c r="P47" s="95" t="s">
        <v>21</v>
      </c>
      <c r="Q47" s="95" t="s">
        <v>21</v>
      </c>
      <c r="R47" s="95" t="s">
        <v>21</v>
      </c>
      <c r="S47" s="94" t="s">
        <v>22</v>
      </c>
      <c r="T47" s="94" t="s">
        <v>22</v>
      </c>
      <c r="U47" s="96" t="s">
        <v>23</v>
      </c>
      <c r="V47" s="96" t="s">
        <v>23</v>
      </c>
      <c r="W47" s="96" t="s">
        <v>23</v>
      </c>
      <c r="X47" s="96" t="s">
        <v>23</v>
      </c>
      <c r="Y47" s="94" t="s">
        <v>22</v>
      </c>
      <c r="Z47" s="94" t="s">
        <v>22</v>
      </c>
      <c r="AA47" s="95" t="s">
        <v>21</v>
      </c>
      <c r="AB47" s="95" t="s">
        <v>21</v>
      </c>
      <c r="AC47" s="95" t="s">
        <v>21</v>
      </c>
      <c r="AD47" s="95" t="s">
        <v>21</v>
      </c>
      <c r="AE47" s="94" t="s">
        <v>22</v>
      </c>
      <c r="AF47" s="97" t="s">
        <v>22</v>
      </c>
      <c r="AG47" s="19"/>
      <c r="AH47" s="20">
        <f>JAN!AN47</f>
        <v>2</v>
      </c>
      <c r="AI47" s="21">
        <f t="shared" si="3"/>
        <v>0</v>
      </c>
      <c r="AJ47" s="20">
        <f t="shared" si="4"/>
        <v>2</v>
      </c>
      <c r="AK47" s="19"/>
      <c r="AL47" s="20"/>
      <c r="AM47" s="21">
        <f t="shared" si="0"/>
        <v>0</v>
      </c>
      <c r="AN47" s="20">
        <f t="shared" si="1"/>
        <v>0</v>
      </c>
      <c r="AO47" s="19"/>
      <c r="AP47" s="21">
        <f t="shared" si="2"/>
        <v>18</v>
      </c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</row>
    <row r="48" spans="2:60">
      <c r="B48" s="42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</row>
    <row r="49" spans="2:60" ht="15" customHeight="1">
      <c r="B49" s="257" t="s">
        <v>17</v>
      </c>
      <c r="C49" s="257"/>
      <c r="D49" s="157" t="s">
        <v>21</v>
      </c>
      <c r="E49" s="152">
        <f>COUNTIF(E5:E12,$D$49)</f>
        <v>3</v>
      </c>
      <c r="F49" s="152">
        <f t="shared" ref="F49:AF49" si="5">COUNTIF(F5:F12,$D$49)</f>
        <v>3</v>
      </c>
      <c r="G49" s="152">
        <f t="shared" si="5"/>
        <v>3</v>
      </c>
      <c r="H49" s="152">
        <f t="shared" si="5"/>
        <v>3</v>
      </c>
      <c r="I49" s="152">
        <f t="shared" si="5"/>
        <v>3</v>
      </c>
      <c r="J49" s="152">
        <f t="shared" si="5"/>
        <v>3</v>
      </c>
      <c r="K49" s="152">
        <f t="shared" si="5"/>
        <v>2</v>
      </c>
      <c r="L49" s="152">
        <f t="shared" si="5"/>
        <v>3</v>
      </c>
      <c r="M49" s="152">
        <f t="shared" si="5"/>
        <v>2</v>
      </c>
      <c r="N49" s="152">
        <f t="shared" si="5"/>
        <v>2</v>
      </c>
      <c r="O49" s="152">
        <f t="shared" si="5"/>
        <v>1</v>
      </c>
      <c r="P49" s="152">
        <f t="shared" si="5"/>
        <v>2</v>
      </c>
      <c r="Q49" s="152">
        <f t="shared" si="5"/>
        <v>2</v>
      </c>
      <c r="R49" s="152">
        <f t="shared" si="5"/>
        <v>2</v>
      </c>
      <c r="S49" s="152">
        <f t="shared" si="5"/>
        <v>3</v>
      </c>
      <c r="T49" s="152">
        <f t="shared" si="5"/>
        <v>3</v>
      </c>
      <c r="U49" s="152">
        <f t="shared" si="5"/>
        <v>3</v>
      </c>
      <c r="V49" s="152">
        <f t="shared" si="5"/>
        <v>3</v>
      </c>
      <c r="W49" s="152">
        <f t="shared" si="5"/>
        <v>2</v>
      </c>
      <c r="X49" s="152">
        <f t="shared" si="5"/>
        <v>3</v>
      </c>
      <c r="Y49" s="152">
        <f t="shared" si="5"/>
        <v>3</v>
      </c>
      <c r="Z49" s="152">
        <f t="shared" si="5"/>
        <v>3</v>
      </c>
      <c r="AA49" s="152">
        <f t="shared" si="5"/>
        <v>4</v>
      </c>
      <c r="AB49" s="152">
        <f t="shared" si="5"/>
        <v>3</v>
      </c>
      <c r="AC49" s="152">
        <f t="shared" si="5"/>
        <v>3</v>
      </c>
      <c r="AD49" s="152">
        <f t="shared" si="5"/>
        <v>2</v>
      </c>
      <c r="AE49" s="152">
        <f t="shared" si="5"/>
        <v>2</v>
      </c>
      <c r="AF49" s="152">
        <f t="shared" si="5"/>
        <v>2</v>
      </c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</row>
    <row r="50" spans="2:60" ht="15" customHeight="1">
      <c r="B50" s="257"/>
      <c r="C50" s="257"/>
      <c r="D50" s="158" t="s">
        <v>23</v>
      </c>
      <c r="E50" s="152">
        <f>COUNTIF(E5:E12,$D$50)</f>
        <v>2</v>
      </c>
      <c r="F50" s="152">
        <f t="shared" ref="F50:AF50" si="6">COUNTIF(F5:F12,$D$50)</f>
        <v>2</v>
      </c>
      <c r="G50" s="152">
        <f t="shared" si="6"/>
        <v>2</v>
      </c>
      <c r="H50" s="152">
        <f t="shared" si="6"/>
        <v>2</v>
      </c>
      <c r="I50" s="152">
        <f t="shared" si="6"/>
        <v>3</v>
      </c>
      <c r="J50" s="152">
        <f t="shared" si="6"/>
        <v>3</v>
      </c>
      <c r="K50" s="152">
        <f t="shared" si="6"/>
        <v>2</v>
      </c>
      <c r="L50" s="152">
        <f t="shared" si="6"/>
        <v>2</v>
      </c>
      <c r="M50" s="152">
        <f t="shared" si="6"/>
        <v>3</v>
      </c>
      <c r="N50" s="152">
        <f t="shared" si="6"/>
        <v>3</v>
      </c>
      <c r="O50" s="152">
        <f t="shared" si="6"/>
        <v>3</v>
      </c>
      <c r="P50" s="152">
        <f t="shared" si="6"/>
        <v>3</v>
      </c>
      <c r="Q50" s="152">
        <f t="shared" si="6"/>
        <v>2</v>
      </c>
      <c r="R50" s="152">
        <f t="shared" si="6"/>
        <v>1</v>
      </c>
      <c r="S50" s="152">
        <f t="shared" si="6"/>
        <v>1</v>
      </c>
      <c r="T50" s="152">
        <f t="shared" si="6"/>
        <v>1</v>
      </c>
      <c r="U50" s="152">
        <f t="shared" si="6"/>
        <v>1</v>
      </c>
      <c r="V50" s="152">
        <f t="shared" si="6"/>
        <v>2</v>
      </c>
      <c r="W50" s="152">
        <f t="shared" si="6"/>
        <v>2</v>
      </c>
      <c r="X50" s="152">
        <f t="shared" si="6"/>
        <v>1</v>
      </c>
      <c r="Y50" s="152">
        <f t="shared" si="6"/>
        <v>2</v>
      </c>
      <c r="Z50" s="152">
        <f t="shared" si="6"/>
        <v>2</v>
      </c>
      <c r="AA50" s="152">
        <f t="shared" si="6"/>
        <v>2</v>
      </c>
      <c r="AB50" s="152">
        <f t="shared" si="6"/>
        <v>3</v>
      </c>
      <c r="AC50" s="152">
        <f t="shared" si="6"/>
        <v>2</v>
      </c>
      <c r="AD50" s="152">
        <f t="shared" si="6"/>
        <v>2</v>
      </c>
      <c r="AE50" s="152">
        <f t="shared" si="6"/>
        <v>2</v>
      </c>
      <c r="AF50" s="152">
        <f t="shared" si="6"/>
        <v>1</v>
      </c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</row>
    <row r="51" spans="2:60" ht="15" customHeight="1">
      <c r="B51" s="257"/>
      <c r="C51" s="257"/>
      <c r="D51" s="159" t="s">
        <v>128</v>
      </c>
      <c r="E51" s="152">
        <f>E49+E50</f>
        <v>5</v>
      </c>
      <c r="F51" s="152">
        <f t="shared" ref="F51:AF51" si="7">F49+F50</f>
        <v>5</v>
      </c>
      <c r="G51" s="152">
        <f t="shared" si="7"/>
        <v>5</v>
      </c>
      <c r="H51" s="152">
        <f t="shared" si="7"/>
        <v>5</v>
      </c>
      <c r="I51" s="152">
        <f t="shared" si="7"/>
        <v>6</v>
      </c>
      <c r="J51" s="152">
        <f t="shared" si="7"/>
        <v>6</v>
      </c>
      <c r="K51" s="152">
        <f t="shared" si="7"/>
        <v>4</v>
      </c>
      <c r="L51" s="152">
        <f t="shared" si="7"/>
        <v>5</v>
      </c>
      <c r="M51" s="152">
        <f t="shared" si="7"/>
        <v>5</v>
      </c>
      <c r="N51" s="152">
        <f t="shared" si="7"/>
        <v>5</v>
      </c>
      <c r="O51" s="152">
        <f t="shared" si="7"/>
        <v>4</v>
      </c>
      <c r="P51" s="152">
        <f t="shared" si="7"/>
        <v>5</v>
      </c>
      <c r="Q51" s="152">
        <f t="shared" si="7"/>
        <v>4</v>
      </c>
      <c r="R51" s="152">
        <f t="shared" si="7"/>
        <v>3</v>
      </c>
      <c r="S51" s="152">
        <f t="shared" si="7"/>
        <v>4</v>
      </c>
      <c r="T51" s="152">
        <f t="shared" si="7"/>
        <v>4</v>
      </c>
      <c r="U51" s="152">
        <f t="shared" si="7"/>
        <v>4</v>
      </c>
      <c r="V51" s="152">
        <f t="shared" si="7"/>
        <v>5</v>
      </c>
      <c r="W51" s="152">
        <f t="shared" si="7"/>
        <v>4</v>
      </c>
      <c r="X51" s="152">
        <f t="shared" si="7"/>
        <v>4</v>
      </c>
      <c r="Y51" s="152">
        <f t="shared" si="7"/>
        <v>5</v>
      </c>
      <c r="Z51" s="152">
        <f t="shared" si="7"/>
        <v>5</v>
      </c>
      <c r="AA51" s="152">
        <f t="shared" si="7"/>
        <v>6</v>
      </c>
      <c r="AB51" s="152">
        <f t="shared" si="7"/>
        <v>6</v>
      </c>
      <c r="AC51" s="152">
        <f t="shared" si="7"/>
        <v>5</v>
      </c>
      <c r="AD51" s="152">
        <f t="shared" si="7"/>
        <v>4</v>
      </c>
      <c r="AE51" s="152">
        <f t="shared" si="7"/>
        <v>4</v>
      </c>
      <c r="AF51" s="152">
        <f t="shared" si="7"/>
        <v>3</v>
      </c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</row>
    <row r="52" spans="2:60" ht="15" customHeight="1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</row>
    <row r="53" spans="2:60">
      <c r="B53" s="261" t="s">
        <v>45</v>
      </c>
      <c r="C53" s="262"/>
      <c r="D53" s="157" t="s">
        <v>21</v>
      </c>
      <c r="E53" s="152">
        <f>COUNTIF(E13:E24,$D$53)</f>
        <v>4</v>
      </c>
      <c r="F53" s="152">
        <f t="shared" ref="F53:AF53" si="8">COUNTIF(F13:F24,$D$53)</f>
        <v>4</v>
      </c>
      <c r="G53" s="152">
        <f t="shared" si="8"/>
        <v>4</v>
      </c>
      <c r="H53" s="152">
        <f t="shared" si="8"/>
        <v>4</v>
      </c>
      <c r="I53" s="152">
        <f t="shared" si="8"/>
        <v>3</v>
      </c>
      <c r="J53" s="152">
        <f t="shared" si="8"/>
        <v>4</v>
      </c>
      <c r="K53" s="152">
        <f t="shared" si="8"/>
        <v>4</v>
      </c>
      <c r="L53" s="152">
        <f t="shared" si="8"/>
        <v>3</v>
      </c>
      <c r="M53" s="152">
        <f t="shared" si="8"/>
        <v>3</v>
      </c>
      <c r="N53" s="152">
        <f t="shared" si="8"/>
        <v>4</v>
      </c>
      <c r="O53" s="152">
        <f t="shared" si="8"/>
        <v>4</v>
      </c>
      <c r="P53" s="152">
        <f t="shared" si="8"/>
        <v>4</v>
      </c>
      <c r="Q53" s="152">
        <f t="shared" si="8"/>
        <v>4</v>
      </c>
      <c r="R53" s="152">
        <f t="shared" si="8"/>
        <v>3</v>
      </c>
      <c r="S53" s="152">
        <f t="shared" si="8"/>
        <v>3</v>
      </c>
      <c r="T53" s="152">
        <f t="shared" si="8"/>
        <v>3</v>
      </c>
      <c r="U53" s="152">
        <f t="shared" si="8"/>
        <v>3</v>
      </c>
      <c r="V53" s="152">
        <f t="shared" si="8"/>
        <v>4</v>
      </c>
      <c r="W53" s="152">
        <f t="shared" si="8"/>
        <v>4</v>
      </c>
      <c r="X53" s="152">
        <f t="shared" si="8"/>
        <v>4</v>
      </c>
      <c r="Y53" s="152">
        <f t="shared" si="8"/>
        <v>4</v>
      </c>
      <c r="Z53" s="152">
        <f t="shared" si="8"/>
        <v>3</v>
      </c>
      <c r="AA53" s="152">
        <f t="shared" si="8"/>
        <v>4</v>
      </c>
      <c r="AB53" s="152">
        <f t="shared" si="8"/>
        <v>3</v>
      </c>
      <c r="AC53" s="152">
        <f t="shared" si="8"/>
        <v>3</v>
      </c>
      <c r="AD53" s="152">
        <f t="shared" si="8"/>
        <v>3</v>
      </c>
      <c r="AE53" s="152">
        <f t="shared" si="8"/>
        <v>3</v>
      </c>
      <c r="AF53" s="152">
        <f t="shared" si="8"/>
        <v>4</v>
      </c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</row>
    <row r="54" spans="2:60">
      <c r="B54" s="263"/>
      <c r="C54" s="264"/>
      <c r="D54" s="158" t="s">
        <v>23</v>
      </c>
      <c r="E54" s="152">
        <f>COUNTIF(E13:E24,$D$54)</f>
        <v>2</v>
      </c>
      <c r="F54" s="152">
        <f t="shared" ref="F54:AF54" si="9">COUNTIF(F13:F24,$D$54)</f>
        <v>3</v>
      </c>
      <c r="G54" s="152">
        <f t="shared" si="9"/>
        <v>3</v>
      </c>
      <c r="H54" s="152">
        <f t="shared" si="9"/>
        <v>3</v>
      </c>
      <c r="I54" s="152">
        <f t="shared" si="9"/>
        <v>3</v>
      </c>
      <c r="J54" s="152">
        <f t="shared" si="9"/>
        <v>3</v>
      </c>
      <c r="K54" s="152">
        <f t="shared" si="9"/>
        <v>3</v>
      </c>
      <c r="L54" s="152">
        <f t="shared" si="9"/>
        <v>2</v>
      </c>
      <c r="M54" s="152">
        <f t="shared" si="9"/>
        <v>2</v>
      </c>
      <c r="N54" s="152">
        <f t="shared" si="9"/>
        <v>2</v>
      </c>
      <c r="O54" s="152">
        <f t="shared" si="9"/>
        <v>2</v>
      </c>
      <c r="P54" s="152">
        <f t="shared" si="9"/>
        <v>3</v>
      </c>
      <c r="Q54" s="152">
        <f t="shared" si="9"/>
        <v>3</v>
      </c>
      <c r="R54" s="152">
        <f t="shared" si="9"/>
        <v>3</v>
      </c>
      <c r="S54" s="152">
        <f t="shared" si="9"/>
        <v>3</v>
      </c>
      <c r="T54" s="152">
        <f t="shared" si="9"/>
        <v>3</v>
      </c>
      <c r="U54" s="152">
        <f t="shared" si="9"/>
        <v>3</v>
      </c>
      <c r="V54" s="152">
        <f t="shared" si="9"/>
        <v>3</v>
      </c>
      <c r="W54" s="152">
        <f t="shared" si="9"/>
        <v>3</v>
      </c>
      <c r="X54" s="152">
        <f t="shared" si="9"/>
        <v>3</v>
      </c>
      <c r="Y54" s="152">
        <f t="shared" si="9"/>
        <v>3</v>
      </c>
      <c r="Z54" s="152">
        <f t="shared" si="9"/>
        <v>3</v>
      </c>
      <c r="AA54" s="152">
        <f t="shared" si="9"/>
        <v>3</v>
      </c>
      <c r="AB54" s="152">
        <f t="shared" si="9"/>
        <v>4</v>
      </c>
      <c r="AC54" s="152">
        <f t="shared" si="9"/>
        <v>4</v>
      </c>
      <c r="AD54" s="152">
        <f t="shared" si="9"/>
        <v>4</v>
      </c>
      <c r="AE54" s="152">
        <f t="shared" si="9"/>
        <v>4</v>
      </c>
      <c r="AF54" s="152">
        <f t="shared" si="9"/>
        <v>3</v>
      </c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</row>
    <row r="55" spans="2:60">
      <c r="B55" s="263"/>
      <c r="C55" s="264"/>
      <c r="D55" s="78" t="s">
        <v>29</v>
      </c>
      <c r="E55" s="152">
        <f>COUNTIF(E13:E24,$D$55)</f>
        <v>1</v>
      </c>
      <c r="F55" s="152">
        <f t="shared" ref="F55:AF55" si="10">COUNTIF(F13:F24,$D$55)</f>
        <v>1</v>
      </c>
      <c r="G55" s="152">
        <f t="shared" si="10"/>
        <v>1</v>
      </c>
      <c r="H55" s="152">
        <f t="shared" si="10"/>
        <v>1</v>
      </c>
      <c r="I55" s="152">
        <f t="shared" si="10"/>
        <v>1</v>
      </c>
      <c r="J55" s="152">
        <f t="shared" si="10"/>
        <v>1</v>
      </c>
      <c r="K55" s="152">
        <f t="shared" si="10"/>
        <v>1</v>
      </c>
      <c r="L55" s="152">
        <f t="shared" si="10"/>
        <v>1</v>
      </c>
      <c r="M55" s="152">
        <f t="shared" si="10"/>
        <v>1</v>
      </c>
      <c r="N55" s="152">
        <f t="shared" si="10"/>
        <v>1</v>
      </c>
      <c r="O55" s="152">
        <f t="shared" si="10"/>
        <v>1</v>
      </c>
      <c r="P55" s="152">
        <f t="shared" si="10"/>
        <v>1</v>
      </c>
      <c r="Q55" s="152">
        <f t="shared" si="10"/>
        <v>1</v>
      </c>
      <c r="R55" s="152">
        <f t="shared" si="10"/>
        <v>2</v>
      </c>
      <c r="S55" s="152">
        <f t="shared" si="10"/>
        <v>2</v>
      </c>
      <c r="T55" s="152">
        <f t="shared" si="10"/>
        <v>2</v>
      </c>
      <c r="U55" s="152">
        <f t="shared" si="10"/>
        <v>2</v>
      </c>
      <c r="V55" s="152">
        <f t="shared" si="10"/>
        <v>1</v>
      </c>
      <c r="W55" s="152">
        <f t="shared" si="10"/>
        <v>1</v>
      </c>
      <c r="X55" s="152">
        <f t="shared" si="10"/>
        <v>1</v>
      </c>
      <c r="Y55" s="152">
        <f t="shared" si="10"/>
        <v>1</v>
      </c>
      <c r="Z55" s="152">
        <f t="shared" si="10"/>
        <v>1</v>
      </c>
      <c r="AA55" s="152">
        <f t="shared" si="10"/>
        <v>1</v>
      </c>
      <c r="AB55" s="152">
        <f t="shared" si="10"/>
        <v>1</v>
      </c>
      <c r="AC55" s="152">
        <f t="shared" si="10"/>
        <v>1</v>
      </c>
      <c r="AD55" s="152">
        <f t="shared" si="10"/>
        <v>1</v>
      </c>
      <c r="AE55" s="152">
        <f t="shared" si="10"/>
        <v>1</v>
      </c>
      <c r="AF55" s="152">
        <f t="shared" si="10"/>
        <v>1</v>
      </c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</row>
    <row r="56" spans="2:60">
      <c r="B56" s="265"/>
      <c r="C56" s="266"/>
      <c r="D56" s="159" t="s">
        <v>128</v>
      </c>
      <c r="E56" s="152">
        <f>E53+E54+E55</f>
        <v>7</v>
      </c>
      <c r="F56" s="152">
        <f t="shared" ref="F56:AF56" si="11">F53+F54+F55</f>
        <v>8</v>
      </c>
      <c r="G56" s="152">
        <f t="shared" si="11"/>
        <v>8</v>
      </c>
      <c r="H56" s="152">
        <f t="shared" si="11"/>
        <v>8</v>
      </c>
      <c r="I56" s="152">
        <f t="shared" si="11"/>
        <v>7</v>
      </c>
      <c r="J56" s="152">
        <f t="shared" si="11"/>
        <v>8</v>
      </c>
      <c r="K56" s="152">
        <f t="shared" si="11"/>
        <v>8</v>
      </c>
      <c r="L56" s="152">
        <f t="shared" si="11"/>
        <v>6</v>
      </c>
      <c r="M56" s="152">
        <f t="shared" si="11"/>
        <v>6</v>
      </c>
      <c r="N56" s="152">
        <f t="shared" si="11"/>
        <v>7</v>
      </c>
      <c r="O56" s="152">
        <f t="shared" si="11"/>
        <v>7</v>
      </c>
      <c r="P56" s="152">
        <f t="shared" si="11"/>
        <v>8</v>
      </c>
      <c r="Q56" s="152">
        <f t="shared" si="11"/>
        <v>8</v>
      </c>
      <c r="R56" s="152">
        <f t="shared" si="11"/>
        <v>8</v>
      </c>
      <c r="S56" s="152">
        <f t="shared" si="11"/>
        <v>8</v>
      </c>
      <c r="T56" s="152">
        <f t="shared" si="11"/>
        <v>8</v>
      </c>
      <c r="U56" s="152">
        <f t="shared" si="11"/>
        <v>8</v>
      </c>
      <c r="V56" s="152">
        <f t="shared" si="11"/>
        <v>8</v>
      </c>
      <c r="W56" s="152">
        <f t="shared" si="11"/>
        <v>8</v>
      </c>
      <c r="X56" s="152">
        <f t="shared" si="11"/>
        <v>8</v>
      </c>
      <c r="Y56" s="152">
        <f t="shared" si="11"/>
        <v>8</v>
      </c>
      <c r="Z56" s="152">
        <f t="shared" si="11"/>
        <v>7</v>
      </c>
      <c r="AA56" s="152">
        <f t="shared" si="11"/>
        <v>8</v>
      </c>
      <c r="AB56" s="152">
        <f t="shared" si="11"/>
        <v>8</v>
      </c>
      <c r="AC56" s="152">
        <f t="shared" si="11"/>
        <v>8</v>
      </c>
      <c r="AD56" s="152">
        <f t="shared" si="11"/>
        <v>8</v>
      </c>
      <c r="AE56" s="152">
        <f t="shared" si="11"/>
        <v>8</v>
      </c>
      <c r="AF56" s="152">
        <f t="shared" si="11"/>
        <v>8</v>
      </c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</row>
    <row r="57" spans="2:60"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</row>
    <row r="58" spans="2:60">
      <c r="B58" s="261" t="s">
        <v>72</v>
      </c>
      <c r="C58" s="262"/>
      <c r="D58" s="157" t="s">
        <v>21</v>
      </c>
      <c r="E58" s="152">
        <f>COUNTIF(E25:E35,$D$58)</f>
        <v>4</v>
      </c>
      <c r="F58" s="152">
        <f t="shared" ref="F58:AF58" si="12">COUNTIF(F25:F35,$D$58)</f>
        <v>2</v>
      </c>
      <c r="G58" s="152">
        <f t="shared" si="12"/>
        <v>2</v>
      </c>
      <c r="H58" s="152">
        <f t="shared" si="12"/>
        <v>2</v>
      </c>
      <c r="I58" s="152">
        <f t="shared" si="12"/>
        <v>2</v>
      </c>
      <c r="J58" s="152">
        <f t="shared" si="12"/>
        <v>4</v>
      </c>
      <c r="K58" s="152">
        <f t="shared" si="12"/>
        <v>4</v>
      </c>
      <c r="L58" s="152">
        <f t="shared" si="12"/>
        <v>3</v>
      </c>
      <c r="M58" s="152">
        <f t="shared" si="12"/>
        <v>3</v>
      </c>
      <c r="N58" s="152">
        <f t="shared" si="12"/>
        <v>3</v>
      </c>
      <c r="O58" s="152">
        <f t="shared" si="12"/>
        <v>3</v>
      </c>
      <c r="P58" s="152">
        <f t="shared" si="12"/>
        <v>4</v>
      </c>
      <c r="Q58" s="152">
        <f t="shared" si="12"/>
        <v>4</v>
      </c>
      <c r="R58" s="152">
        <f t="shared" si="12"/>
        <v>3</v>
      </c>
      <c r="S58" s="152">
        <f t="shared" si="12"/>
        <v>2</v>
      </c>
      <c r="T58" s="152">
        <f t="shared" si="12"/>
        <v>2</v>
      </c>
      <c r="U58" s="152">
        <f t="shared" si="12"/>
        <v>3</v>
      </c>
      <c r="V58" s="152">
        <f t="shared" si="12"/>
        <v>4</v>
      </c>
      <c r="W58" s="152">
        <f t="shared" si="12"/>
        <v>4</v>
      </c>
      <c r="X58" s="152">
        <f t="shared" si="12"/>
        <v>3</v>
      </c>
      <c r="Y58" s="152">
        <f t="shared" si="12"/>
        <v>3</v>
      </c>
      <c r="Z58" s="152">
        <f t="shared" si="12"/>
        <v>3</v>
      </c>
      <c r="AA58" s="152">
        <f t="shared" si="12"/>
        <v>3</v>
      </c>
      <c r="AB58" s="152">
        <f t="shared" si="12"/>
        <v>4</v>
      </c>
      <c r="AC58" s="152">
        <f t="shared" si="12"/>
        <v>5</v>
      </c>
      <c r="AD58" s="152">
        <f t="shared" si="12"/>
        <v>4</v>
      </c>
      <c r="AE58" s="152">
        <f t="shared" si="12"/>
        <v>4</v>
      </c>
      <c r="AF58" s="152">
        <f t="shared" si="12"/>
        <v>4</v>
      </c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</row>
    <row r="59" spans="2:60">
      <c r="B59" s="263"/>
      <c r="C59" s="264"/>
      <c r="D59" s="158" t="s">
        <v>23</v>
      </c>
      <c r="E59" s="152">
        <f>COUNTIF(E25:E35,$D$59)</f>
        <v>4</v>
      </c>
      <c r="F59" s="152">
        <f t="shared" ref="F59:AF59" si="13">COUNTIF(F25:F35,$D$59)</f>
        <v>4</v>
      </c>
      <c r="G59" s="152">
        <f t="shared" si="13"/>
        <v>4</v>
      </c>
      <c r="H59" s="152">
        <f t="shared" si="13"/>
        <v>4</v>
      </c>
      <c r="I59" s="152">
        <f t="shared" si="13"/>
        <v>3</v>
      </c>
      <c r="J59" s="152">
        <f t="shared" si="13"/>
        <v>3</v>
      </c>
      <c r="K59" s="152">
        <f t="shared" si="13"/>
        <v>4</v>
      </c>
      <c r="L59" s="152">
        <f t="shared" si="13"/>
        <v>3</v>
      </c>
      <c r="M59" s="152">
        <f t="shared" si="13"/>
        <v>3</v>
      </c>
      <c r="N59" s="152">
        <f t="shared" si="13"/>
        <v>2</v>
      </c>
      <c r="O59" s="152">
        <f t="shared" si="13"/>
        <v>2</v>
      </c>
      <c r="P59" s="152">
        <f t="shared" si="13"/>
        <v>3</v>
      </c>
      <c r="Q59" s="152">
        <f t="shared" si="13"/>
        <v>3</v>
      </c>
      <c r="R59" s="152">
        <f t="shared" si="13"/>
        <v>3</v>
      </c>
      <c r="S59" s="152">
        <f t="shared" si="13"/>
        <v>3</v>
      </c>
      <c r="T59" s="152">
        <f t="shared" si="13"/>
        <v>3</v>
      </c>
      <c r="U59" s="152">
        <f t="shared" si="13"/>
        <v>3</v>
      </c>
      <c r="V59" s="152">
        <f t="shared" si="13"/>
        <v>3</v>
      </c>
      <c r="W59" s="152">
        <f t="shared" si="13"/>
        <v>3</v>
      </c>
      <c r="X59" s="152">
        <f t="shared" si="13"/>
        <v>1</v>
      </c>
      <c r="Y59" s="152">
        <f t="shared" si="13"/>
        <v>2</v>
      </c>
      <c r="Z59" s="152">
        <f t="shared" si="13"/>
        <v>2</v>
      </c>
      <c r="AA59" s="152">
        <f t="shared" si="13"/>
        <v>2</v>
      </c>
      <c r="AB59" s="152">
        <f t="shared" si="13"/>
        <v>2</v>
      </c>
      <c r="AC59" s="152">
        <f t="shared" si="13"/>
        <v>2</v>
      </c>
      <c r="AD59" s="152">
        <f t="shared" si="13"/>
        <v>2</v>
      </c>
      <c r="AE59" s="152">
        <f t="shared" si="13"/>
        <v>2</v>
      </c>
      <c r="AF59" s="152">
        <f t="shared" si="13"/>
        <v>3</v>
      </c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</row>
    <row r="60" spans="2:60">
      <c r="B60" s="263"/>
      <c r="C60" s="264"/>
      <c r="D60" s="78" t="s">
        <v>29</v>
      </c>
      <c r="E60" s="152">
        <f>COUNTIF(E25:E35,$D$60)</f>
        <v>1</v>
      </c>
      <c r="F60" s="152">
        <f t="shared" ref="F60:AF60" si="14">COUNTIF(F25:F35,$D$60)</f>
        <v>1</v>
      </c>
      <c r="G60" s="152">
        <f t="shared" si="14"/>
        <v>1</v>
      </c>
      <c r="H60" s="152">
        <f t="shared" si="14"/>
        <v>1</v>
      </c>
      <c r="I60" s="152">
        <f t="shared" si="14"/>
        <v>1</v>
      </c>
      <c r="J60" s="152">
        <f t="shared" si="14"/>
        <v>1</v>
      </c>
      <c r="K60" s="152">
        <f t="shared" si="14"/>
        <v>1</v>
      </c>
      <c r="L60" s="152">
        <f t="shared" si="14"/>
        <v>1</v>
      </c>
      <c r="M60" s="152">
        <f t="shared" si="14"/>
        <v>1</v>
      </c>
      <c r="N60" s="152">
        <f t="shared" si="14"/>
        <v>1</v>
      </c>
      <c r="O60" s="152">
        <f t="shared" si="14"/>
        <v>1</v>
      </c>
      <c r="P60" s="152">
        <f t="shared" si="14"/>
        <v>1</v>
      </c>
      <c r="Q60" s="152">
        <f t="shared" si="14"/>
        <v>1</v>
      </c>
      <c r="R60" s="152">
        <f t="shared" si="14"/>
        <v>0</v>
      </c>
      <c r="S60" s="152">
        <f t="shared" si="14"/>
        <v>0</v>
      </c>
      <c r="T60" s="152">
        <f t="shared" si="14"/>
        <v>0</v>
      </c>
      <c r="U60" s="152">
        <f t="shared" si="14"/>
        <v>0</v>
      </c>
      <c r="V60" s="152">
        <f t="shared" si="14"/>
        <v>1</v>
      </c>
      <c r="W60" s="152">
        <f t="shared" si="14"/>
        <v>1</v>
      </c>
      <c r="X60" s="152">
        <f t="shared" si="14"/>
        <v>1</v>
      </c>
      <c r="Y60" s="152">
        <f t="shared" si="14"/>
        <v>1</v>
      </c>
      <c r="Z60" s="152">
        <f t="shared" si="14"/>
        <v>1</v>
      </c>
      <c r="AA60" s="152">
        <f t="shared" si="14"/>
        <v>1</v>
      </c>
      <c r="AB60" s="152">
        <f t="shared" si="14"/>
        <v>1</v>
      </c>
      <c r="AC60" s="152">
        <f t="shared" si="14"/>
        <v>1</v>
      </c>
      <c r="AD60" s="152">
        <f t="shared" si="14"/>
        <v>0</v>
      </c>
      <c r="AE60" s="152">
        <f t="shared" si="14"/>
        <v>0</v>
      </c>
      <c r="AF60" s="152">
        <f t="shared" si="14"/>
        <v>0</v>
      </c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</row>
    <row r="61" spans="2:60">
      <c r="B61" s="265"/>
      <c r="C61" s="266"/>
      <c r="D61" s="159" t="s">
        <v>128</v>
      </c>
      <c r="E61" s="152">
        <f>E58+E59+E60</f>
        <v>9</v>
      </c>
      <c r="F61" s="152">
        <f t="shared" ref="F61:AF61" si="15">F58+F59+F60</f>
        <v>7</v>
      </c>
      <c r="G61" s="152">
        <f t="shared" si="15"/>
        <v>7</v>
      </c>
      <c r="H61" s="152">
        <f t="shared" si="15"/>
        <v>7</v>
      </c>
      <c r="I61" s="152">
        <f t="shared" si="15"/>
        <v>6</v>
      </c>
      <c r="J61" s="152">
        <f t="shared" si="15"/>
        <v>8</v>
      </c>
      <c r="K61" s="152">
        <f t="shared" si="15"/>
        <v>9</v>
      </c>
      <c r="L61" s="152">
        <f t="shared" si="15"/>
        <v>7</v>
      </c>
      <c r="M61" s="152">
        <f t="shared" si="15"/>
        <v>7</v>
      </c>
      <c r="N61" s="152">
        <f t="shared" si="15"/>
        <v>6</v>
      </c>
      <c r="O61" s="152">
        <f t="shared" si="15"/>
        <v>6</v>
      </c>
      <c r="P61" s="152">
        <f t="shared" si="15"/>
        <v>8</v>
      </c>
      <c r="Q61" s="152">
        <f t="shared" si="15"/>
        <v>8</v>
      </c>
      <c r="R61" s="152">
        <f t="shared" si="15"/>
        <v>6</v>
      </c>
      <c r="S61" s="152">
        <f t="shared" si="15"/>
        <v>5</v>
      </c>
      <c r="T61" s="152">
        <f t="shared" si="15"/>
        <v>5</v>
      </c>
      <c r="U61" s="152">
        <f t="shared" si="15"/>
        <v>6</v>
      </c>
      <c r="V61" s="152">
        <f t="shared" si="15"/>
        <v>8</v>
      </c>
      <c r="W61" s="152">
        <f t="shared" si="15"/>
        <v>8</v>
      </c>
      <c r="X61" s="152">
        <f t="shared" si="15"/>
        <v>5</v>
      </c>
      <c r="Y61" s="152">
        <f t="shared" si="15"/>
        <v>6</v>
      </c>
      <c r="Z61" s="152">
        <f t="shared" si="15"/>
        <v>6</v>
      </c>
      <c r="AA61" s="152">
        <f t="shared" si="15"/>
        <v>6</v>
      </c>
      <c r="AB61" s="152">
        <f t="shared" si="15"/>
        <v>7</v>
      </c>
      <c r="AC61" s="152">
        <f t="shared" si="15"/>
        <v>8</v>
      </c>
      <c r="AD61" s="152">
        <f t="shared" si="15"/>
        <v>6</v>
      </c>
      <c r="AE61" s="152">
        <f t="shared" si="15"/>
        <v>6</v>
      </c>
      <c r="AF61" s="152">
        <f t="shared" si="15"/>
        <v>7</v>
      </c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</row>
    <row r="62" spans="2:60"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</row>
    <row r="63" spans="2:60">
      <c r="B63" s="257" t="s">
        <v>97</v>
      </c>
      <c r="C63" s="257"/>
      <c r="D63" s="141" t="s">
        <v>100</v>
      </c>
      <c r="E63" s="160">
        <f>COUNTIF(E36:E39,$D$63)</f>
        <v>1</v>
      </c>
      <c r="F63" s="160">
        <f t="shared" ref="F63:AF63" si="16">COUNTIF(F36:F39,$D$63)</f>
        <v>1</v>
      </c>
      <c r="G63" s="160">
        <f t="shared" si="16"/>
        <v>1</v>
      </c>
      <c r="H63" s="160">
        <f t="shared" si="16"/>
        <v>1</v>
      </c>
      <c r="I63" s="160">
        <f t="shared" si="16"/>
        <v>1</v>
      </c>
      <c r="J63" s="160">
        <f t="shared" si="16"/>
        <v>1</v>
      </c>
      <c r="K63" s="160">
        <f t="shared" si="16"/>
        <v>1</v>
      </c>
      <c r="L63" s="160">
        <f t="shared" si="16"/>
        <v>1</v>
      </c>
      <c r="M63" s="160">
        <f t="shared" si="16"/>
        <v>1</v>
      </c>
      <c r="N63" s="160">
        <f t="shared" si="16"/>
        <v>1</v>
      </c>
      <c r="O63" s="160">
        <f t="shared" si="16"/>
        <v>1</v>
      </c>
      <c r="P63" s="160">
        <f t="shared" si="16"/>
        <v>1</v>
      </c>
      <c r="Q63" s="160">
        <f t="shared" si="16"/>
        <v>1</v>
      </c>
      <c r="R63" s="160">
        <f t="shared" si="16"/>
        <v>1</v>
      </c>
      <c r="S63" s="160">
        <f t="shared" si="16"/>
        <v>1</v>
      </c>
      <c r="T63" s="160">
        <f t="shared" si="16"/>
        <v>1</v>
      </c>
      <c r="U63" s="160">
        <f t="shared" si="16"/>
        <v>1</v>
      </c>
      <c r="V63" s="160">
        <f t="shared" si="16"/>
        <v>1</v>
      </c>
      <c r="W63" s="160">
        <f t="shared" si="16"/>
        <v>1</v>
      </c>
      <c r="X63" s="160">
        <f t="shared" si="16"/>
        <v>1</v>
      </c>
      <c r="Y63" s="160">
        <f t="shared" si="16"/>
        <v>1</v>
      </c>
      <c r="Z63" s="160">
        <f t="shared" si="16"/>
        <v>1</v>
      </c>
      <c r="AA63" s="160">
        <f t="shared" si="16"/>
        <v>1</v>
      </c>
      <c r="AB63" s="160">
        <f t="shared" si="16"/>
        <v>1</v>
      </c>
      <c r="AC63" s="160">
        <f t="shared" si="16"/>
        <v>1</v>
      </c>
      <c r="AD63" s="160">
        <f t="shared" si="16"/>
        <v>1</v>
      </c>
      <c r="AE63" s="160">
        <f t="shared" si="16"/>
        <v>1</v>
      </c>
      <c r="AF63" s="160">
        <f t="shared" si="16"/>
        <v>1</v>
      </c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</row>
    <row r="64" spans="2:60">
      <c r="B64" s="257"/>
      <c r="C64" s="257"/>
      <c r="D64" s="142" t="s">
        <v>66</v>
      </c>
      <c r="E64" s="160">
        <f>COUNTIF(E36:E39,$D$64)</f>
        <v>1</v>
      </c>
      <c r="F64" s="160">
        <f t="shared" ref="F64:AF64" si="17">COUNTIF(F36:F39,$D$64)</f>
        <v>1</v>
      </c>
      <c r="G64" s="160">
        <f t="shared" si="17"/>
        <v>1</v>
      </c>
      <c r="H64" s="160">
        <f t="shared" si="17"/>
        <v>1</v>
      </c>
      <c r="I64" s="160">
        <f t="shared" si="17"/>
        <v>1</v>
      </c>
      <c r="J64" s="160">
        <f t="shared" si="17"/>
        <v>1</v>
      </c>
      <c r="K64" s="160">
        <f t="shared" si="17"/>
        <v>1</v>
      </c>
      <c r="L64" s="160">
        <f t="shared" si="17"/>
        <v>1</v>
      </c>
      <c r="M64" s="160">
        <f t="shared" si="17"/>
        <v>1</v>
      </c>
      <c r="N64" s="160">
        <f t="shared" si="17"/>
        <v>1</v>
      </c>
      <c r="O64" s="160">
        <f t="shared" si="17"/>
        <v>1</v>
      </c>
      <c r="P64" s="160">
        <f t="shared" si="17"/>
        <v>1</v>
      </c>
      <c r="Q64" s="160">
        <f t="shared" si="17"/>
        <v>1</v>
      </c>
      <c r="R64" s="160">
        <f t="shared" si="17"/>
        <v>1</v>
      </c>
      <c r="S64" s="160">
        <f t="shared" si="17"/>
        <v>1</v>
      </c>
      <c r="T64" s="160">
        <f t="shared" si="17"/>
        <v>1</v>
      </c>
      <c r="U64" s="160">
        <f t="shared" si="17"/>
        <v>1</v>
      </c>
      <c r="V64" s="160">
        <f t="shared" si="17"/>
        <v>1</v>
      </c>
      <c r="W64" s="160">
        <f t="shared" si="17"/>
        <v>1</v>
      </c>
      <c r="X64" s="160">
        <f t="shared" si="17"/>
        <v>1</v>
      </c>
      <c r="Y64" s="160">
        <f t="shared" si="17"/>
        <v>1</v>
      </c>
      <c r="Z64" s="160">
        <f t="shared" si="17"/>
        <v>1</v>
      </c>
      <c r="AA64" s="160">
        <f t="shared" si="17"/>
        <v>1</v>
      </c>
      <c r="AB64" s="160">
        <f t="shared" si="17"/>
        <v>1</v>
      </c>
      <c r="AC64" s="160">
        <f t="shared" si="17"/>
        <v>1</v>
      </c>
      <c r="AD64" s="160">
        <f t="shared" si="17"/>
        <v>1</v>
      </c>
      <c r="AE64" s="160">
        <f t="shared" si="17"/>
        <v>1</v>
      </c>
      <c r="AF64" s="160">
        <f t="shared" si="17"/>
        <v>1</v>
      </c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</row>
    <row r="65" spans="2:60" ht="15" customHeight="1">
      <c r="B65" s="257"/>
      <c r="C65" s="257"/>
      <c r="D65" s="159" t="s">
        <v>128</v>
      </c>
      <c r="E65" s="160">
        <f>E63+E64</f>
        <v>2</v>
      </c>
      <c r="F65" s="160">
        <f t="shared" ref="F65:AF65" si="18">F63+F64</f>
        <v>2</v>
      </c>
      <c r="G65" s="160">
        <f t="shared" si="18"/>
        <v>2</v>
      </c>
      <c r="H65" s="160">
        <f t="shared" si="18"/>
        <v>2</v>
      </c>
      <c r="I65" s="160">
        <f t="shared" si="18"/>
        <v>2</v>
      </c>
      <c r="J65" s="160">
        <f t="shared" si="18"/>
        <v>2</v>
      </c>
      <c r="K65" s="160">
        <f t="shared" si="18"/>
        <v>2</v>
      </c>
      <c r="L65" s="160">
        <f t="shared" si="18"/>
        <v>2</v>
      </c>
      <c r="M65" s="160">
        <f t="shared" si="18"/>
        <v>2</v>
      </c>
      <c r="N65" s="160">
        <f t="shared" si="18"/>
        <v>2</v>
      </c>
      <c r="O65" s="160">
        <f t="shared" si="18"/>
        <v>2</v>
      </c>
      <c r="P65" s="160">
        <f t="shared" si="18"/>
        <v>2</v>
      </c>
      <c r="Q65" s="160">
        <f t="shared" si="18"/>
        <v>2</v>
      </c>
      <c r="R65" s="160">
        <f t="shared" si="18"/>
        <v>2</v>
      </c>
      <c r="S65" s="160">
        <f t="shared" si="18"/>
        <v>2</v>
      </c>
      <c r="T65" s="160">
        <f t="shared" si="18"/>
        <v>2</v>
      </c>
      <c r="U65" s="160">
        <f t="shared" si="18"/>
        <v>2</v>
      </c>
      <c r="V65" s="160">
        <f t="shared" si="18"/>
        <v>2</v>
      </c>
      <c r="W65" s="160">
        <f t="shared" si="18"/>
        <v>2</v>
      </c>
      <c r="X65" s="160">
        <f t="shared" si="18"/>
        <v>2</v>
      </c>
      <c r="Y65" s="160">
        <f t="shared" si="18"/>
        <v>2</v>
      </c>
      <c r="Z65" s="160">
        <f t="shared" si="18"/>
        <v>2</v>
      </c>
      <c r="AA65" s="160">
        <f t="shared" si="18"/>
        <v>2</v>
      </c>
      <c r="AB65" s="160">
        <f t="shared" si="18"/>
        <v>2</v>
      </c>
      <c r="AC65" s="160">
        <f t="shared" si="18"/>
        <v>2</v>
      </c>
      <c r="AD65" s="160">
        <f t="shared" si="18"/>
        <v>2</v>
      </c>
      <c r="AE65" s="160">
        <f t="shared" si="18"/>
        <v>2</v>
      </c>
      <c r="AF65" s="160">
        <f t="shared" si="18"/>
        <v>2</v>
      </c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</row>
    <row r="66" spans="2:60" ht="15" customHeight="1"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</row>
    <row r="67" spans="2:60" ht="15" customHeight="1">
      <c r="B67" s="257" t="s">
        <v>108</v>
      </c>
      <c r="C67" s="257"/>
      <c r="D67" s="60" t="s">
        <v>21</v>
      </c>
      <c r="E67" s="152">
        <f>COUNTIF(E43:E47,$D$67)</f>
        <v>1</v>
      </c>
      <c r="F67" s="152">
        <f t="shared" ref="F67:AF67" si="19">COUNTIF(F43:F47,$D$67)</f>
        <v>1</v>
      </c>
      <c r="G67" s="152">
        <f t="shared" si="19"/>
        <v>2</v>
      </c>
      <c r="H67" s="152">
        <f t="shared" si="19"/>
        <v>2</v>
      </c>
      <c r="I67" s="152">
        <f t="shared" si="19"/>
        <v>2</v>
      </c>
      <c r="J67" s="152">
        <f t="shared" si="19"/>
        <v>2</v>
      </c>
      <c r="K67" s="152">
        <f t="shared" si="19"/>
        <v>2</v>
      </c>
      <c r="L67" s="152">
        <f t="shared" si="19"/>
        <v>2</v>
      </c>
      <c r="M67" s="152">
        <f t="shared" si="19"/>
        <v>2</v>
      </c>
      <c r="N67" s="152">
        <f t="shared" si="19"/>
        <v>2</v>
      </c>
      <c r="O67" s="152">
        <f t="shared" si="19"/>
        <v>1</v>
      </c>
      <c r="P67" s="152">
        <f t="shared" si="19"/>
        <v>1</v>
      </c>
      <c r="Q67" s="152">
        <f t="shared" si="19"/>
        <v>1</v>
      </c>
      <c r="R67" s="152">
        <f t="shared" si="19"/>
        <v>1</v>
      </c>
      <c r="S67" s="152">
        <f t="shared" si="19"/>
        <v>2</v>
      </c>
      <c r="T67" s="152">
        <f t="shared" si="19"/>
        <v>2</v>
      </c>
      <c r="U67" s="152">
        <f t="shared" si="19"/>
        <v>2</v>
      </c>
      <c r="V67" s="152">
        <f t="shared" si="19"/>
        <v>2</v>
      </c>
      <c r="W67" s="152">
        <f t="shared" si="19"/>
        <v>2</v>
      </c>
      <c r="X67" s="152">
        <f t="shared" si="19"/>
        <v>2</v>
      </c>
      <c r="Y67" s="152">
        <f t="shared" si="19"/>
        <v>2</v>
      </c>
      <c r="Z67" s="152">
        <f t="shared" si="19"/>
        <v>2</v>
      </c>
      <c r="AA67" s="152">
        <f t="shared" si="19"/>
        <v>1</v>
      </c>
      <c r="AB67" s="152">
        <f t="shared" si="19"/>
        <v>1</v>
      </c>
      <c r="AC67" s="152">
        <f t="shared" si="19"/>
        <v>1</v>
      </c>
      <c r="AD67" s="152">
        <f t="shared" si="19"/>
        <v>1</v>
      </c>
      <c r="AE67" s="152">
        <f t="shared" si="19"/>
        <v>2</v>
      </c>
      <c r="AF67" s="152">
        <f t="shared" si="19"/>
        <v>2</v>
      </c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</row>
    <row r="68" spans="2:60" ht="15" customHeight="1">
      <c r="B68" s="257"/>
      <c r="C68" s="257"/>
      <c r="D68" s="74" t="s">
        <v>23</v>
      </c>
      <c r="E68" s="152">
        <f>COUNTIF(E43:E47,$D$68)</f>
        <v>2</v>
      </c>
      <c r="F68" s="152">
        <f t="shared" ref="F68:AF68" si="20">COUNTIF(F43:F47,$D$68)</f>
        <v>2</v>
      </c>
      <c r="G68" s="152">
        <f t="shared" si="20"/>
        <v>2</v>
      </c>
      <c r="H68" s="152">
        <f t="shared" si="20"/>
        <v>2</v>
      </c>
      <c r="I68" s="152">
        <f t="shared" si="20"/>
        <v>1</v>
      </c>
      <c r="J68" s="152">
        <f t="shared" si="20"/>
        <v>1</v>
      </c>
      <c r="K68" s="152">
        <f t="shared" si="20"/>
        <v>1</v>
      </c>
      <c r="L68" s="152">
        <f t="shared" si="20"/>
        <v>1</v>
      </c>
      <c r="M68" s="152">
        <f t="shared" si="20"/>
        <v>2</v>
      </c>
      <c r="N68" s="152">
        <f t="shared" si="20"/>
        <v>2</v>
      </c>
      <c r="O68" s="152">
        <f t="shared" si="20"/>
        <v>2</v>
      </c>
      <c r="P68" s="152">
        <f t="shared" si="20"/>
        <v>2</v>
      </c>
      <c r="Q68" s="152">
        <f t="shared" si="20"/>
        <v>2</v>
      </c>
      <c r="R68" s="152">
        <f t="shared" si="20"/>
        <v>2</v>
      </c>
      <c r="S68" s="152">
        <f t="shared" si="20"/>
        <v>2</v>
      </c>
      <c r="T68" s="152">
        <f t="shared" si="20"/>
        <v>2</v>
      </c>
      <c r="U68" s="152">
        <f t="shared" si="20"/>
        <v>1</v>
      </c>
      <c r="V68" s="152">
        <f t="shared" si="20"/>
        <v>1</v>
      </c>
      <c r="W68" s="152">
        <f t="shared" si="20"/>
        <v>1</v>
      </c>
      <c r="X68" s="152">
        <f t="shared" si="20"/>
        <v>1</v>
      </c>
      <c r="Y68" s="152">
        <f t="shared" si="20"/>
        <v>2</v>
      </c>
      <c r="Z68" s="152">
        <f t="shared" si="20"/>
        <v>2</v>
      </c>
      <c r="AA68" s="152">
        <f t="shared" si="20"/>
        <v>2</v>
      </c>
      <c r="AB68" s="152">
        <f t="shared" si="20"/>
        <v>2</v>
      </c>
      <c r="AC68" s="152">
        <f t="shared" si="20"/>
        <v>2</v>
      </c>
      <c r="AD68" s="152">
        <f t="shared" si="20"/>
        <v>2</v>
      </c>
      <c r="AE68" s="152">
        <f t="shared" si="20"/>
        <v>2</v>
      </c>
      <c r="AF68" s="152">
        <f t="shared" si="20"/>
        <v>2</v>
      </c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</row>
    <row r="69" spans="2:60" ht="15" customHeight="1">
      <c r="B69" s="257"/>
      <c r="C69" s="257"/>
      <c r="D69" s="159" t="s">
        <v>128</v>
      </c>
      <c r="E69" s="152">
        <f>E67+E68</f>
        <v>3</v>
      </c>
      <c r="F69" s="152">
        <f t="shared" ref="F69:AF69" si="21">F67+F68</f>
        <v>3</v>
      </c>
      <c r="G69" s="152">
        <f t="shared" si="21"/>
        <v>4</v>
      </c>
      <c r="H69" s="152">
        <f t="shared" si="21"/>
        <v>4</v>
      </c>
      <c r="I69" s="152">
        <f t="shared" si="21"/>
        <v>3</v>
      </c>
      <c r="J69" s="152">
        <f t="shared" si="21"/>
        <v>3</v>
      </c>
      <c r="K69" s="152">
        <f t="shared" si="21"/>
        <v>3</v>
      </c>
      <c r="L69" s="152">
        <f t="shared" si="21"/>
        <v>3</v>
      </c>
      <c r="M69" s="152">
        <f t="shared" si="21"/>
        <v>4</v>
      </c>
      <c r="N69" s="152">
        <f t="shared" si="21"/>
        <v>4</v>
      </c>
      <c r="O69" s="152">
        <f t="shared" si="21"/>
        <v>3</v>
      </c>
      <c r="P69" s="152">
        <f t="shared" si="21"/>
        <v>3</v>
      </c>
      <c r="Q69" s="152">
        <f t="shared" si="21"/>
        <v>3</v>
      </c>
      <c r="R69" s="152">
        <f t="shared" si="21"/>
        <v>3</v>
      </c>
      <c r="S69" s="152">
        <f t="shared" si="21"/>
        <v>4</v>
      </c>
      <c r="T69" s="152">
        <f t="shared" si="21"/>
        <v>4</v>
      </c>
      <c r="U69" s="152">
        <f t="shared" si="21"/>
        <v>3</v>
      </c>
      <c r="V69" s="152">
        <f t="shared" si="21"/>
        <v>3</v>
      </c>
      <c r="W69" s="152">
        <f t="shared" si="21"/>
        <v>3</v>
      </c>
      <c r="X69" s="152">
        <f t="shared" si="21"/>
        <v>3</v>
      </c>
      <c r="Y69" s="152">
        <f t="shared" si="21"/>
        <v>4</v>
      </c>
      <c r="Z69" s="152">
        <f t="shared" si="21"/>
        <v>4</v>
      </c>
      <c r="AA69" s="152">
        <f t="shared" si="21"/>
        <v>3</v>
      </c>
      <c r="AB69" s="152">
        <f t="shared" si="21"/>
        <v>3</v>
      </c>
      <c r="AC69" s="152">
        <f t="shared" si="21"/>
        <v>3</v>
      </c>
      <c r="AD69" s="152">
        <f t="shared" si="21"/>
        <v>3</v>
      </c>
      <c r="AE69" s="152">
        <f t="shared" si="21"/>
        <v>4</v>
      </c>
      <c r="AF69" s="152">
        <f t="shared" si="21"/>
        <v>4</v>
      </c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</row>
    <row r="70" spans="2:60" ht="15" customHeight="1">
      <c r="C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</row>
    <row r="71" spans="2:60" ht="15" customHeight="1">
      <c r="C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</row>
    <row r="72" spans="2:60" ht="15" customHeight="1">
      <c r="C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</row>
    <row r="73" spans="2:60" ht="15" customHeight="1">
      <c r="C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</row>
    <row r="74" spans="2:60" ht="15" customHeight="1">
      <c r="C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</row>
    <row r="75" spans="2:60" ht="15" customHeight="1">
      <c r="C75" s="19"/>
      <c r="E75" s="28" t="s">
        <v>22</v>
      </c>
      <c r="F75" s="250" t="s">
        <v>129</v>
      </c>
      <c r="G75" s="251"/>
      <c r="H75" s="251"/>
      <c r="I75" s="252"/>
      <c r="J75" s="19"/>
      <c r="K75" s="29" t="s">
        <v>130</v>
      </c>
      <c r="L75" s="250" t="s">
        <v>131</v>
      </c>
      <c r="M75" s="251"/>
      <c r="N75" s="251"/>
      <c r="O75" s="252"/>
      <c r="P75" s="19"/>
      <c r="Q75" s="155" t="s">
        <v>132</v>
      </c>
      <c r="R75" s="155"/>
      <c r="S75" s="155"/>
      <c r="T75" s="25"/>
      <c r="V75" s="156" t="s">
        <v>133</v>
      </c>
      <c r="W75" s="156"/>
      <c r="X75" s="156"/>
      <c r="Y75" s="156" t="s">
        <v>134</v>
      </c>
      <c r="Z75" s="156"/>
      <c r="AA75" s="156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</row>
    <row r="76" spans="2:60" ht="15" customHeight="1">
      <c r="C76" s="19"/>
      <c r="D76" s="19"/>
      <c r="E76" s="28" t="s">
        <v>135</v>
      </c>
      <c r="F76" s="250" t="s">
        <v>136</v>
      </c>
      <c r="G76" s="251"/>
      <c r="H76" s="251"/>
      <c r="I76" s="252"/>
      <c r="J76" s="19"/>
      <c r="K76" s="29" t="s">
        <v>123</v>
      </c>
      <c r="L76" s="250" t="s">
        <v>137</v>
      </c>
      <c r="M76" s="251"/>
      <c r="N76" s="251"/>
      <c r="O76" s="252"/>
      <c r="P76" s="19"/>
      <c r="Q76" s="21" t="s">
        <v>20</v>
      </c>
      <c r="R76" s="283" t="s">
        <v>138</v>
      </c>
      <c r="S76" s="284"/>
      <c r="U76" s="57" t="s">
        <v>29</v>
      </c>
      <c r="V76" s="28" t="s">
        <v>139</v>
      </c>
      <c r="W76" s="28"/>
      <c r="X76" s="28"/>
      <c r="Y76" s="28" t="s">
        <v>140</v>
      </c>
      <c r="Z76" s="28"/>
      <c r="AA76" s="28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</row>
    <row r="77" spans="2:60" ht="15" customHeight="1">
      <c r="C77" s="19"/>
      <c r="D77" s="19"/>
      <c r="E77" s="30" t="s">
        <v>20</v>
      </c>
      <c r="F77" s="250" t="s">
        <v>141</v>
      </c>
      <c r="G77" s="251"/>
      <c r="H77" s="251"/>
      <c r="I77" s="252"/>
      <c r="J77" s="19"/>
      <c r="K77" s="28" t="s">
        <v>107</v>
      </c>
      <c r="L77" s="250" t="s">
        <v>142</v>
      </c>
      <c r="M77" s="251"/>
      <c r="N77" s="251"/>
      <c r="O77" s="252"/>
      <c r="P77" s="19"/>
      <c r="Q77" s="21" t="s">
        <v>143</v>
      </c>
      <c r="R77" s="283" t="s">
        <v>144</v>
      </c>
      <c r="S77" s="284"/>
      <c r="U77" s="46" t="s">
        <v>145</v>
      </c>
      <c r="V77" s="28" t="s">
        <v>146</v>
      </c>
      <c r="W77" s="28"/>
      <c r="X77" s="28"/>
      <c r="Y77" s="28" t="s">
        <v>147</v>
      </c>
      <c r="Z77" s="28"/>
      <c r="AA77" s="28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</row>
    <row r="78" spans="2:60" ht="15" customHeight="1">
      <c r="C78" s="19"/>
      <c r="D78" s="19"/>
      <c r="E78" s="31" t="s">
        <v>36</v>
      </c>
      <c r="F78" s="250" t="s">
        <v>148</v>
      </c>
      <c r="G78" s="251"/>
      <c r="H78" s="251"/>
      <c r="I78" s="252"/>
      <c r="J78" s="19"/>
      <c r="K78" s="28" t="s">
        <v>143</v>
      </c>
      <c r="L78" s="250" t="s">
        <v>142</v>
      </c>
      <c r="M78" s="251"/>
      <c r="N78" s="251"/>
      <c r="O78" s="252"/>
      <c r="P78" s="19"/>
      <c r="Q78" s="21" t="s">
        <v>149</v>
      </c>
      <c r="R78" s="259" t="s">
        <v>150</v>
      </c>
      <c r="S78" s="260"/>
      <c r="U78" s="47" t="s">
        <v>151</v>
      </c>
      <c r="V78" s="28" t="s">
        <v>152</v>
      </c>
      <c r="W78" s="28"/>
      <c r="X78" s="28"/>
      <c r="Y78" s="28" t="s">
        <v>153</v>
      </c>
      <c r="Z78" s="28"/>
      <c r="AA78" s="28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</row>
    <row r="79" spans="2:60" ht="15" customHeight="1">
      <c r="C79" s="19"/>
      <c r="D79" s="19"/>
      <c r="E79" s="31" t="s">
        <v>33</v>
      </c>
      <c r="F79" s="250" t="s">
        <v>154</v>
      </c>
      <c r="G79" s="251"/>
      <c r="H79" s="251"/>
      <c r="I79" s="252"/>
      <c r="J79" s="19"/>
      <c r="K79" s="28" t="s">
        <v>155</v>
      </c>
      <c r="L79" s="250" t="s">
        <v>142</v>
      </c>
      <c r="M79" s="251"/>
      <c r="N79" s="251"/>
      <c r="O79" s="252"/>
      <c r="P79" s="19"/>
      <c r="Q79" s="21" t="s">
        <v>156</v>
      </c>
      <c r="R79" s="282" t="s">
        <v>157</v>
      </c>
      <c r="S79" s="282"/>
      <c r="U79" s="58" t="s">
        <v>100</v>
      </c>
      <c r="V79" s="28" t="s">
        <v>158</v>
      </c>
      <c r="W79" s="28"/>
      <c r="X79" s="28"/>
      <c r="Y79" s="28" t="s">
        <v>159</v>
      </c>
      <c r="Z79" s="28"/>
      <c r="AA79" s="28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</row>
    <row r="80" spans="2:60" ht="15" customHeight="1">
      <c r="C80" s="19"/>
      <c r="D80" s="19"/>
      <c r="E80" s="32" t="s">
        <v>20</v>
      </c>
      <c r="F80" s="250" t="s">
        <v>160</v>
      </c>
      <c r="G80" s="251"/>
      <c r="H80" s="251"/>
      <c r="I80" s="252"/>
      <c r="J80" s="19"/>
      <c r="K80" s="33" t="s">
        <v>81</v>
      </c>
      <c r="L80" s="250" t="s">
        <v>161</v>
      </c>
      <c r="M80" s="251"/>
      <c r="N80" s="251"/>
      <c r="O80" s="252"/>
      <c r="P80" s="19"/>
      <c r="Q80" s="21" t="s">
        <v>162</v>
      </c>
      <c r="R80" s="282" t="s">
        <v>163</v>
      </c>
      <c r="S80" s="282"/>
      <c r="U80" s="59" t="s">
        <v>164</v>
      </c>
      <c r="V80" s="28" t="s">
        <v>165</v>
      </c>
      <c r="W80" s="28"/>
      <c r="X80" s="28"/>
      <c r="Y80" s="28" t="s">
        <v>166</v>
      </c>
      <c r="Z80" s="28"/>
      <c r="AA80" s="28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</row>
    <row r="81" spans="3:60" ht="15" customHeight="1">
      <c r="C81" s="19"/>
      <c r="D81" s="19"/>
      <c r="E81" s="32" t="s">
        <v>36</v>
      </c>
      <c r="F81" s="250" t="s">
        <v>167</v>
      </c>
      <c r="G81" s="251"/>
      <c r="H81" s="251"/>
      <c r="I81" s="252"/>
      <c r="J81" s="19"/>
      <c r="K81" s="28" t="s">
        <v>168</v>
      </c>
      <c r="L81" s="250" t="s">
        <v>161</v>
      </c>
      <c r="M81" s="251"/>
      <c r="N81" s="251"/>
      <c r="O81" s="252"/>
      <c r="T81" s="19"/>
      <c r="U81" s="72" t="s">
        <v>169</v>
      </c>
      <c r="V81" s="28" t="s">
        <v>170</v>
      </c>
      <c r="W81" s="28"/>
      <c r="X81" s="28"/>
      <c r="Y81" s="28" t="s">
        <v>171</v>
      </c>
      <c r="Z81" s="28"/>
      <c r="AA81" s="28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</row>
    <row r="82" spans="3:60" ht="15" customHeight="1">
      <c r="C82" s="19"/>
      <c r="D82" s="19"/>
      <c r="E82" s="34" t="s">
        <v>26</v>
      </c>
      <c r="F82" s="250" t="s">
        <v>172</v>
      </c>
      <c r="G82" s="251"/>
      <c r="H82" s="251"/>
      <c r="I82" s="252"/>
      <c r="J82" s="19"/>
      <c r="K82" s="28" t="s">
        <v>173</v>
      </c>
      <c r="L82" s="250" t="s">
        <v>161</v>
      </c>
      <c r="M82" s="251"/>
      <c r="N82" s="251"/>
      <c r="O82" s="252"/>
      <c r="T82" s="19"/>
      <c r="U82" s="60" t="s">
        <v>21</v>
      </c>
      <c r="V82" s="28" t="s">
        <v>174</v>
      </c>
      <c r="W82" s="28"/>
      <c r="X82" s="28"/>
      <c r="Y82" s="28" t="s">
        <v>175</v>
      </c>
      <c r="Z82" s="28"/>
      <c r="AA82" s="28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</row>
    <row r="83" spans="3:60" ht="15" customHeight="1">
      <c r="C83" s="19"/>
      <c r="D83" s="19"/>
      <c r="E83" s="34" t="s">
        <v>176</v>
      </c>
      <c r="F83" s="250" t="s">
        <v>177</v>
      </c>
      <c r="G83" s="251"/>
      <c r="H83" s="251"/>
      <c r="I83" s="252"/>
      <c r="J83" s="19"/>
      <c r="K83" s="28" t="s">
        <v>178</v>
      </c>
      <c r="L83" s="250" t="s">
        <v>161</v>
      </c>
      <c r="M83" s="251"/>
      <c r="N83" s="251"/>
      <c r="O83" s="252"/>
      <c r="T83" s="19"/>
      <c r="U83" s="61" t="s">
        <v>179</v>
      </c>
      <c r="V83" s="28" t="s">
        <v>180</v>
      </c>
      <c r="W83" s="28"/>
      <c r="X83" s="28"/>
      <c r="Y83" s="28" t="s">
        <v>181</v>
      </c>
      <c r="Z83" s="28"/>
      <c r="AA83" s="28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</row>
    <row r="84" spans="3:60" ht="15" customHeight="1">
      <c r="C84" s="19"/>
      <c r="D84" s="19"/>
      <c r="E84" s="32" t="s">
        <v>182</v>
      </c>
      <c r="F84" s="250" t="s">
        <v>183</v>
      </c>
      <c r="G84" s="251"/>
      <c r="H84" s="251"/>
      <c r="I84" s="252"/>
      <c r="J84" s="19"/>
      <c r="K84" s="27" t="s">
        <v>67</v>
      </c>
      <c r="L84" s="250" t="s">
        <v>161</v>
      </c>
      <c r="M84" s="251"/>
      <c r="N84" s="251"/>
      <c r="O84" s="252"/>
      <c r="P84" s="19"/>
      <c r="Q84" s="19"/>
      <c r="R84" s="19"/>
      <c r="S84" s="19"/>
      <c r="T84" s="19"/>
      <c r="U84" s="62" t="s">
        <v>184</v>
      </c>
      <c r="V84" s="28" t="s">
        <v>185</v>
      </c>
      <c r="W84" s="28"/>
      <c r="X84" s="28"/>
      <c r="Y84" s="28" t="s">
        <v>186</v>
      </c>
      <c r="Z84" s="28"/>
      <c r="AA84" s="28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</row>
    <row r="85" spans="3:60" ht="15" customHeight="1">
      <c r="C85" s="19"/>
      <c r="D85" s="19"/>
      <c r="E85" s="33" t="s">
        <v>30</v>
      </c>
      <c r="F85" s="250" t="s">
        <v>187</v>
      </c>
      <c r="G85" s="251"/>
      <c r="H85" s="251"/>
      <c r="I85" s="252"/>
      <c r="J85" s="19"/>
      <c r="K85" s="28" t="s">
        <v>188</v>
      </c>
      <c r="L85" s="250" t="s">
        <v>161</v>
      </c>
      <c r="M85" s="251"/>
      <c r="N85" s="251"/>
      <c r="O85" s="252"/>
      <c r="P85" s="19"/>
      <c r="Q85" s="19"/>
      <c r="R85" s="19"/>
      <c r="S85" s="19"/>
      <c r="T85" s="19"/>
      <c r="U85" s="50" t="s">
        <v>42</v>
      </c>
      <c r="V85" s="28" t="s">
        <v>189</v>
      </c>
      <c r="W85" s="28"/>
      <c r="X85" s="28"/>
      <c r="Y85" s="28" t="s">
        <v>190</v>
      </c>
      <c r="Z85" s="28"/>
      <c r="AA85" s="28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</row>
    <row r="86" spans="3:60" ht="15" customHeight="1">
      <c r="C86" s="19"/>
      <c r="D86" s="19"/>
      <c r="E86" s="35" t="s">
        <v>191</v>
      </c>
      <c r="F86" s="250" t="s">
        <v>192</v>
      </c>
      <c r="G86" s="251"/>
      <c r="H86" s="251"/>
      <c r="I86" s="252"/>
      <c r="J86" s="19"/>
      <c r="K86" s="28" t="s">
        <v>193</v>
      </c>
      <c r="L86" s="250" t="s">
        <v>161</v>
      </c>
      <c r="M86" s="251"/>
      <c r="N86" s="251"/>
      <c r="O86" s="252"/>
      <c r="P86" s="19"/>
      <c r="Q86" s="19"/>
      <c r="R86" s="19"/>
      <c r="S86" s="19"/>
      <c r="T86" s="19"/>
      <c r="U86" s="51" t="s">
        <v>194</v>
      </c>
      <c r="V86" s="28" t="s">
        <v>195</v>
      </c>
      <c r="W86" s="28"/>
      <c r="X86" s="28"/>
      <c r="Y86" s="28" t="s">
        <v>196</v>
      </c>
      <c r="Z86" s="28"/>
      <c r="AA86" s="28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</row>
    <row r="87" spans="3:60" ht="15" customHeight="1">
      <c r="C87" s="19"/>
      <c r="D87" s="19"/>
      <c r="E87" s="36" t="s">
        <v>197</v>
      </c>
      <c r="F87" s="250" t="s">
        <v>198</v>
      </c>
      <c r="G87" s="251"/>
      <c r="H87" s="251"/>
      <c r="I87" s="252"/>
      <c r="J87" s="19"/>
      <c r="K87" s="37" t="s">
        <v>199</v>
      </c>
      <c r="L87" s="250" t="s">
        <v>161</v>
      </c>
      <c r="M87" s="251"/>
      <c r="N87" s="251"/>
      <c r="O87" s="252"/>
      <c r="P87" s="19"/>
      <c r="Q87" s="19"/>
      <c r="R87" s="19"/>
      <c r="S87" s="19"/>
      <c r="T87" s="19"/>
      <c r="U87" s="49" t="s">
        <v>200</v>
      </c>
      <c r="V87" s="28" t="s">
        <v>201</v>
      </c>
      <c r="W87" s="28"/>
      <c r="X87" s="28"/>
      <c r="Y87" s="28" t="s">
        <v>202</v>
      </c>
      <c r="Z87" s="28"/>
      <c r="AA87" s="28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</row>
    <row r="88" spans="3:60" ht="15" customHeight="1">
      <c r="C88" s="19"/>
      <c r="D88" s="19"/>
      <c r="E88" s="27" t="s">
        <v>203</v>
      </c>
      <c r="F88" s="250" t="s">
        <v>204</v>
      </c>
      <c r="G88" s="251"/>
      <c r="H88" s="251"/>
      <c r="I88" s="252"/>
      <c r="J88" s="19"/>
      <c r="K88" s="28" t="s">
        <v>205</v>
      </c>
      <c r="L88" s="250" t="s">
        <v>161</v>
      </c>
      <c r="M88" s="251"/>
      <c r="N88" s="251"/>
      <c r="O88" s="252"/>
      <c r="P88" s="19"/>
      <c r="Q88" s="19"/>
      <c r="R88" s="19"/>
      <c r="S88" s="19"/>
      <c r="T88" s="19"/>
      <c r="U88" s="63" t="s">
        <v>206</v>
      </c>
      <c r="V88" s="28" t="s">
        <v>207</v>
      </c>
      <c r="W88" s="28"/>
      <c r="X88" s="28"/>
      <c r="Y88" s="28" t="s">
        <v>208</v>
      </c>
      <c r="Z88" s="28"/>
      <c r="AA88" s="28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</row>
    <row r="89" spans="3:60" ht="15" customHeight="1">
      <c r="C89" s="19"/>
      <c r="D89" s="19"/>
      <c r="E89" s="36" t="s">
        <v>209</v>
      </c>
      <c r="F89" s="250" t="s">
        <v>210</v>
      </c>
      <c r="G89" s="251"/>
      <c r="H89" s="251"/>
      <c r="I89" s="252"/>
      <c r="J89" s="19"/>
      <c r="K89" s="38" t="s">
        <v>211</v>
      </c>
      <c r="L89" s="250" t="s">
        <v>212</v>
      </c>
      <c r="M89" s="251"/>
      <c r="N89" s="251"/>
      <c r="O89" s="252"/>
      <c r="P89" s="19"/>
      <c r="Q89" s="19"/>
      <c r="R89" s="19"/>
      <c r="S89" s="19"/>
      <c r="T89" s="19"/>
      <c r="U89" s="56" t="s">
        <v>116</v>
      </c>
      <c r="V89" s="28" t="s">
        <v>213</v>
      </c>
      <c r="W89" s="28"/>
      <c r="X89" s="28"/>
      <c r="Y89" s="28" t="s">
        <v>214</v>
      </c>
      <c r="Z89" s="28"/>
      <c r="AA89" s="28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</row>
    <row r="90" spans="3:60" ht="15" customHeight="1">
      <c r="C90" s="19"/>
      <c r="D90" s="19"/>
      <c r="U90" s="54" t="s">
        <v>215</v>
      </c>
      <c r="V90" s="28" t="s">
        <v>216</v>
      </c>
      <c r="W90" s="28"/>
      <c r="X90" s="28"/>
      <c r="Y90" s="28" t="s">
        <v>217</v>
      </c>
      <c r="Z90" s="28"/>
      <c r="AA90" s="28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</row>
    <row r="91" spans="3:60" ht="15" customHeight="1"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55" t="s">
        <v>113</v>
      </c>
      <c r="V91" s="28" t="s">
        <v>218</v>
      </c>
      <c r="W91" s="28"/>
      <c r="X91" s="28"/>
      <c r="Y91" s="28" t="s">
        <v>219</v>
      </c>
      <c r="Z91" s="28"/>
      <c r="AA91" s="28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</row>
    <row r="92" spans="3:60" ht="15" customHeight="1"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64" t="s">
        <v>220</v>
      </c>
      <c r="V92" s="28" t="s">
        <v>221</v>
      </c>
      <c r="W92" s="28"/>
      <c r="X92" s="28"/>
      <c r="Y92" s="28" t="s">
        <v>222</v>
      </c>
      <c r="Z92" s="28"/>
      <c r="AA92" s="28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</row>
    <row r="93" spans="3:60"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65" t="s">
        <v>223</v>
      </c>
      <c r="V93" s="28" t="s">
        <v>224</v>
      </c>
      <c r="W93" s="28"/>
      <c r="X93" s="28"/>
      <c r="Y93" s="28" t="s">
        <v>225</v>
      </c>
      <c r="Z93" s="28"/>
      <c r="AA93" s="28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</row>
    <row r="94" spans="3:60"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66" t="s">
        <v>226</v>
      </c>
      <c r="V94" s="28" t="s">
        <v>227</v>
      </c>
      <c r="W94" s="28"/>
      <c r="X94" s="28"/>
      <c r="Y94" s="28" t="s">
        <v>228</v>
      </c>
      <c r="Z94" s="28"/>
      <c r="AA94" s="28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</row>
    <row r="95" spans="3:60"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67" t="s">
        <v>84</v>
      </c>
      <c r="V95" s="28" t="s">
        <v>229</v>
      </c>
      <c r="W95" s="28"/>
      <c r="X95" s="28"/>
      <c r="Y95" s="28" t="s">
        <v>230</v>
      </c>
      <c r="Z95" s="28"/>
      <c r="AA95" s="28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</row>
    <row r="96" spans="3:60"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68" t="s">
        <v>41</v>
      </c>
      <c r="V96" s="28" t="s">
        <v>231</v>
      </c>
      <c r="W96" s="28"/>
      <c r="X96" s="28"/>
      <c r="Y96" s="28" t="s">
        <v>232</v>
      </c>
      <c r="Z96" s="28"/>
      <c r="AA96" s="28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</row>
    <row r="97" spans="3:60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69" t="s">
        <v>233</v>
      </c>
      <c r="V97" s="28" t="s">
        <v>234</v>
      </c>
      <c r="W97" s="28"/>
      <c r="X97" s="28"/>
      <c r="Y97" s="28" t="s">
        <v>235</v>
      </c>
      <c r="Z97" s="28"/>
      <c r="AA97" s="28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</row>
    <row r="98" spans="3:60"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70" t="s">
        <v>66</v>
      </c>
      <c r="V98" s="28" t="s">
        <v>236</v>
      </c>
      <c r="W98" s="28"/>
      <c r="X98" s="28"/>
      <c r="Y98" s="28" t="s">
        <v>237</v>
      </c>
      <c r="Z98" s="28"/>
      <c r="AA98" s="28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</row>
    <row r="99" spans="3:60"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52" t="s">
        <v>23</v>
      </c>
      <c r="V99" s="28" t="s">
        <v>238</v>
      </c>
      <c r="W99" s="28"/>
      <c r="X99" s="28"/>
      <c r="Y99" s="28" t="s">
        <v>239</v>
      </c>
      <c r="Z99" s="28"/>
      <c r="AA99" s="28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</row>
    <row r="100" spans="3:60"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53" t="s">
        <v>240</v>
      </c>
      <c r="V100" s="28" t="s">
        <v>241</v>
      </c>
      <c r="W100" s="28"/>
      <c r="X100" s="28"/>
      <c r="Y100" s="28" t="s">
        <v>242</v>
      </c>
      <c r="Z100" s="28"/>
      <c r="AA100" s="28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</row>
    <row r="101" spans="3:60"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71" t="s">
        <v>243</v>
      </c>
      <c r="V101" s="28" t="s">
        <v>244</v>
      </c>
      <c r="W101" s="28"/>
      <c r="X101" s="28"/>
      <c r="Y101" s="28" t="s">
        <v>245</v>
      </c>
      <c r="Z101" s="28"/>
      <c r="AA101" s="28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</row>
    <row r="102" spans="3:60"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48" t="s">
        <v>246</v>
      </c>
      <c r="V102" s="28" t="s">
        <v>247</v>
      </c>
      <c r="W102" s="28"/>
      <c r="X102" s="28"/>
      <c r="Y102" s="28" t="s">
        <v>248</v>
      </c>
      <c r="Z102" s="28"/>
      <c r="AA102" s="28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</row>
    <row r="103" spans="3:60">
      <c r="C103" s="19"/>
      <c r="D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</row>
    <row r="104" spans="3:60">
      <c r="C104" s="19"/>
      <c r="D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</row>
    <row r="105" spans="3:60" ht="15" customHeight="1">
      <c r="C105" s="19"/>
      <c r="D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</row>
    <row r="106" spans="3:60" ht="15" customHeight="1">
      <c r="C106" s="19"/>
      <c r="D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</row>
    <row r="107" spans="3:60"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</row>
    <row r="108" spans="3:60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</row>
    <row r="109" spans="3:60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</row>
    <row r="110" spans="3:60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</row>
    <row r="111" spans="3:60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</row>
    <row r="112" spans="3:60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</row>
    <row r="113" spans="3:60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</row>
    <row r="114" spans="3:60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</row>
    <row r="115" spans="3:60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</row>
    <row r="116" spans="3:60"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</row>
    <row r="117" spans="3:60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</row>
    <row r="118" spans="3:60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</row>
    <row r="119" spans="3:60"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</row>
    <row r="120" spans="3:60"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</row>
    <row r="121" spans="3:60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</row>
    <row r="122" spans="3:60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</row>
    <row r="123" spans="3:60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</row>
    <row r="124" spans="3:60"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</row>
    <row r="125" spans="3:60"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</row>
    <row r="126" spans="3:60"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</row>
    <row r="127" spans="3:60"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</row>
    <row r="128" spans="3:60"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</row>
    <row r="129" spans="3:60"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</row>
    <row r="130" spans="3:60"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</row>
    <row r="131" spans="3:60"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</row>
    <row r="132" spans="3:60"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</row>
    <row r="133" spans="3:60"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</row>
    <row r="134" spans="3:60"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</row>
    <row r="135" spans="3:60"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</row>
    <row r="136" spans="3:60"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</row>
    <row r="137" spans="3:60"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</row>
    <row r="138" spans="3:60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</row>
    <row r="139" spans="3:60"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</row>
    <row r="140" spans="3:60"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</row>
    <row r="141" spans="3:60"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</row>
    <row r="142" spans="3:60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</row>
    <row r="143" spans="3:60"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</row>
    <row r="144" spans="3:60"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</row>
    <row r="145" spans="3:60"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</row>
    <row r="146" spans="3:60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</row>
    <row r="147" spans="3:60"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</row>
    <row r="148" spans="3:60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</row>
    <row r="149" spans="3:60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</row>
    <row r="150" spans="3:60"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</row>
    <row r="151" spans="3:60"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</row>
    <row r="152" spans="3:60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</row>
    <row r="153" spans="3:60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</row>
    <row r="154" spans="3:60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</row>
    <row r="155" spans="3:60"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</row>
    <row r="156" spans="3:60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</row>
    <row r="157" spans="3:60"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</row>
    <row r="158" spans="3:60"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</row>
    <row r="159" spans="3:60"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</row>
    <row r="160" spans="3:60"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</row>
    <row r="161" spans="3:60"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</row>
    <row r="162" spans="3:60"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</row>
    <row r="163" spans="3:60"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</row>
    <row r="164" spans="3:60"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</row>
    <row r="165" spans="3:60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</row>
    <row r="166" spans="3:60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</row>
    <row r="167" spans="3:60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</row>
    <row r="168" spans="3:60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</row>
    <row r="169" spans="3:60"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</row>
    <row r="170" spans="3:60"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</row>
    <row r="171" spans="3:60"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</row>
    <row r="172" spans="3:60"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</row>
    <row r="173" spans="3:60"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</row>
    <row r="174" spans="3:60"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</row>
    <row r="175" spans="3:60"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</row>
    <row r="176" spans="3:60"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</row>
    <row r="177" spans="3:60"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</row>
    <row r="178" spans="3:60"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</row>
    <row r="179" spans="3:60"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</row>
    <row r="180" spans="3:60"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</row>
    <row r="181" spans="3:60"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</row>
    <row r="182" spans="3:60"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</row>
    <row r="183" spans="3:60"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</row>
    <row r="184" spans="3:60"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</row>
    <row r="185" spans="3:60"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</row>
    <row r="186" spans="3:60"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</row>
    <row r="187" spans="3:60"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</row>
    <row r="188" spans="3:60"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</row>
    <row r="189" spans="3:60"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</row>
    <row r="190" spans="3:60"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</row>
    <row r="191" spans="3:60"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</row>
    <row r="192" spans="3:60"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</row>
    <row r="193" spans="3:60"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</row>
    <row r="194" spans="3:60"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</row>
    <row r="195" spans="3:60"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</row>
    <row r="196" spans="3:60"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</row>
    <row r="197" spans="3:60"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</row>
    <row r="198" spans="3:60"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</row>
    <row r="199" spans="3:60"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</row>
    <row r="200" spans="3:60"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</row>
    <row r="201" spans="3:60"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</row>
    <row r="202" spans="3:60"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</row>
    <row r="203" spans="3:60"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</row>
    <row r="204" spans="3:60"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</row>
    <row r="205" spans="3:60"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</row>
    <row r="206" spans="3:60"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</row>
    <row r="207" spans="3:60"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</row>
    <row r="208" spans="3:60"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</row>
    <row r="209" spans="3:60"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</row>
    <row r="210" spans="3:60"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</row>
    <row r="211" spans="3:60"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</row>
    <row r="212" spans="3:60"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</row>
    <row r="213" spans="3:60"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</row>
    <row r="214" spans="3:60"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</row>
    <row r="215" spans="3:60"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</row>
    <row r="216" spans="3:60"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</row>
    <row r="217" spans="3:60"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</row>
    <row r="218" spans="3:60"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</row>
    <row r="219" spans="3:60"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</row>
    <row r="220" spans="3:60"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</row>
    <row r="221" spans="3:60"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</row>
    <row r="222" spans="3:60"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</row>
    <row r="223" spans="3:60"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</row>
    <row r="224" spans="3:60"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</row>
    <row r="225" spans="3:60"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</row>
    <row r="226" spans="3:60"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</row>
    <row r="227" spans="3:60"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</row>
    <row r="228" spans="3:60"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</row>
    <row r="229" spans="3:60"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</row>
    <row r="230" spans="3:60"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</row>
    <row r="231" spans="3:60"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</row>
    <row r="232" spans="3:60"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</row>
    <row r="233" spans="3:60"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</row>
    <row r="234" spans="3:60"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</row>
    <row r="235" spans="3:60"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</row>
    <row r="236" spans="3:60"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</row>
    <row r="237" spans="3:60"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</row>
    <row r="238" spans="3:60"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</row>
    <row r="239" spans="3:60"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</row>
    <row r="240" spans="3:60"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</row>
    <row r="241" spans="3:60"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</row>
    <row r="242" spans="3:60"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</row>
    <row r="243" spans="3:60"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</row>
    <row r="244" spans="3:60"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</row>
    <row r="245" spans="3:60"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</row>
    <row r="246" spans="3:60"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</row>
    <row r="247" spans="3:60"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</row>
    <row r="248" spans="3:60"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</row>
    <row r="249" spans="3:60"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</row>
    <row r="250" spans="3:60"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</row>
    <row r="251" spans="3:60"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</row>
    <row r="252" spans="3:60"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</row>
    <row r="253" spans="3:60"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</row>
    <row r="254" spans="3:60"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</row>
    <row r="255" spans="3:60"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</row>
    <row r="256" spans="3:60"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</row>
    <row r="257" spans="3:60"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</row>
    <row r="258" spans="3:60"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</row>
    <row r="259" spans="3:60"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</row>
    <row r="260" spans="3:60"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</row>
    <row r="261" spans="3:60"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</row>
    <row r="262" spans="3:60"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</row>
    <row r="263" spans="3:60"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</row>
    <row r="264" spans="3:60"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</row>
    <row r="265" spans="3:60"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</row>
    <row r="266" spans="3:60"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</row>
    <row r="267" spans="3:60"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</row>
    <row r="268" spans="3:60"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</row>
    <row r="269" spans="3:60"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</row>
    <row r="270" spans="3:60"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</row>
    <row r="271" spans="3:60"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</row>
    <row r="272" spans="3:60"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</row>
    <row r="273" spans="3:60"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</row>
    <row r="274" spans="3:60"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</row>
    <row r="275" spans="3:60"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</row>
    <row r="276" spans="3:60"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</row>
    <row r="277" spans="3:60"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</row>
    <row r="278" spans="3:60"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</row>
    <row r="279" spans="3:60"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</row>
    <row r="280" spans="3:60"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</row>
    <row r="281" spans="3:60"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</row>
    <row r="282" spans="3:60"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</row>
    <row r="283" spans="3:60"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</row>
    <row r="284" spans="3:60"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</row>
    <row r="285" spans="3:60"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</row>
    <row r="286" spans="3:60"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</row>
    <row r="287" spans="3:60"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</row>
    <row r="288" spans="3:60"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</row>
    <row r="289" spans="3:60"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</row>
    <row r="290" spans="3:60"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</row>
    <row r="291" spans="3:60"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</row>
    <row r="292" spans="3:60"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</row>
    <row r="293" spans="3:60"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</row>
    <row r="294" spans="3:60"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</row>
    <row r="295" spans="3:60"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</row>
    <row r="296" spans="3:60"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</row>
    <row r="297" spans="3:60"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</row>
    <row r="298" spans="3:60"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</row>
    <row r="299" spans="3:60"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</row>
    <row r="300" spans="3:60"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</row>
    <row r="301" spans="3:60"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</row>
    <row r="302" spans="3:60"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</row>
    <row r="303" spans="3:60"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</row>
    <row r="304" spans="3:60"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</row>
    <row r="305" spans="3:60"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</row>
    <row r="306" spans="3:60"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</row>
    <row r="307" spans="3:60"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</row>
    <row r="308" spans="3:60"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</row>
    <row r="309" spans="3:60"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</row>
    <row r="310" spans="3:60"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</row>
    <row r="311" spans="3:60"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</row>
    <row r="312" spans="3:60"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</row>
    <row r="313" spans="3:60"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</row>
    <row r="314" spans="3:60"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</row>
    <row r="315" spans="3:60"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</row>
    <row r="316" spans="3:60"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</row>
    <row r="317" spans="3:60"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</row>
    <row r="318" spans="3:60"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</row>
    <row r="319" spans="3:60"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</row>
    <row r="320" spans="3:60"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</row>
    <row r="321" spans="3:60"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</row>
    <row r="322" spans="3:60"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</row>
    <row r="323" spans="3:60"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</row>
    <row r="324" spans="3:60"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</row>
    <row r="325" spans="3:60"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</row>
    <row r="326" spans="3:60"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</row>
  </sheetData>
  <mergeCells count="52">
    <mergeCell ref="AL2:AN3"/>
    <mergeCell ref="AP2:AP4"/>
    <mergeCell ref="E2:AF2"/>
    <mergeCell ref="C3:D4"/>
    <mergeCell ref="B2:B4"/>
    <mergeCell ref="C2:D2"/>
    <mergeCell ref="B53:C56"/>
    <mergeCell ref="B58:C61"/>
    <mergeCell ref="B63:C65"/>
    <mergeCell ref="B67:C69"/>
    <mergeCell ref="AH2:AJ3"/>
    <mergeCell ref="B5:B12"/>
    <mergeCell ref="B13:B24"/>
    <mergeCell ref="B36:B39"/>
    <mergeCell ref="B40:B47"/>
    <mergeCell ref="B49:C51"/>
    <mergeCell ref="B25:B35"/>
    <mergeCell ref="F86:I86"/>
    <mergeCell ref="F87:I87"/>
    <mergeCell ref="F89:I89"/>
    <mergeCell ref="F88:I88"/>
    <mergeCell ref="F75:I75"/>
    <mergeCell ref="F81:I81"/>
    <mergeCell ref="F82:I82"/>
    <mergeCell ref="F83:I83"/>
    <mergeCell ref="F84:I84"/>
    <mergeCell ref="F85:I85"/>
    <mergeCell ref="F76:I76"/>
    <mergeCell ref="F77:I77"/>
    <mergeCell ref="F78:I78"/>
    <mergeCell ref="F79:I79"/>
    <mergeCell ref="F80:I80"/>
    <mergeCell ref="L75:O75"/>
    <mergeCell ref="L76:O76"/>
    <mergeCell ref="L77:O77"/>
    <mergeCell ref="L78:O78"/>
    <mergeCell ref="L79:O79"/>
    <mergeCell ref="L80:O80"/>
    <mergeCell ref="L81:O81"/>
    <mergeCell ref="L82:O82"/>
    <mergeCell ref="L83:O83"/>
    <mergeCell ref="L84:O84"/>
    <mergeCell ref="L85:O85"/>
    <mergeCell ref="L86:O86"/>
    <mergeCell ref="L87:O87"/>
    <mergeCell ref="L88:O88"/>
    <mergeCell ref="L89:O89"/>
    <mergeCell ref="R76:S76"/>
    <mergeCell ref="R77:S77"/>
    <mergeCell ref="R78:S78"/>
    <mergeCell ref="R79:S79"/>
    <mergeCell ref="R80:S80"/>
  </mergeCells>
  <conditionalFormatting sqref="AJ5:AJ47">
    <cfRule type="cellIs" dxfId="65" priority="2" operator="greaterThan">
      <formula>1</formula>
    </cfRule>
    <cfRule type="cellIs" dxfId="64" priority="3" operator="equal">
      <formula>1</formula>
    </cfRule>
    <cfRule type="cellIs" dxfId="63" priority="4" operator="greaterThan">
      <formula>0</formula>
    </cfRule>
  </conditionalFormatting>
  <conditionalFormatting sqref="AN5:AN47">
    <cfRule type="cellIs" dxfId="62" priority="1" operator="lessThan">
      <formula>0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9" operator="equal" id="{073716C2-6233-432E-A5CE-DD14E4C34F21}">
            <xm:f>Sheet1!$B$3</xm:f>
            <x14:dxf>
              <fill>
                <patternFill>
                  <bgColor theme="6" tint="0.79998168889431442"/>
                </patternFill>
              </fill>
            </x14:dxf>
          </x14:cfRule>
          <x14:cfRule type="cellIs" priority="10" operator="equal" id="{E9081AC7-0A95-4B7B-B029-283361AA9B63}">
            <xm:f>Sheet1!$B$2</xm:f>
            <x14:dxf>
              <fill>
                <patternFill>
                  <bgColor rgb="FFFFFF99"/>
                </patternFill>
              </fill>
            </x14:dxf>
          </x14:cfRule>
          <xm:sqref>B2:B4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33A00564-E248-4E0A-AB8A-3DFCAFF6F72A}">
          <x14:formula1>
            <xm:f>Sheet1!$B$2:$B$3</xm:f>
          </x14:formula1>
          <xm:sqref>B2:B4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8693-DD3E-426C-BCC4-E4B7C0834E56}">
  <dimension ref="B2:BH325"/>
  <sheetViews>
    <sheetView showGridLines="0" workbookViewId="0">
      <pane xSplit="4" ySplit="4" topLeftCell="E5" activePane="bottomRight" state="frozen"/>
      <selection pane="bottomRight" activeCell="W34" sqref="W34"/>
      <selection pane="bottomLeft"/>
      <selection pane="topRight"/>
    </sheetView>
  </sheetViews>
  <sheetFormatPr defaultRowHeight="15"/>
  <cols>
    <col min="1" max="2" width="9.140625" style="18"/>
    <col min="3" max="3" width="20.7109375" style="18" customWidth="1"/>
    <col min="4" max="4" width="30.28515625" style="18" bestFit="1" customWidth="1"/>
    <col min="5" max="35" width="6" style="18" customWidth="1"/>
    <col min="36" max="44" width="9.140625" style="18"/>
    <col min="45" max="45" width="10.7109375" style="18" customWidth="1"/>
    <col min="46" max="16384" width="9.140625" style="18"/>
  </cols>
  <sheetData>
    <row r="2" spans="2:60" ht="15.75" customHeight="1">
      <c r="B2" s="270" t="s">
        <v>0</v>
      </c>
      <c r="C2" s="267" t="s">
        <v>2</v>
      </c>
      <c r="D2" s="267"/>
      <c r="E2" s="253" t="s">
        <v>3</v>
      </c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5"/>
      <c r="AK2" s="241" t="s">
        <v>4</v>
      </c>
      <c r="AL2" s="242"/>
      <c r="AM2" s="243"/>
      <c r="AO2" s="241" t="s">
        <v>5</v>
      </c>
      <c r="AP2" s="242"/>
      <c r="AQ2" s="243"/>
      <c r="AS2" s="247" t="s">
        <v>6</v>
      </c>
    </row>
    <row r="3" spans="2:60" ht="15.75">
      <c r="B3" s="271"/>
      <c r="C3" s="268" t="s">
        <v>251</v>
      </c>
      <c r="D3" s="268"/>
      <c r="E3" s="2" t="s">
        <v>11</v>
      </c>
      <c r="F3" s="1" t="s">
        <v>12</v>
      </c>
      <c r="G3" s="1" t="s">
        <v>13</v>
      </c>
      <c r="H3" s="1" t="s">
        <v>14</v>
      </c>
      <c r="I3" s="1" t="s">
        <v>8</v>
      </c>
      <c r="J3" s="1" t="s">
        <v>9</v>
      </c>
      <c r="K3" s="2" t="s">
        <v>10</v>
      </c>
      <c r="L3" s="2" t="s">
        <v>11</v>
      </c>
      <c r="M3" s="1" t="s">
        <v>12</v>
      </c>
      <c r="N3" s="1" t="s">
        <v>13</v>
      </c>
      <c r="O3" s="1" t="s">
        <v>14</v>
      </c>
      <c r="P3" s="1" t="s">
        <v>8</v>
      </c>
      <c r="Q3" s="1" t="s">
        <v>9</v>
      </c>
      <c r="R3" s="2" t="s">
        <v>10</v>
      </c>
      <c r="S3" s="2" t="s">
        <v>11</v>
      </c>
      <c r="T3" s="1" t="s">
        <v>12</v>
      </c>
      <c r="U3" s="1" t="s">
        <v>13</v>
      </c>
      <c r="V3" s="1" t="s">
        <v>14</v>
      </c>
      <c r="W3" s="1" t="s">
        <v>8</v>
      </c>
      <c r="X3" s="1" t="s">
        <v>9</v>
      </c>
      <c r="Y3" s="2" t="s">
        <v>10</v>
      </c>
      <c r="Z3" s="2" t="s">
        <v>11</v>
      </c>
      <c r="AA3" s="1" t="s">
        <v>12</v>
      </c>
      <c r="AB3" s="1" t="s">
        <v>13</v>
      </c>
      <c r="AC3" s="1" t="s">
        <v>14</v>
      </c>
      <c r="AD3" s="1" t="s">
        <v>8</v>
      </c>
      <c r="AE3" s="1" t="s">
        <v>9</v>
      </c>
      <c r="AF3" s="2" t="s">
        <v>10</v>
      </c>
      <c r="AG3" s="2" t="s">
        <v>11</v>
      </c>
      <c r="AH3" s="1" t="s">
        <v>12</v>
      </c>
      <c r="AI3" s="6" t="s">
        <v>13</v>
      </c>
      <c r="AK3" s="244"/>
      <c r="AL3" s="245"/>
      <c r="AM3" s="246"/>
      <c r="AO3" s="244"/>
      <c r="AP3" s="245"/>
      <c r="AQ3" s="246"/>
      <c r="AS3" s="248"/>
    </row>
    <row r="4" spans="2:60" ht="15.75">
      <c r="B4" s="272"/>
      <c r="C4" s="269"/>
      <c r="D4" s="269"/>
      <c r="E4" s="100">
        <v>1</v>
      </c>
      <c r="F4" s="99">
        <v>2</v>
      </c>
      <c r="G4" s="99">
        <v>3</v>
      </c>
      <c r="H4" s="99">
        <v>4</v>
      </c>
      <c r="I4" s="99">
        <v>5</v>
      </c>
      <c r="J4" s="99">
        <v>6</v>
      </c>
      <c r="K4" s="100">
        <v>7</v>
      </c>
      <c r="L4" s="100">
        <v>8</v>
      </c>
      <c r="M4" s="99">
        <v>9</v>
      </c>
      <c r="N4" s="99">
        <v>10</v>
      </c>
      <c r="O4" s="99">
        <v>11</v>
      </c>
      <c r="P4" s="99">
        <v>12</v>
      </c>
      <c r="Q4" s="99">
        <v>13</v>
      </c>
      <c r="R4" s="100">
        <v>14</v>
      </c>
      <c r="S4" s="100">
        <v>15</v>
      </c>
      <c r="T4" s="99">
        <v>16</v>
      </c>
      <c r="U4" s="99">
        <v>17</v>
      </c>
      <c r="V4" s="99">
        <v>18</v>
      </c>
      <c r="W4" s="99">
        <v>19</v>
      </c>
      <c r="X4" s="99">
        <v>20</v>
      </c>
      <c r="Y4" s="100">
        <v>21</v>
      </c>
      <c r="Z4" s="100">
        <v>22</v>
      </c>
      <c r="AA4" s="99">
        <v>23</v>
      </c>
      <c r="AB4" s="99">
        <v>24</v>
      </c>
      <c r="AC4" s="99">
        <v>25</v>
      </c>
      <c r="AD4" s="99">
        <v>26</v>
      </c>
      <c r="AE4" s="99">
        <v>27</v>
      </c>
      <c r="AF4" s="100">
        <v>28</v>
      </c>
      <c r="AG4" s="100">
        <v>29</v>
      </c>
      <c r="AH4" s="99">
        <v>30</v>
      </c>
      <c r="AI4" s="187">
        <v>31</v>
      </c>
      <c r="AK4" s="23">
        <v>2025</v>
      </c>
      <c r="AL4" s="24" t="s">
        <v>15</v>
      </c>
      <c r="AM4" s="23" t="s">
        <v>16</v>
      </c>
      <c r="AN4" s="25"/>
      <c r="AO4" s="23">
        <v>2026</v>
      </c>
      <c r="AP4" s="24" t="s">
        <v>15</v>
      </c>
      <c r="AQ4" s="23" t="s">
        <v>16</v>
      </c>
      <c r="AS4" s="249"/>
    </row>
    <row r="5" spans="2:60" ht="15" customHeight="1">
      <c r="B5" s="287" t="s">
        <v>17</v>
      </c>
      <c r="C5" s="186" t="s">
        <v>18</v>
      </c>
      <c r="D5" s="88" t="s">
        <v>19</v>
      </c>
      <c r="E5" s="104" t="s">
        <v>21</v>
      </c>
      <c r="F5" s="104" t="s">
        <v>21</v>
      </c>
      <c r="G5" s="103" t="s">
        <v>22</v>
      </c>
      <c r="H5" s="103" t="s">
        <v>22</v>
      </c>
      <c r="I5" s="102" t="s">
        <v>23</v>
      </c>
      <c r="J5" s="102" t="s">
        <v>23</v>
      </c>
      <c r="K5" s="102" t="s">
        <v>23</v>
      </c>
      <c r="L5" s="102" t="s">
        <v>23</v>
      </c>
      <c r="M5" s="103" t="s">
        <v>22</v>
      </c>
      <c r="N5" s="103" t="s">
        <v>22</v>
      </c>
      <c r="O5" s="104" t="s">
        <v>21</v>
      </c>
      <c r="P5" s="104" t="s">
        <v>21</v>
      </c>
      <c r="Q5" s="104" t="s">
        <v>21</v>
      </c>
      <c r="R5" s="104" t="s">
        <v>21</v>
      </c>
      <c r="S5" s="103" t="s">
        <v>22</v>
      </c>
      <c r="T5" s="103" t="s">
        <v>22</v>
      </c>
      <c r="U5" s="102" t="s">
        <v>23</v>
      </c>
      <c r="V5" s="102" t="s">
        <v>23</v>
      </c>
      <c r="W5" s="102" t="s">
        <v>23</v>
      </c>
      <c r="X5" s="102" t="s">
        <v>23</v>
      </c>
      <c r="Y5" s="103" t="s">
        <v>22</v>
      </c>
      <c r="Z5" s="103" t="s">
        <v>22</v>
      </c>
      <c r="AA5" s="104" t="s">
        <v>21</v>
      </c>
      <c r="AB5" s="104" t="s">
        <v>21</v>
      </c>
      <c r="AC5" s="104" t="s">
        <v>21</v>
      </c>
      <c r="AD5" s="104" t="s">
        <v>21</v>
      </c>
      <c r="AE5" s="103" t="s">
        <v>22</v>
      </c>
      <c r="AF5" s="103" t="s">
        <v>22</v>
      </c>
      <c r="AG5" s="102" t="s">
        <v>23</v>
      </c>
      <c r="AH5" s="102" t="s">
        <v>23</v>
      </c>
      <c r="AI5" s="105" t="s">
        <v>23</v>
      </c>
      <c r="AJ5" s="19"/>
      <c r="AK5" s="20">
        <f>FEB!AJ5</f>
        <v>1</v>
      </c>
      <c r="AL5" s="21">
        <f>COUNTIF(E5:AI5, "UA")</f>
        <v>0</v>
      </c>
      <c r="AM5" s="20">
        <f>AK5-AL5</f>
        <v>1</v>
      </c>
      <c r="AN5" s="19"/>
      <c r="AO5" s="20"/>
      <c r="AP5" s="21">
        <f t="shared" ref="AP5:AP47" si="0">COUNTIF(E5:AI5, "U")</f>
        <v>0</v>
      </c>
      <c r="AQ5" s="20">
        <f t="shared" ref="AQ5:AQ47" si="1">AO5-AP5</f>
        <v>0</v>
      </c>
      <c r="AR5" s="19"/>
      <c r="AS5" s="21">
        <f t="shared" ref="AS5:AS47" si="2">COUNTIF(E5:AI5,"P*")+COUNTIF(E5:AI5,"H*")+COUNTIF(E5:AI5,"T*")-COUNTIF(E5:AI5,"H")-COUNTIF(E5:AI5,"P")</f>
        <v>21</v>
      </c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</row>
    <row r="6" spans="2:60">
      <c r="B6" s="288"/>
      <c r="C6" s="130" t="s">
        <v>24</v>
      </c>
      <c r="D6" s="20" t="s">
        <v>25</v>
      </c>
      <c r="E6" s="74" t="s">
        <v>23</v>
      </c>
      <c r="F6" s="74" t="s">
        <v>23</v>
      </c>
      <c r="G6" s="74" t="s">
        <v>23</v>
      </c>
      <c r="H6" s="74" t="s">
        <v>23</v>
      </c>
      <c r="I6" s="28" t="s">
        <v>22</v>
      </c>
      <c r="J6" s="28" t="s">
        <v>22</v>
      </c>
      <c r="K6" s="60" t="s">
        <v>21</v>
      </c>
      <c r="L6" s="60" t="s">
        <v>21</v>
      </c>
      <c r="M6" s="60" t="s">
        <v>21</v>
      </c>
      <c r="N6" s="60" t="s">
        <v>21</v>
      </c>
      <c r="O6" s="28" t="s">
        <v>22</v>
      </c>
      <c r="P6" s="28" t="s">
        <v>22</v>
      </c>
      <c r="Q6" s="74" t="s">
        <v>23</v>
      </c>
      <c r="R6" s="74" t="s">
        <v>23</v>
      </c>
      <c r="S6" s="74" t="s">
        <v>23</v>
      </c>
      <c r="T6" s="74" t="s">
        <v>23</v>
      </c>
      <c r="U6" s="28" t="s">
        <v>22</v>
      </c>
      <c r="V6" s="28" t="s">
        <v>22</v>
      </c>
      <c r="W6" s="60" t="s">
        <v>21</v>
      </c>
      <c r="X6" s="60" t="s">
        <v>21</v>
      </c>
      <c r="Y6" s="60" t="s">
        <v>21</v>
      </c>
      <c r="Z6" s="60" t="s">
        <v>21</v>
      </c>
      <c r="AA6" s="28" t="s">
        <v>22</v>
      </c>
      <c r="AB6" s="28" t="s">
        <v>22</v>
      </c>
      <c r="AC6" s="74" t="s">
        <v>23</v>
      </c>
      <c r="AD6" s="74" t="s">
        <v>23</v>
      </c>
      <c r="AE6" s="74" t="s">
        <v>23</v>
      </c>
      <c r="AF6" s="74" t="s">
        <v>23</v>
      </c>
      <c r="AG6" s="28" t="s">
        <v>22</v>
      </c>
      <c r="AH6" s="28" t="s">
        <v>22</v>
      </c>
      <c r="AI6" s="90" t="s">
        <v>21</v>
      </c>
      <c r="AJ6" s="19"/>
      <c r="AK6" s="20">
        <f>FEB!AJ6</f>
        <v>0</v>
      </c>
      <c r="AL6" s="21">
        <f t="shared" ref="AL6:AL47" si="3">COUNTIF(E6:AI6, "UA")</f>
        <v>0</v>
      </c>
      <c r="AM6" s="20">
        <f t="shared" ref="AM6:AM47" si="4">AK6-AL6</f>
        <v>0</v>
      </c>
      <c r="AN6" s="19"/>
      <c r="AO6" s="20"/>
      <c r="AP6" s="21">
        <f t="shared" si="0"/>
        <v>0</v>
      </c>
      <c r="AQ6" s="20">
        <f t="shared" si="1"/>
        <v>0</v>
      </c>
      <c r="AR6" s="19"/>
      <c r="AS6" s="21">
        <f t="shared" si="2"/>
        <v>21</v>
      </c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</row>
    <row r="7" spans="2:60" ht="15" customHeight="1">
      <c r="B7" s="288"/>
      <c r="C7" s="20" t="s">
        <v>27</v>
      </c>
      <c r="D7" s="20" t="s">
        <v>28</v>
      </c>
      <c r="E7" s="78" t="s">
        <v>29</v>
      </c>
      <c r="F7" s="28" t="s">
        <v>22</v>
      </c>
      <c r="G7" s="28" t="s">
        <v>22</v>
      </c>
      <c r="H7" s="74" t="s">
        <v>23</v>
      </c>
      <c r="I7" s="74" t="s">
        <v>23</v>
      </c>
      <c r="J7" s="74" t="s">
        <v>23</v>
      </c>
      <c r="K7" s="74" t="s">
        <v>23</v>
      </c>
      <c r="L7" s="74" t="s">
        <v>23</v>
      </c>
      <c r="M7" s="28" t="s">
        <v>22</v>
      </c>
      <c r="N7" s="60" t="s">
        <v>21</v>
      </c>
      <c r="O7" s="60" t="s">
        <v>21</v>
      </c>
      <c r="P7" s="60" t="s">
        <v>21</v>
      </c>
      <c r="Q7" s="37" t="s">
        <v>22</v>
      </c>
      <c r="R7" s="28" t="s">
        <v>22</v>
      </c>
      <c r="S7" s="28" t="s">
        <v>22</v>
      </c>
      <c r="T7" s="76" t="s">
        <v>33</v>
      </c>
      <c r="U7" s="74" t="s">
        <v>23</v>
      </c>
      <c r="V7" s="74" t="s">
        <v>23</v>
      </c>
      <c r="W7" s="74" t="s">
        <v>23</v>
      </c>
      <c r="X7" s="28" t="s">
        <v>22</v>
      </c>
      <c r="Y7" s="28" t="s">
        <v>22</v>
      </c>
      <c r="Z7" s="60" t="s">
        <v>21</v>
      </c>
      <c r="AA7" s="60" t="s">
        <v>21</v>
      </c>
      <c r="AB7" s="60" t="s">
        <v>21</v>
      </c>
      <c r="AC7" s="60" t="s">
        <v>21</v>
      </c>
      <c r="AD7" s="28" t="s">
        <v>22</v>
      </c>
      <c r="AE7" s="28" t="s">
        <v>22</v>
      </c>
      <c r="AF7" s="74" t="s">
        <v>23</v>
      </c>
      <c r="AG7" s="74" t="s">
        <v>23</v>
      </c>
      <c r="AH7" s="74" t="s">
        <v>23</v>
      </c>
      <c r="AI7" s="89" t="s">
        <v>23</v>
      </c>
      <c r="AJ7" s="19"/>
      <c r="AK7" s="20">
        <f>FEB!AJ7</f>
        <v>1</v>
      </c>
      <c r="AL7" s="21">
        <f t="shared" si="3"/>
        <v>1</v>
      </c>
      <c r="AM7" s="20">
        <f t="shared" si="4"/>
        <v>0</v>
      </c>
      <c r="AN7" s="19"/>
      <c r="AO7" s="26"/>
      <c r="AP7" s="21">
        <f t="shared" si="0"/>
        <v>0</v>
      </c>
      <c r="AQ7" s="44">
        <f t="shared" si="1"/>
        <v>0</v>
      </c>
      <c r="AR7" s="19"/>
      <c r="AS7" s="21">
        <f t="shared" si="2"/>
        <v>20</v>
      </c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</row>
    <row r="8" spans="2:60" ht="15" customHeight="1">
      <c r="B8" s="288"/>
      <c r="C8" s="22" t="s">
        <v>31</v>
      </c>
      <c r="D8" s="20" t="s">
        <v>32</v>
      </c>
      <c r="E8" s="60" t="s">
        <v>21</v>
      </c>
      <c r="F8" s="60" t="s">
        <v>21</v>
      </c>
      <c r="G8" s="60" t="s">
        <v>21</v>
      </c>
      <c r="H8" s="28" t="s">
        <v>22</v>
      </c>
      <c r="I8" s="28" t="s">
        <v>22</v>
      </c>
      <c r="J8" s="74" t="s">
        <v>23</v>
      </c>
      <c r="K8" s="74" t="s">
        <v>23</v>
      </c>
      <c r="L8" s="74" t="s">
        <v>23</v>
      </c>
      <c r="M8" s="74" t="s">
        <v>23</v>
      </c>
      <c r="N8" s="28" t="s">
        <v>22</v>
      </c>
      <c r="O8" s="28" t="s">
        <v>22</v>
      </c>
      <c r="P8" s="60" t="s">
        <v>21</v>
      </c>
      <c r="Q8" s="60" t="s">
        <v>21</v>
      </c>
      <c r="R8" s="60" t="s">
        <v>21</v>
      </c>
      <c r="S8" s="60" t="s">
        <v>21</v>
      </c>
      <c r="T8" s="28" t="s">
        <v>22</v>
      </c>
      <c r="U8" s="28" t="s">
        <v>22</v>
      </c>
      <c r="V8" s="74" t="s">
        <v>23</v>
      </c>
      <c r="W8" s="74" t="s">
        <v>23</v>
      </c>
      <c r="X8" s="74" t="s">
        <v>23</v>
      </c>
      <c r="Y8" s="74" t="s">
        <v>23</v>
      </c>
      <c r="Z8" s="28" t="s">
        <v>22</v>
      </c>
      <c r="AA8" s="28" t="s">
        <v>22</v>
      </c>
      <c r="AB8" s="60" t="s">
        <v>21</v>
      </c>
      <c r="AC8" s="60" t="s">
        <v>21</v>
      </c>
      <c r="AD8" s="60" t="s">
        <v>21</v>
      </c>
      <c r="AE8" s="60" t="s">
        <v>21</v>
      </c>
      <c r="AF8" s="28" t="s">
        <v>22</v>
      </c>
      <c r="AG8" s="28" t="s">
        <v>22</v>
      </c>
      <c r="AH8" s="74" t="s">
        <v>23</v>
      </c>
      <c r="AI8" s="89" t="s">
        <v>23</v>
      </c>
      <c r="AJ8" s="19"/>
      <c r="AK8" s="20">
        <f>FEB!AJ8</f>
        <v>2</v>
      </c>
      <c r="AL8" s="21">
        <f t="shared" si="3"/>
        <v>0</v>
      </c>
      <c r="AM8" s="20">
        <f t="shared" si="4"/>
        <v>2</v>
      </c>
      <c r="AN8" s="19"/>
      <c r="AO8" s="20"/>
      <c r="AP8" s="21">
        <f t="shared" si="0"/>
        <v>0</v>
      </c>
      <c r="AQ8" s="20">
        <f t="shared" si="1"/>
        <v>0</v>
      </c>
      <c r="AR8" s="19"/>
      <c r="AS8" s="21">
        <f t="shared" si="2"/>
        <v>21</v>
      </c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</row>
    <row r="9" spans="2:60" ht="15" customHeight="1">
      <c r="B9" s="288"/>
      <c r="C9" s="20" t="s">
        <v>34</v>
      </c>
      <c r="D9" s="20" t="s">
        <v>35</v>
      </c>
      <c r="E9" s="28" t="s">
        <v>22</v>
      </c>
      <c r="F9" s="74" t="s">
        <v>23</v>
      </c>
      <c r="G9" s="74" t="s">
        <v>23</v>
      </c>
      <c r="H9" s="74" t="s">
        <v>23</v>
      </c>
      <c r="I9" s="74" t="s">
        <v>23</v>
      </c>
      <c r="J9" s="28" t="s">
        <v>22</v>
      </c>
      <c r="K9" s="28" t="s">
        <v>22</v>
      </c>
      <c r="L9" s="60" t="s">
        <v>21</v>
      </c>
      <c r="M9" s="60" t="s">
        <v>21</v>
      </c>
      <c r="N9" s="60" t="s">
        <v>21</v>
      </c>
      <c r="O9" s="60" t="s">
        <v>21</v>
      </c>
      <c r="P9" s="28" t="s">
        <v>22</v>
      </c>
      <c r="Q9" s="28" t="s">
        <v>22</v>
      </c>
      <c r="R9" s="74" t="s">
        <v>23</v>
      </c>
      <c r="S9" s="74" t="s">
        <v>23</v>
      </c>
      <c r="T9" s="74" t="s">
        <v>23</v>
      </c>
      <c r="U9" s="74" t="s">
        <v>23</v>
      </c>
      <c r="V9" s="28" t="s">
        <v>22</v>
      </c>
      <c r="W9" s="28" t="s">
        <v>22</v>
      </c>
      <c r="X9" s="60" t="s">
        <v>21</v>
      </c>
      <c r="Y9" s="60" t="s">
        <v>21</v>
      </c>
      <c r="Z9" s="60" t="s">
        <v>21</v>
      </c>
      <c r="AA9" s="60" t="s">
        <v>21</v>
      </c>
      <c r="AB9" s="28" t="s">
        <v>22</v>
      </c>
      <c r="AC9" s="28" t="s">
        <v>22</v>
      </c>
      <c r="AD9" s="74" t="s">
        <v>23</v>
      </c>
      <c r="AE9" s="74" t="s">
        <v>23</v>
      </c>
      <c r="AF9" s="74" t="s">
        <v>23</v>
      </c>
      <c r="AG9" s="74" t="s">
        <v>23</v>
      </c>
      <c r="AH9" s="28" t="s">
        <v>22</v>
      </c>
      <c r="AI9" s="91" t="s">
        <v>22</v>
      </c>
      <c r="AJ9" s="19"/>
      <c r="AK9" s="20">
        <f>FEB!AJ9</f>
        <v>0</v>
      </c>
      <c r="AL9" s="21">
        <f t="shared" si="3"/>
        <v>0</v>
      </c>
      <c r="AM9" s="20">
        <f t="shared" si="4"/>
        <v>0</v>
      </c>
      <c r="AN9" s="19"/>
      <c r="AO9" s="20"/>
      <c r="AP9" s="21">
        <f t="shared" si="0"/>
        <v>0</v>
      </c>
      <c r="AQ9" s="20">
        <f t="shared" si="1"/>
        <v>0</v>
      </c>
      <c r="AR9" s="19"/>
      <c r="AS9" s="21">
        <f t="shared" si="2"/>
        <v>20</v>
      </c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</row>
    <row r="10" spans="2:60" ht="15" customHeight="1">
      <c r="B10" s="288"/>
      <c r="C10" s="22" t="s">
        <v>37</v>
      </c>
      <c r="D10" s="20" t="s">
        <v>38</v>
      </c>
      <c r="E10" s="74" t="s">
        <v>23</v>
      </c>
      <c r="F10" s="74" t="s">
        <v>23</v>
      </c>
      <c r="G10" s="74" t="s">
        <v>23</v>
      </c>
      <c r="H10" s="28" t="s">
        <v>22</v>
      </c>
      <c r="I10" s="28" t="s">
        <v>22</v>
      </c>
      <c r="J10" s="60" t="s">
        <v>21</v>
      </c>
      <c r="K10" s="60" t="s">
        <v>21</v>
      </c>
      <c r="L10" s="60" t="s">
        <v>21</v>
      </c>
      <c r="M10" s="60" t="s">
        <v>21</v>
      </c>
      <c r="N10" s="28" t="s">
        <v>22</v>
      </c>
      <c r="O10" s="28" t="s">
        <v>22</v>
      </c>
      <c r="P10" s="74" t="s">
        <v>23</v>
      </c>
      <c r="Q10" s="74" t="s">
        <v>23</v>
      </c>
      <c r="R10" s="74" t="s">
        <v>23</v>
      </c>
      <c r="S10" s="74" t="s">
        <v>23</v>
      </c>
      <c r="T10" s="28" t="s">
        <v>22</v>
      </c>
      <c r="U10" s="28" t="s">
        <v>22</v>
      </c>
      <c r="V10" s="60" t="s">
        <v>21</v>
      </c>
      <c r="W10" s="60" t="s">
        <v>21</v>
      </c>
      <c r="X10" s="60" t="s">
        <v>21</v>
      </c>
      <c r="Y10" s="60" t="s">
        <v>21</v>
      </c>
      <c r="Z10" s="28" t="s">
        <v>22</v>
      </c>
      <c r="AA10" s="28" t="s">
        <v>22</v>
      </c>
      <c r="AB10" s="74" t="s">
        <v>23</v>
      </c>
      <c r="AC10" s="74" t="s">
        <v>23</v>
      </c>
      <c r="AD10" s="74" t="s">
        <v>23</v>
      </c>
      <c r="AE10" s="74" t="s">
        <v>23</v>
      </c>
      <c r="AF10" s="28" t="s">
        <v>22</v>
      </c>
      <c r="AG10" s="28" t="s">
        <v>22</v>
      </c>
      <c r="AH10" s="60" t="s">
        <v>21</v>
      </c>
      <c r="AI10" s="90" t="s">
        <v>21</v>
      </c>
      <c r="AJ10" s="19"/>
      <c r="AK10" s="20">
        <f>FEB!AJ10</f>
        <v>0</v>
      </c>
      <c r="AL10" s="21">
        <f t="shared" si="3"/>
        <v>0</v>
      </c>
      <c r="AM10" s="20">
        <f t="shared" si="4"/>
        <v>0</v>
      </c>
      <c r="AN10" s="19"/>
      <c r="AO10" s="20"/>
      <c r="AP10" s="21">
        <f t="shared" si="0"/>
        <v>0</v>
      </c>
      <c r="AQ10" s="20">
        <f t="shared" si="1"/>
        <v>0</v>
      </c>
      <c r="AR10" s="19"/>
      <c r="AS10" s="21">
        <f t="shared" si="2"/>
        <v>21</v>
      </c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</row>
    <row r="11" spans="2:60" ht="15" customHeight="1">
      <c r="B11" s="288"/>
      <c r="C11" s="20" t="s">
        <v>39</v>
      </c>
      <c r="D11" s="20" t="s">
        <v>40</v>
      </c>
      <c r="E11" s="28" t="s">
        <v>22</v>
      </c>
      <c r="F11" s="60" t="s">
        <v>21</v>
      </c>
      <c r="G11" s="60" t="s">
        <v>21</v>
      </c>
      <c r="H11" s="60" t="s">
        <v>21</v>
      </c>
      <c r="I11" s="60" t="s">
        <v>21</v>
      </c>
      <c r="J11" s="28" t="s">
        <v>22</v>
      </c>
      <c r="K11" s="28" t="s">
        <v>22</v>
      </c>
      <c r="L11" s="37" t="s">
        <v>22</v>
      </c>
      <c r="M11" s="74" t="s">
        <v>23</v>
      </c>
      <c r="N11" s="74" t="s">
        <v>23</v>
      </c>
      <c r="O11" s="74" t="s">
        <v>23</v>
      </c>
      <c r="P11" s="28" t="s">
        <v>22</v>
      </c>
      <c r="Q11" s="60" t="s">
        <v>21</v>
      </c>
      <c r="R11" s="60" t="s">
        <v>21</v>
      </c>
      <c r="S11" s="60" t="s">
        <v>21</v>
      </c>
      <c r="T11" s="60" t="s">
        <v>21</v>
      </c>
      <c r="U11" s="60" t="s">
        <v>21</v>
      </c>
      <c r="V11" s="28" t="s">
        <v>22</v>
      </c>
      <c r="W11" s="28" t="s">
        <v>22</v>
      </c>
      <c r="X11" s="74" t="s">
        <v>23</v>
      </c>
      <c r="Y11" s="74" t="s">
        <v>23</v>
      </c>
      <c r="Z11" s="74" t="s">
        <v>23</v>
      </c>
      <c r="AA11" s="74" t="s">
        <v>23</v>
      </c>
      <c r="AB11" s="28" t="s">
        <v>22</v>
      </c>
      <c r="AC11" s="28" t="s">
        <v>22</v>
      </c>
      <c r="AD11" s="60" t="s">
        <v>21</v>
      </c>
      <c r="AE11" s="60" t="s">
        <v>21</v>
      </c>
      <c r="AF11" s="60" t="s">
        <v>21</v>
      </c>
      <c r="AG11" s="60" t="s">
        <v>21</v>
      </c>
      <c r="AH11" s="28" t="s">
        <v>22</v>
      </c>
      <c r="AI11" s="91" t="s">
        <v>22</v>
      </c>
      <c r="AJ11" s="19"/>
      <c r="AK11" s="20">
        <f>FEB!AJ11</f>
        <v>0</v>
      </c>
      <c r="AL11" s="21">
        <f t="shared" si="3"/>
        <v>0</v>
      </c>
      <c r="AM11" s="20">
        <f t="shared" si="4"/>
        <v>0</v>
      </c>
      <c r="AN11" s="19"/>
      <c r="AO11" s="20"/>
      <c r="AP11" s="21">
        <f t="shared" si="0"/>
        <v>0</v>
      </c>
      <c r="AQ11" s="20">
        <f t="shared" si="1"/>
        <v>0</v>
      </c>
      <c r="AR11" s="19"/>
      <c r="AS11" s="21">
        <f t="shared" si="2"/>
        <v>20</v>
      </c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</row>
    <row r="12" spans="2:60" ht="15" customHeight="1">
      <c r="B12" s="288"/>
      <c r="C12" s="108" t="s">
        <v>43</v>
      </c>
      <c r="D12" s="109" t="s">
        <v>44</v>
      </c>
      <c r="E12" s="112" t="s">
        <v>23</v>
      </c>
      <c r="F12" s="110" t="s">
        <v>22</v>
      </c>
      <c r="G12" s="110" t="s">
        <v>22</v>
      </c>
      <c r="H12" s="111" t="s">
        <v>21</v>
      </c>
      <c r="I12" s="111" t="s">
        <v>21</v>
      </c>
      <c r="J12" s="111" t="s">
        <v>21</v>
      </c>
      <c r="K12" s="111" t="s">
        <v>21</v>
      </c>
      <c r="L12" s="110" t="s">
        <v>22</v>
      </c>
      <c r="M12" s="110" t="s">
        <v>22</v>
      </c>
      <c r="N12" s="112" t="s">
        <v>23</v>
      </c>
      <c r="O12" s="112" t="s">
        <v>23</v>
      </c>
      <c r="P12" s="112" t="s">
        <v>23</v>
      </c>
      <c r="Q12" s="112" t="s">
        <v>23</v>
      </c>
      <c r="R12" s="110" t="s">
        <v>22</v>
      </c>
      <c r="S12" s="110" t="s">
        <v>22</v>
      </c>
      <c r="T12" s="111" t="s">
        <v>21</v>
      </c>
      <c r="U12" s="111" t="s">
        <v>21</v>
      </c>
      <c r="V12" s="111" t="s">
        <v>21</v>
      </c>
      <c r="W12" s="111" t="s">
        <v>21</v>
      </c>
      <c r="X12" s="110" t="s">
        <v>22</v>
      </c>
      <c r="Y12" s="110" t="s">
        <v>22</v>
      </c>
      <c r="Z12" s="112" t="s">
        <v>23</v>
      </c>
      <c r="AA12" s="112" t="s">
        <v>23</v>
      </c>
      <c r="AB12" s="112" t="s">
        <v>23</v>
      </c>
      <c r="AC12" s="112" t="s">
        <v>23</v>
      </c>
      <c r="AD12" s="110" t="s">
        <v>22</v>
      </c>
      <c r="AE12" s="110" t="s">
        <v>22</v>
      </c>
      <c r="AF12" s="111" t="s">
        <v>21</v>
      </c>
      <c r="AG12" s="111" t="s">
        <v>21</v>
      </c>
      <c r="AH12" s="111" t="s">
        <v>21</v>
      </c>
      <c r="AI12" s="127" t="s">
        <v>21</v>
      </c>
      <c r="AJ12" s="19"/>
      <c r="AK12" s="20">
        <f>FEB!AJ12</f>
        <v>0</v>
      </c>
      <c r="AL12" s="21">
        <f t="shared" si="3"/>
        <v>0</v>
      </c>
      <c r="AM12" s="20">
        <f t="shared" si="4"/>
        <v>0</v>
      </c>
      <c r="AN12" s="19"/>
      <c r="AO12" s="20"/>
      <c r="AP12" s="21">
        <f t="shared" si="0"/>
        <v>0</v>
      </c>
      <c r="AQ12" s="20">
        <f t="shared" si="1"/>
        <v>0</v>
      </c>
      <c r="AR12" s="19"/>
      <c r="AS12" s="21">
        <f t="shared" si="2"/>
        <v>21</v>
      </c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</row>
    <row r="13" spans="2:60">
      <c r="B13" s="280" t="s">
        <v>45</v>
      </c>
      <c r="C13" s="88" t="s">
        <v>46</v>
      </c>
      <c r="D13" s="88" t="s">
        <v>47</v>
      </c>
      <c r="E13" s="103" t="s">
        <v>22</v>
      </c>
      <c r="F13" s="104" t="s">
        <v>21</v>
      </c>
      <c r="G13" s="104" t="s">
        <v>21</v>
      </c>
      <c r="H13" s="104" t="s">
        <v>21</v>
      </c>
      <c r="I13" s="104" t="s">
        <v>21</v>
      </c>
      <c r="J13" s="103" t="s">
        <v>22</v>
      </c>
      <c r="K13" s="103" t="s">
        <v>22</v>
      </c>
      <c r="L13" s="102" t="s">
        <v>23</v>
      </c>
      <c r="M13" s="102" t="s">
        <v>23</v>
      </c>
      <c r="N13" s="102" t="s">
        <v>23</v>
      </c>
      <c r="O13" s="102" t="s">
        <v>23</v>
      </c>
      <c r="P13" s="103" t="s">
        <v>22</v>
      </c>
      <c r="Q13" s="103" t="s">
        <v>22</v>
      </c>
      <c r="R13" s="104" t="s">
        <v>21</v>
      </c>
      <c r="S13" s="104" t="s">
        <v>21</v>
      </c>
      <c r="T13" s="104" t="s">
        <v>21</v>
      </c>
      <c r="U13" s="104" t="s">
        <v>21</v>
      </c>
      <c r="V13" s="103" t="s">
        <v>22</v>
      </c>
      <c r="W13" s="103" t="s">
        <v>22</v>
      </c>
      <c r="X13" s="104" t="s">
        <v>21</v>
      </c>
      <c r="Y13" s="104" t="s">
        <v>21</v>
      </c>
      <c r="Z13" s="104" t="s">
        <v>21</v>
      </c>
      <c r="AA13" s="104" t="s">
        <v>21</v>
      </c>
      <c r="AB13" s="103" t="s">
        <v>22</v>
      </c>
      <c r="AC13" s="103" t="s">
        <v>22</v>
      </c>
      <c r="AD13" s="104" t="s">
        <v>21</v>
      </c>
      <c r="AE13" s="104" t="s">
        <v>21</v>
      </c>
      <c r="AF13" s="104" t="s">
        <v>21</v>
      </c>
      <c r="AG13" s="104" t="s">
        <v>21</v>
      </c>
      <c r="AH13" s="103" t="s">
        <v>22</v>
      </c>
      <c r="AI13" s="120" t="s">
        <v>22</v>
      </c>
      <c r="AJ13" s="19"/>
      <c r="AK13" s="20">
        <f>FEB!AJ13</f>
        <v>0</v>
      </c>
      <c r="AL13" s="21">
        <f t="shared" si="3"/>
        <v>0</v>
      </c>
      <c r="AM13" s="20">
        <f t="shared" si="4"/>
        <v>0</v>
      </c>
      <c r="AN13" s="19"/>
      <c r="AO13" s="20"/>
      <c r="AP13" s="21">
        <f t="shared" si="0"/>
        <v>0</v>
      </c>
      <c r="AQ13" s="20">
        <f t="shared" si="1"/>
        <v>0</v>
      </c>
      <c r="AR13" s="19"/>
      <c r="AS13" s="21">
        <f t="shared" si="2"/>
        <v>20</v>
      </c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</row>
    <row r="14" spans="2:60">
      <c r="B14" s="276"/>
      <c r="C14" s="22" t="s">
        <v>48</v>
      </c>
      <c r="D14" s="20" t="s">
        <v>49</v>
      </c>
      <c r="E14" s="74" t="s">
        <v>23</v>
      </c>
      <c r="F14" s="74" t="s">
        <v>23</v>
      </c>
      <c r="G14" s="74" t="s">
        <v>23</v>
      </c>
      <c r="H14" s="28" t="s">
        <v>22</v>
      </c>
      <c r="I14" s="28" t="s">
        <v>22</v>
      </c>
      <c r="J14" s="60" t="s">
        <v>21</v>
      </c>
      <c r="K14" s="60" t="s">
        <v>21</v>
      </c>
      <c r="L14" s="60" t="s">
        <v>21</v>
      </c>
      <c r="M14" s="60" t="s">
        <v>21</v>
      </c>
      <c r="N14" s="28" t="s">
        <v>22</v>
      </c>
      <c r="O14" s="28" t="s">
        <v>22</v>
      </c>
      <c r="P14" s="74" t="s">
        <v>23</v>
      </c>
      <c r="Q14" s="74" t="s">
        <v>23</v>
      </c>
      <c r="R14" s="74" t="s">
        <v>23</v>
      </c>
      <c r="S14" s="74" t="s">
        <v>23</v>
      </c>
      <c r="T14" s="28" t="s">
        <v>22</v>
      </c>
      <c r="U14" s="28" t="s">
        <v>22</v>
      </c>
      <c r="V14" s="60" t="s">
        <v>21</v>
      </c>
      <c r="W14" s="60" t="s">
        <v>21</v>
      </c>
      <c r="X14" s="60" t="s">
        <v>21</v>
      </c>
      <c r="Y14" s="60" t="s">
        <v>21</v>
      </c>
      <c r="Z14" s="28" t="s">
        <v>22</v>
      </c>
      <c r="AA14" s="28" t="s">
        <v>22</v>
      </c>
      <c r="AB14" s="60" t="s">
        <v>21</v>
      </c>
      <c r="AC14" s="60" t="s">
        <v>21</v>
      </c>
      <c r="AD14" s="60" t="s">
        <v>21</v>
      </c>
      <c r="AE14" s="60" t="s">
        <v>21</v>
      </c>
      <c r="AF14" s="28" t="s">
        <v>22</v>
      </c>
      <c r="AG14" s="28" t="s">
        <v>22</v>
      </c>
      <c r="AH14" s="76" t="s">
        <v>33</v>
      </c>
      <c r="AI14" s="163" t="s">
        <v>33</v>
      </c>
      <c r="AJ14" s="19"/>
      <c r="AK14" s="20">
        <f>FEB!AJ14</f>
        <v>11</v>
      </c>
      <c r="AL14" s="21">
        <f t="shared" si="3"/>
        <v>2</v>
      </c>
      <c r="AM14" s="20">
        <f t="shared" si="4"/>
        <v>9</v>
      </c>
      <c r="AN14" s="19"/>
      <c r="AO14" s="20"/>
      <c r="AP14" s="21">
        <f t="shared" si="0"/>
        <v>0</v>
      </c>
      <c r="AQ14" s="20">
        <f t="shared" si="1"/>
        <v>0</v>
      </c>
      <c r="AR14" s="19"/>
      <c r="AS14" s="21">
        <f t="shared" si="2"/>
        <v>19</v>
      </c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</row>
    <row r="15" spans="2:60">
      <c r="B15" s="276"/>
      <c r="C15" s="20" t="s">
        <v>50</v>
      </c>
      <c r="D15" s="20" t="s">
        <v>51</v>
      </c>
      <c r="E15" s="78" t="s">
        <v>29</v>
      </c>
      <c r="F15" s="28" t="s">
        <v>22</v>
      </c>
      <c r="G15" s="28" t="s">
        <v>22</v>
      </c>
      <c r="H15" s="74" t="s">
        <v>23</v>
      </c>
      <c r="I15" s="74" t="s">
        <v>23</v>
      </c>
      <c r="J15" s="74" t="s">
        <v>23</v>
      </c>
      <c r="K15" s="74" t="s">
        <v>23</v>
      </c>
      <c r="L15" s="28" t="s">
        <v>22</v>
      </c>
      <c r="M15" s="28" t="s">
        <v>22</v>
      </c>
      <c r="N15" s="60" t="s">
        <v>21</v>
      </c>
      <c r="O15" s="60" t="s">
        <v>21</v>
      </c>
      <c r="P15" s="60" t="s">
        <v>21</v>
      </c>
      <c r="Q15" s="60" t="s">
        <v>21</v>
      </c>
      <c r="R15" s="28" t="s">
        <v>22</v>
      </c>
      <c r="S15" s="28" t="s">
        <v>22</v>
      </c>
      <c r="T15" s="74" t="s">
        <v>23</v>
      </c>
      <c r="U15" s="74" t="s">
        <v>23</v>
      </c>
      <c r="V15" s="74" t="s">
        <v>23</v>
      </c>
      <c r="W15" s="74" t="s">
        <v>23</v>
      </c>
      <c r="X15" s="28" t="s">
        <v>22</v>
      </c>
      <c r="Y15" s="28" t="s">
        <v>22</v>
      </c>
      <c r="Z15" s="60" t="s">
        <v>21</v>
      </c>
      <c r="AA15" s="60" t="s">
        <v>21</v>
      </c>
      <c r="AB15" s="60" t="s">
        <v>21</v>
      </c>
      <c r="AC15" s="60" t="s">
        <v>21</v>
      </c>
      <c r="AD15" s="28" t="s">
        <v>22</v>
      </c>
      <c r="AE15" s="28" t="s">
        <v>22</v>
      </c>
      <c r="AF15" s="60" t="s">
        <v>21</v>
      </c>
      <c r="AG15" s="60" t="s">
        <v>21</v>
      </c>
      <c r="AH15" s="60" t="s">
        <v>21</v>
      </c>
      <c r="AI15" s="90" t="s">
        <v>21</v>
      </c>
      <c r="AJ15" s="19"/>
      <c r="AK15" s="20">
        <f>FEB!AJ15</f>
        <v>0</v>
      </c>
      <c r="AL15" s="21">
        <f t="shared" si="3"/>
        <v>0</v>
      </c>
      <c r="AM15" s="20">
        <f t="shared" si="4"/>
        <v>0</v>
      </c>
      <c r="AN15" s="19"/>
      <c r="AO15" s="20"/>
      <c r="AP15" s="21">
        <f t="shared" si="0"/>
        <v>0</v>
      </c>
      <c r="AQ15" s="20">
        <f t="shared" si="1"/>
        <v>0</v>
      </c>
      <c r="AR15" s="19"/>
      <c r="AS15" s="21">
        <f t="shared" si="2"/>
        <v>21</v>
      </c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</row>
    <row r="16" spans="2:60">
      <c r="B16" s="276"/>
      <c r="C16" s="22" t="s">
        <v>52</v>
      </c>
      <c r="D16" s="20" t="s">
        <v>53</v>
      </c>
      <c r="E16" s="28" t="s">
        <v>22</v>
      </c>
      <c r="F16" s="78" t="s">
        <v>29</v>
      </c>
      <c r="G16" s="78" t="s">
        <v>29</v>
      </c>
      <c r="H16" s="78" t="s">
        <v>29</v>
      </c>
      <c r="I16" s="78" t="s">
        <v>29</v>
      </c>
      <c r="J16" s="28" t="s">
        <v>22</v>
      </c>
      <c r="K16" s="28" t="s">
        <v>22</v>
      </c>
      <c r="L16" s="74" t="s">
        <v>23</v>
      </c>
      <c r="M16" s="74" t="s">
        <v>23</v>
      </c>
      <c r="N16" s="74" t="s">
        <v>23</v>
      </c>
      <c r="O16" s="74" t="s">
        <v>23</v>
      </c>
      <c r="P16" s="28" t="s">
        <v>22</v>
      </c>
      <c r="Q16" s="28" t="s">
        <v>22</v>
      </c>
      <c r="R16" s="60" t="s">
        <v>21</v>
      </c>
      <c r="S16" s="60" t="s">
        <v>21</v>
      </c>
      <c r="T16" s="60" t="s">
        <v>21</v>
      </c>
      <c r="U16" s="60" t="s">
        <v>21</v>
      </c>
      <c r="V16" s="28" t="s">
        <v>22</v>
      </c>
      <c r="W16" s="28" t="s">
        <v>22</v>
      </c>
      <c r="X16" s="74" t="s">
        <v>23</v>
      </c>
      <c r="Y16" s="74" t="s">
        <v>23</v>
      </c>
      <c r="Z16" s="74" t="s">
        <v>23</v>
      </c>
      <c r="AA16" s="74" t="s">
        <v>23</v>
      </c>
      <c r="AB16" s="28" t="s">
        <v>22</v>
      </c>
      <c r="AC16" s="28" t="s">
        <v>22</v>
      </c>
      <c r="AD16" s="60" t="s">
        <v>21</v>
      </c>
      <c r="AE16" s="60" t="s">
        <v>21</v>
      </c>
      <c r="AF16" s="60" t="s">
        <v>21</v>
      </c>
      <c r="AG16" s="60" t="s">
        <v>21</v>
      </c>
      <c r="AH16" s="28" t="s">
        <v>22</v>
      </c>
      <c r="AI16" s="91" t="s">
        <v>22</v>
      </c>
      <c r="AJ16" s="19"/>
      <c r="AK16" s="20">
        <f>FEB!AJ16</f>
        <v>0</v>
      </c>
      <c r="AL16" s="21">
        <f t="shared" si="3"/>
        <v>0</v>
      </c>
      <c r="AM16" s="20">
        <f t="shared" si="4"/>
        <v>0</v>
      </c>
      <c r="AN16" s="19"/>
      <c r="AO16" s="20"/>
      <c r="AP16" s="21">
        <f t="shared" si="0"/>
        <v>0</v>
      </c>
      <c r="AQ16" s="20">
        <f t="shared" si="1"/>
        <v>0</v>
      </c>
      <c r="AR16" s="19"/>
      <c r="AS16" s="21">
        <f t="shared" si="2"/>
        <v>20</v>
      </c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</row>
    <row r="17" spans="2:60" ht="15" customHeight="1">
      <c r="B17" s="276"/>
      <c r="C17" s="22" t="s">
        <v>54</v>
      </c>
      <c r="D17" s="20" t="s">
        <v>55</v>
      </c>
      <c r="E17" s="60" t="s">
        <v>21</v>
      </c>
      <c r="F17" s="60" t="s">
        <v>21</v>
      </c>
      <c r="G17" s="60" t="s">
        <v>21</v>
      </c>
      <c r="H17" s="28" t="s">
        <v>22</v>
      </c>
      <c r="I17" s="28" t="s">
        <v>22</v>
      </c>
      <c r="J17" s="78" t="s">
        <v>29</v>
      </c>
      <c r="K17" s="78" t="s">
        <v>29</v>
      </c>
      <c r="L17" s="78" t="s">
        <v>29</v>
      </c>
      <c r="M17" s="78" t="s">
        <v>29</v>
      </c>
      <c r="N17" s="28" t="s">
        <v>22</v>
      </c>
      <c r="O17" s="28" t="s">
        <v>22</v>
      </c>
      <c r="P17" s="74" t="s">
        <v>23</v>
      </c>
      <c r="Q17" s="74" t="s">
        <v>23</v>
      </c>
      <c r="R17" s="74" t="s">
        <v>23</v>
      </c>
      <c r="S17" s="74" t="s">
        <v>23</v>
      </c>
      <c r="T17" s="28" t="s">
        <v>22</v>
      </c>
      <c r="U17" s="28" t="s">
        <v>22</v>
      </c>
      <c r="V17" s="60" t="s">
        <v>21</v>
      </c>
      <c r="W17" s="60" t="s">
        <v>21</v>
      </c>
      <c r="X17" s="60" t="s">
        <v>21</v>
      </c>
      <c r="Y17" s="60" t="s">
        <v>21</v>
      </c>
      <c r="Z17" s="28" t="s">
        <v>22</v>
      </c>
      <c r="AA17" s="28" t="s">
        <v>22</v>
      </c>
      <c r="AB17" s="74" t="s">
        <v>23</v>
      </c>
      <c r="AC17" s="74" t="s">
        <v>23</v>
      </c>
      <c r="AD17" s="74" t="s">
        <v>23</v>
      </c>
      <c r="AE17" s="74" t="s">
        <v>23</v>
      </c>
      <c r="AF17" s="28" t="s">
        <v>22</v>
      </c>
      <c r="AG17" s="28" t="s">
        <v>22</v>
      </c>
      <c r="AH17" s="60" t="s">
        <v>21</v>
      </c>
      <c r="AI17" s="90" t="s">
        <v>21</v>
      </c>
      <c r="AJ17" s="19"/>
      <c r="AK17" s="20">
        <f>FEB!AJ17</f>
        <v>0</v>
      </c>
      <c r="AL17" s="21">
        <f t="shared" si="3"/>
        <v>0</v>
      </c>
      <c r="AM17" s="20">
        <f t="shared" si="4"/>
        <v>0</v>
      </c>
      <c r="AN17" s="19"/>
      <c r="AO17" s="20"/>
      <c r="AP17" s="21">
        <f t="shared" si="0"/>
        <v>0</v>
      </c>
      <c r="AQ17" s="20">
        <f t="shared" si="1"/>
        <v>0</v>
      </c>
      <c r="AR17" s="19"/>
      <c r="AS17" s="21">
        <f t="shared" si="2"/>
        <v>21</v>
      </c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</row>
    <row r="18" spans="2:60">
      <c r="B18" s="276"/>
      <c r="C18" s="22" t="s">
        <v>56</v>
      </c>
      <c r="D18" s="20" t="s">
        <v>57</v>
      </c>
      <c r="E18" s="60" t="s">
        <v>21</v>
      </c>
      <c r="F18" s="28" t="s">
        <v>22</v>
      </c>
      <c r="G18" s="28" t="s">
        <v>22</v>
      </c>
      <c r="H18" s="60" t="s">
        <v>21</v>
      </c>
      <c r="I18" s="60" t="s">
        <v>21</v>
      </c>
      <c r="J18" s="60" t="s">
        <v>21</v>
      </c>
      <c r="K18" s="60" t="s">
        <v>21</v>
      </c>
      <c r="L18" s="28" t="s">
        <v>22</v>
      </c>
      <c r="M18" s="28" t="s">
        <v>22</v>
      </c>
      <c r="N18" s="78" t="s">
        <v>29</v>
      </c>
      <c r="O18" s="78" t="s">
        <v>29</v>
      </c>
      <c r="P18" s="78" t="s">
        <v>29</v>
      </c>
      <c r="Q18" s="78" t="s">
        <v>29</v>
      </c>
      <c r="R18" s="28" t="s">
        <v>22</v>
      </c>
      <c r="S18" s="28" t="s">
        <v>22</v>
      </c>
      <c r="T18" s="74" t="s">
        <v>23</v>
      </c>
      <c r="U18" s="74" t="s">
        <v>23</v>
      </c>
      <c r="V18" s="74" t="s">
        <v>23</v>
      </c>
      <c r="W18" s="74" t="s">
        <v>23</v>
      </c>
      <c r="X18" s="28" t="s">
        <v>22</v>
      </c>
      <c r="Y18" s="28" t="s">
        <v>22</v>
      </c>
      <c r="Z18" s="76" t="s">
        <v>33</v>
      </c>
      <c r="AA18" s="76" t="s">
        <v>33</v>
      </c>
      <c r="AB18" s="76" t="s">
        <v>33</v>
      </c>
      <c r="AC18" s="76" t="s">
        <v>33</v>
      </c>
      <c r="AD18" s="28" t="s">
        <v>22</v>
      </c>
      <c r="AE18" s="75" t="s">
        <v>26</v>
      </c>
      <c r="AF18" s="75" t="s">
        <v>176</v>
      </c>
      <c r="AG18" s="76" t="s">
        <v>33</v>
      </c>
      <c r="AH18" s="76" t="s">
        <v>33</v>
      </c>
      <c r="AI18" s="163" t="s">
        <v>33</v>
      </c>
      <c r="AJ18" s="19"/>
      <c r="AK18" s="20">
        <f>FEB!AJ18</f>
        <v>13</v>
      </c>
      <c r="AL18" s="21">
        <f t="shared" si="3"/>
        <v>7</v>
      </c>
      <c r="AM18" s="20">
        <f t="shared" si="4"/>
        <v>6</v>
      </c>
      <c r="AN18" s="19"/>
      <c r="AO18" s="20"/>
      <c r="AP18" s="21">
        <f t="shared" si="0"/>
        <v>0</v>
      </c>
      <c r="AQ18" s="20">
        <f t="shared" si="1"/>
        <v>0</v>
      </c>
      <c r="AR18" s="19"/>
      <c r="AS18" s="21">
        <f t="shared" si="2"/>
        <v>13</v>
      </c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</row>
    <row r="19" spans="2:60">
      <c r="B19" s="276"/>
      <c r="C19" s="20" t="s">
        <v>58</v>
      </c>
      <c r="D19" s="20" t="s">
        <v>59</v>
      </c>
      <c r="E19" s="28" t="s">
        <v>22</v>
      </c>
      <c r="F19" s="60" t="s">
        <v>21</v>
      </c>
      <c r="G19" s="60" t="s">
        <v>21</v>
      </c>
      <c r="H19" s="60" t="s">
        <v>21</v>
      </c>
      <c r="I19" s="60" t="s">
        <v>21</v>
      </c>
      <c r="J19" s="28" t="s">
        <v>22</v>
      </c>
      <c r="K19" s="28" t="s">
        <v>22</v>
      </c>
      <c r="L19" s="74" t="s">
        <v>23</v>
      </c>
      <c r="M19" s="74" t="s">
        <v>23</v>
      </c>
      <c r="N19" s="74" t="s">
        <v>23</v>
      </c>
      <c r="O19" s="74" t="s">
        <v>23</v>
      </c>
      <c r="P19" s="28" t="s">
        <v>22</v>
      </c>
      <c r="Q19" s="28" t="s">
        <v>22</v>
      </c>
      <c r="R19" s="78" t="s">
        <v>29</v>
      </c>
      <c r="S19" s="78" t="s">
        <v>29</v>
      </c>
      <c r="T19" s="78" t="s">
        <v>29</v>
      </c>
      <c r="U19" s="78" t="s">
        <v>29</v>
      </c>
      <c r="V19" s="28" t="s">
        <v>22</v>
      </c>
      <c r="W19" s="28" t="s">
        <v>22</v>
      </c>
      <c r="X19" s="74" t="s">
        <v>23</v>
      </c>
      <c r="Y19" s="74" t="s">
        <v>23</v>
      </c>
      <c r="Z19" s="74" t="s">
        <v>23</v>
      </c>
      <c r="AA19" s="74" t="s">
        <v>23</v>
      </c>
      <c r="AB19" s="28" t="s">
        <v>22</v>
      </c>
      <c r="AC19" s="28" t="s">
        <v>22</v>
      </c>
      <c r="AD19" s="60" t="s">
        <v>21</v>
      </c>
      <c r="AE19" s="60" t="s">
        <v>21</v>
      </c>
      <c r="AF19" s="60" t="s">
        <v>21</v>
      </c>
      <c r="AG19" s="60" t="s">
        <v>21</v>
      </c>
      <c r="AH19" s="28" t="s">
        <v>22</v>
      </c>
      <c r="AI19" s="91" t="s">
        <v>22</v>
      </c>
      <c r="AJ19" s="19"/>
      <c r="AK19" s="20">
        <f>FEB!AJ19</f>
        <v>0</v>
      </c>
      <c r="AL19" s="21">
        <f t="shared" si="3"/>
        <v>0</v>
      </c>
      <c r="AM19" s="20">
        <f t="shared" si="4"/>
        <v>0</v>
      </c>
      <c r="AN19" s="19"/>
      <c r="AO19" s="26"/>
      <c r="AP19" s="21">
        <f t="shared" si="0"/>
        <v>0</v>
      </c>
      <c r="AQ19" s="44">
        <f t="shared" si="1"/>
        <v>0</v>
      </c>
      <c r="AR19" s="19"/>
      <c r="AS19" s="21">
        <f t="shared" si="2"/>
        <v>20</v>
      </c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</row>
    <row r="20" spans="2:60">
      <c r="B20" s="276"/>
      <c r="C20" s="22" t="s">
        <v>60</v>
      </c>
      <c r="D20" s="20" t="s">
        <v>61</v>
      </c>
      <c r="E20" s="74" t="s">
        <v>23</v>
      </c>
      <c r="F20" s="74" t="s">
        <v>23</v>
      </c>
      <c r="G20" s="74" t="s">
        <v>23</v>
      </c>
      <c r="H20" s="28" t="s">
        <v>22</v>
      </c>
      <c r="I20" s="28" t="s">
        <v>22</v>
      </c>
      <c r="J20" s="60" t="s">
        <v>21</v>
      </c>
      <c r="K20" s="60" t="s">
        <v>21</v>
      </c>
      <c r="L20" s="60" t="s">
        <v>21</v>
      </c>
      <c r="M20" s="60" t="s">
        <v>21</v>
      </c>
      <c r="N20" s="28" t="s">
        <v>22</v>
      </c>
      <c r="O20" s="28" t="s">
        <v>22</v>
      </c>
      <c r="P20" s="74" t="s">
        <v>23</v>
      </c>
      <c r="Q20" s="74" t="s">
        <v>23</v>
      </c>
      <c r="R20" s="74" t="s">
        <v>23</v>
      </c>
      <c r="S20" s="74" t="s">
        <v>23</v>
      </c>
      <c r="T20" s="28" t="s">
        <v>22</v>
      </c>
      <c r="U20" s="28" t="s">
        <v>22</v>
      </c>
      <c r="V20" s="78" t="s">
        <v>29</v>
      </c>
      <c r="W20" s="78" t="s">
        <v>29</v>
      </c>
      <c r="X20" s="78" t="s">
        <v>29</v>
      </c>
      <c r="Y20" s="78" t="s">
        <v>29</v>
      </c>
      <c r="Z20" s="28" t="s">
        <v>22</v>
      </c>
      <c r="AA20" s="28" t="s">
        <v>22</v>
      </c>
      <c r="AB20" s="74" t="s">
        <v>23</v>
      </c>
      <c r="AC20" s="74" t="s">
        <v>23</v>
      </c>
      <c r="AD20" s="74" t="s">
        <v>23</v>
      </c>
      <c r="AE20" s="74" t="s">
        <v>23</v>
      </c>
      <c r="AF20" s="28" t="s">
        <v>22</v>
      </c>
      <c r="AG20" s="28" t="s">
        <v>22</v>
      </c>
      <c r="AH20" s="60" t="s">
        <v>21</v>
      </c>
      <c r="AI20" s="90" t="s">
        <v>21</v>
      </c>
      <c r="AJ20" s="19"/>
      <c r="AK20" s="20">
        <f>FEB!AJ20</f>
        <v>0</v>
      </c>
      <c r="AL20" s="21">
        <f t="shared" si="3"/>
        <v>0</v>
      </c>
      <c r="AM20" s="20">
        <f t="shared" si="4"/>
        <v>0</v>
      </c>
      <c r="AN20" s="19"/>
      <c r="AO20" s="20"/>
      <c r="AP20" s="21">
        <f t="shared" si="0"/>
        <v>0</v>
      </c>
      <c r="AQ20" s="20">
        <f t="shared" si="1"/>
        <v>0</v>
      </c>
      <c r="AR20" s="19"/>
      <c r="AS20" s="21">
        <f t="shared" si="2"/>
        <v>21</v>
      </c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</row>
    <row r="21" spans="2:60">
      <c r="B21" s="276"/>
      <c r="C21" s="20" t="s">
        <v>62</v>
      </c>
      <c r="D21" s="20" t="s">
        <v>63</v>
      </c>
      <c r="E21" s="60" t="s">
        <v>21</v>
      </c>
      <c r="F21" s="28" t="s">
        <v>22</v>
      </c>
      <c r="G21" s="28" t="s">
        <v>22</v>
      </c>
      <c r="H21" s="74" t="s">
        <v>23</v>
      </c>
      <c r="I21" s="74" t="s">
        <v>23</v>
      </c>
      <c r="J21" s="74" t="s">
        <v>23</v>
      </c>
      <c r="K21" s="74" t="s">
        <v>23</v>
      </c>
      <c r="L21" s="28" t="s">
        <v>22</v>
      </c>
      <c r="M21" s="28" t="s">
        <v>22</v>
      </c>
      <c r="N21" s="60" t="s">
        <v>21</v>
      </c>
      <c r="O21" s="60" t="s">
        <v>21</v>
      </c>
      <c r="P21" s="60" t="s">
        <v>21</v>
      </c>
      <c r="Q21" s="60" t="s">
        <v>21</v>
      </c>
      <c r="R21" s="28" t="s">
        <v>22</v>
      </c>
      <c r="S21" s="28" t="s">
        <v>22</v>
      </c>
      <c r="T21" s="74" t="s">
        <v>23</v>
      </c>
      <c r="U21" s="74" t="s">
        <v>23</v>
      </c>
      <c r="V21" s="74" t="s">
        <v>23</v>
      </c>
      <c r="W21" s="74" t="s">
        <v>23</v>
      </c>
      <c r="X21" s="28" t="s">
        <v>22</v>
      </c>
      <c r="Y21" s="28" t="s">
        <v>22</v>
      </c>
      <c r="Z21" s="78" t="s">
        <v>29</v>
      </c>
      <c r="AA21" s="78" t="s">
        <v>29</v>
      </c>
      <c r="AB21" s="78" t="s">
        <v>29</v>
      </c>
      <c r="AC21" s="78" t="s">
        <v>29</v>
      </c>
      <c r="AD21" s="28" t="s">
        <v>22</v>
      </c>
      <c r="AE21" s="28" t="s">
        <v>22</v>
      </c>
      <c r="AF21" s="74" t="s">
        <v>23</v>
      </c>
      <c r="AG21" s="74" t="s">
        <v>23</v>
      </c>
      <c r="AH21" s="74" t="s">
        <v>23</v>
      </c>
      <c r="AI21" s="89" t="s">
        <v>23</v>
      </c>
      <c r="AJ21" s="19"/>
      <c r="AK21" s="20">
        <f>FEB!AJ21</f>
        <v>0</v>
      </c>
      <c r="AL21" s="21">
        <f t="shared" si="3"/>
        <v>0</v>
      </c>
      <c r="AM21" s="20">
        <f t="shared" si="4"/>
        <v>0</v>
      </c>
      <c r="AN21" s="19"/>
      <c r="AO21" s="20"/>
      <c r="AP21" s="21">
        <f t="shared" si="0"/>
        <v>0</v>
      </c>
      <c r="AQ21" s="20">
        <f t="shared" si="1"/>
        <v>0</v>
      </c>
      <c r="AR21" s="19"/>
      <c r="AS21" s="21">
        <f t="shared" si="2"/>
        <v>21</v>
      </c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</row>
    <row r="22" spans="2:60">
      <c r="B22" s="276"/>
      <c r="C22" s="86" t="s">
        <v>64</v>
      </c>
      <c r="D22" s="87" t="s">
        <v>65</v>
      </c>
      <c r="E22" s="28" t="s">
        <v>22</v>
      </c>
      <c r="F22" s="60" t="s">
        <v>21</v>
      </c>
      <c r="G22" s="60" t="s">
        <v>21</v>
      </c>
      <c r="H22" s="60" t="s">
        <v>21</v>
      </c>
      <c r="I22" s="60" t="s">
        <v>21</v>
      </c>
      <c r="J22" s="28" t="s">
        <v>22</v>
      </c>
      <c r="K22" s="28" t="s">
        <v>22</v>
      </c>
      <c r="L22" s="74" t="s">
        <v>23</v>
      </c>
      <c r="M22" s="74" t="s">
        <v>23</v>
      </c>
      <c r="N22" s="74" t="s">
        <v>23</v>
      </c>
      <c r="O22" s="74" t="s">
        <v>23</v>
      </c>
      <c r="P22" s="28" t="s">
        <v>22</v>
      </c>
      <c r="Q22" s="28" t="s">
        <v>22</v>
      </c>
      <c r="R22" s="60" t="s">
        <v>21</v>
      </c>
      <c r="S22" s="60" t="s">
        <v>21</v>
      </c>
      <c r="T22" s="60" t="s">
        <v>21</v>
      </c>
      <c r="U22" s="60" t="s">
        <v>21</v>
      </c>
      <c r="V22" s="28" t="s">
        <v>22</v>
      </c>
      <c r="W22" s="28" t="s">
        <v>22</v>
      </c>
      <c r="X22" s="76" t="s">
        <v>33</v>
      </c>
      <c r="Y22" s="74" t="s">
        <v>23</v>
      </c>
      <c r="Z22" s="74" t="s">
        <v>23</v>
      </c>
      <c r="AA22" s="74" t="s">
        <v>23</v>
      </c>
      <c r="AB22" s="28" t="s">
        <v>22</v>
      </c>
      <c r="AC22" s="28" t="s">
        <v>22</v>
      </c>
      <c r="AD22" s="78" t="s">
        <v>29</v>
      </c>
      <c r="AE22" s="78" t="s">
        <v>29</v>
      </c>
      <c r="AF22" s="78" t="s">
        <v>29</v>
      </c>
      <c r="AG22" s="78" t="s">
        <v>29</v>
      </c>
      <c r="AH22" s="28" t="s">
        <v>22</v>
      </c>
      <c r="AI22" s="91" t="s">
        <v>22</v>
      </c>
      <c r="AJ22" s="19"/>
      <c r="AK22" s="20">
        <f>FEB!AJ22</f>
        <v>1</v>
      </c>
      <c r="AL22" s="21">
        <f t="shared" si="3"/>
        <v>1</v>
      </c>
      <c r="AM22" s="20">
        <f t="shared" si="4"/>
        <v>0</v>
      </c>
      <c r="AN22" s="19"/>
      <c r="AO22" s="20"/>
      <c r="AP22" s="21">
        <f t="shared" si="0"/>
        <v>0</v>
      </c>
      <c r="AQ22" s="20">
        <f t="shared" si="1"/>
        <v>0</v>
      </c>
      <c r="AR22" s="19"/>
      <c r="AS22" s="21">
        <f t="shared" si="2"/>
        <v>19</v>
      </c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</row>
    <row r="23" spans="2:60" ht="15" customHeight="1">
      <c r="B23" s="276"/>
      <c r="C23" s="20" t="s">
        <v>68</v>
      </c>
      <c r="D23" s="20" t="s">
        <v>69</v>
      </c>
      <c r="E23" s="74" t="s">
        <v>23</v>
      </c>
      <c r="F23" s="74" t="s">
        <v>23</v>
      </c>
      <c r="G23" s="74" t="s">
        <v>23</v>
      </c>
      <c r="H23" s="28" t="s">
        <v>22</v>
      </c>
      <c r="I23" s="28" t="s">
        <v>22</v>
      </c>
      <c r="J23" s="60" t="s">
        <v>21</v>
      </c>
      <c r="K23" s="60" t="s">
        <v>21</v>
      </c>
      <c r="L23" s="60" t="s">
        <v>21</v>
      </c>
      <c r="M23" s="60" t="s">
        <v>21</v>
      </c>
      <c r="N23" s="28" t="s">
        <v>22</v>
      </c>
      <c r="O23" s="28" t="s">
        <v>22</v>
      </c>
      <c r="P23" s="60" t="s">
        <v>21</v>
      </c>
      <c r="Q23" s="60" t="s">
        <v>21</v>
      </c>
      <c r="R23" s="60" t="s">
        <v>21</v>
      </c>
      <c r="S23" s="60" t="s">
        <v>21</v>
      </c>
      <c r="T23" s="28" t="s">
        <v>22</v>
      </c>
      <c r="U23" s="28" t="s">
        <v>22</v>
      </c>
      <c r="V23" s="78" t="s">
        <v>29</v>
      </c>
      <c r="W23" s="78" t="s">
        <v>29</v>
      </c>
      <c r="X23" s="78" t="s">
        <v>29</v>
      </c>
      <c r="Y23" s="78" t="s">
        <v>29</v>
      </c>
      <c r="Z23" s="28" t="s">
        <v>22</v>
      </c>
      <c r="AA23" s="28" t="s">
        <v>22</v>
      </c>
      <c r="AB23" s="74" t="s">
        <v>23</v>
      </c>
      <c r="AC23" s="74" t="s">
        <v>23</v>
      </c>
      <c r="AD23" s="74" t="s">
        <v>23</v>
      </c>
      <c r="AE23" s="74" t="s">
        <v>23</v>
      </c>
      <c r="AF23" s="28" t="s">
        <v>22</v>
      </c>
      <c r="AG23" s="28" t="s">
        <v>22</v>
      </c>
      <c r="AH23" s="78" t="s">
        <v>29</v>
      </c>
      <c r="AI23" s="107" t="s">
        <v>29</v>
      </c>
      <c r="AJ23" s="19"/>
      <c r="AK23" s="20">
        <f>FEB!AJ23</f>
        <v>3</v>
      </c>
      <c r="AL23" s="21">
        <f t="shared" si="3"/>
        <v>0</v>
      </c>
      <c r="AM23" s="20">
        <f t="shared" si="4"/>
        <v>3</v>
      </c>
      <c r="AN23" s="19"/>
      <c r="AO23" s="20"/>
      <c r="AP23" s="21">
        <f t="shared" si="0"/>
        <v>0</v>
      </c>
      <c r="AQ23" s="20">
        <f t="shared" si="1"/>
        <v>0</v>
      </c>
      <c r="AR23" s="19"/>
      <c r="AS23" s="21">
        <f t="shared" si="2"/>
        <v>21</v>
      </c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</row>
    <row r="24" spans="2:60">
      <c r="B24" s="276"/>
      <c r="C24" s="108" t="s">
        <v>70</v>
      </c>
      <c r="D24" s="109" t="s">
        <v>71</v>
      </c>
      <c r="E24" s="111" t="s">
        <v>21</v>
      </c>
      <c r="F24" s="110" t="s">
        <v>22</v>
      </c>
      <c r="G24" s="110" t="s">
        <v>22</v>
      </c>
      <c r="H24" s="112" t="s">
        <v>23</v>
      </c>
      <c r="I24" s="112" t="s">
        <v>23</v>
      </c>
      <c r="J24" s="188" t="s">
        <v>84</v>
      </c>
      <c r="K24" s="111" t="s">
        <v>21</v>
      </c>
      <c r="L24" s="110" t="s">
        <v>22</v>
      </c>
      <c r="M24" s="110" t="s">
        <v>22</v>
      </c>
      <c r="N24" s="111" t="s">
        <v>21</v>
      </c>
      <c r="O24" s="111" t="s">
        <v>21</v>
      </c>
      <c r="P24" s="111" t="s">
        <v>21</v>
      </c>
      <c r="Q24" s="111" t="s">
        <v>21</v>
      </c>
      <c r="R24" s="110" t="s">
        <v>22</v>
      </c>
      <c r="S24" s="110" t="s">
        <v>22</v>
      </c>
      <c r="T24" s="112" t="s">
        <v>23</v>
      </c>
      <c r="U24" s="112" t="s">
        <v>23</v>
      </c>
      <c r="V24" s="112" t="s">
        <v>23</v>
      </c>
      <c r="W24" s="112" t="s">
        <v>23</v>
      </c>
      <c r="X24" s="110" t="s">
        <v>22</v>
      </c>
      <c r="Y24" s="110" t="s">
        <v>22</v>
      </c>
      <c r="Z24" s="111" t="s">
        <v>21</v>
      </c>
      <c r="AA24" s="111" t="s">
        <v>21</v>
      </c>
      <c r="AB24" s="111" t="s">
        <v>21</v>
      </c>
      <c r="AC24" s="111" t="s">
        <v>21</v>
      </c>
      <c r="AD24" s="110" t="s">
        <v>22</v>
      </c>
      <c r="AE24" s="110" t="s">
        <v>22</v>
      </c>
      <c r="AF24" s="112" t="s">
        <v>23</v>
      </c>
      <c r="AG24" s="112" t="s">
        <v>23</v>
      </c>
      <c r="AH24" s="112" t="s">
        <v>23</v>
      </c>
      <c r="AI24" s="125" t="s">
        <v>23</v>
      </c>
      <c r="AJ24" s="19"/>
      <c r="AK24" s="20">
        <f>FEB!AJ24</f>
        <v>0</v>
      </c>
      <c r="AL24" s="21">
        <f t="shared" si="3"/>
        <v>0</v>
      </c>
      <c r="AM24" s="20">
        <f t="shared" si="4"/>
        <v>0</v>
      </c>
      <c r="AN24" s="19"/>
      <c r="AO24" s="20"/>
      <c r="AP24" s="21">
        <f t="shared" si="0"/>
        <v>0</v>
      </c>
      <c r="AQ24" s="20">
        <f t="shared" si="1"/>
        <v>0</v>
      </c>
      <c r="AR24" s="19"/>
      <c r="AS24" s="21">
        <f t="shared" si="2"/>
        <v>21</v>
      </c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</row>
    <row r="25" spans="2:60" ht="15" customHeight="1">
      <c r="B25" s="280" t="s">
        <v>72</v>
      </c>
      <c r="C25" s="88" t="s">
        <v>73</v>
      </c>
      <c r="D25" s="88" t="s">
        <v>74</v>
      </c>
      <c r="E25" s="103" t="s">
        <v>22</v>
      </c>
      <c r="F25" s="104" t="s">
        <v>21</v>
      </c>
      <c r="G25" s="104" t="s">
        <v>21</v>
      </c>
      <c r="H25" s="104" t="s">
        <v>21</v>
      </c>
      <c r="I25" s="104" t="s">
        <v>21</v>
      </c>
      <c r="J25" s="103" t="s">
        <v>22</v>
      </c>
      <c r="K25" s="103" t="s">
        <v>22</v>
      </c>
      <c r="L25" s="102" t="s">
        <v>23</v>
      </c>
      <c r="M25" s="102" t="s">
        <v>23</v>
      </c>
      <c r="N25" s="102" t="s">
        <v>23</v>
      </c>
      <c r="O25" s="102" t="s">
        <v>23</v>
      </c>
      <c r="P25" s="103" t="s">
        <v>22</v>
      </c>
      <c r="Q25" s="103" t="s">
        <v>22</v>
      </c>
      <c r="R25" s="104" t="s">
        <v>21</v>
      </c>
      <c r="S25" s="104" t="s">
        <v>21</v>
      </c>
      <c r="T25" s="104" t="s">
        <v>21</v>
      </c>
      <c r="U25" s="104" t="s">
        <v>21</v>
      </c>
      <c r="V25" s="103" t="s">
        <v>22</v>
      </c>
      <c r="W25" s="103" t="s">
        <v>22</v>
      </c>
      <c r="X25" s="104" t="s">
        <v>21</v>
      </c>
      <c r="Y25" s="104" t="s">
        <v>21</v>
      </c>
      <c r="Z25" s="104" t="s">
        <v>21</v>
      </c>
      <c r="AA25" s="104" t="s">
        <v>21</v>
      </c>
      <c r="AB25" s="103" t="s">
        <v>22</v>
      </c>
      <c r="AC25" s="103" t="s">
        <v>22</v>
      </c>
      <c r="AD25" s="115" t="s">
        <v>29</v>
      </c>
      <c r="AE25" s="115" t="s">
        <v>29</v>
      </c>
      <c r="AF25" s="115" t="s">
        <v>29</v>
      </c>
      <c r="AG25" s="115" t="s">
        <v>29</v>
      </c>
      <c r="AH25" s="103" t="s">
        <v>22</v>
      </c>
      <c r="AI25" s="120" t="s">
        <v>22</v>
      </c>
      <c r="AJ25" s="19"/>
      <c r="AK25" s="20">
        <f>FEB!AJ25</f>
        <v>0</v>
      </c>
      <c r="AL25" s="21">
        <f t="shared" si="3"/>
        <v>0</v>
      </c>
      <c r="AM25" s="20">
        <f t="shared" si="4"/>
        <v>0</v>
      </c>
      <c r="AN25" s="19"/>
      <c r="AO25" s="20"/>
      <c r="AP25" s="21">
        <f t="shared" si="0"/>
        <v>0</v>
      </c>
      <c r="AQ25" s="20">
        <f t="shared" si="1"/>
        <v>0</v>
      </c>
      <c r="AR25" s="19"/>
      <c r="AS25" s="21">
        <f t="shared" si="2"/>
        <v>20</v>
      </c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</row>
    <row r="26" spans="2:60">
      <c r="B26" s="276"/>
      <c r="C26" s="22" t="s">
        <v>75</v>
      </c>
      <c r="D26" s="20" t="s">
        <v>76</v>
      </c>
      <c r="E26" s="74" t="s">
        <v>23</v>
      </c>
      <c r="F26" s="74" t="s">
        <v>23</v>
      </c>
      <c r="G26" s="74" t="s">
        <v>23</v>
      </c>
      <c r="H26" s="28" t="s">
        <v>22</v>
      </c>
      <c r="I26" s="28" t="s">
        <v>22</v>
      </c>
      <c r="J26" s="60" t="s">
        <v>21</v>
      </c>
      <c r="K26" s="60" t="s">
        <v>21</v>
      </c>
      <c r="L26" s="60" t="s">
        <v>21</v>
      </c>
      <c r="M26" s="60" t="s">
        <v>21</v>
      </c>
      <c r="N26" s="28" t="s">
        <v>22</v>
      </c>
      <c r="O26" s="28" t="s">
        <v>22</v>
      </c>
      <c r="P26" s="74" t="s">
        <v>23</v>
      </c>
      <c r="Q26" s="74" t="s">
        <v>23</v>
      </c>
      <c r="R26" s="74" t="s">
        <v>23</v>
      </c>
      <c r="S26" s="74" t="s">
        <v>23</v>
      </c>
      <c r="T26" s="28" t="s">
        <v>22</v>
      </c>
      <c r="U26" s="28" t="s">
        <v>22</v>
      </c>
      <c r="V26" s="60" t="s">
        <v>21</v>
      </c>
      <c r="W26" s="60" t="s">
        <v>21</v>
      </c>
      <c r="X26" s="60" t="s">
        <v>21</v>
      </c>
      <c r="Y26" s="60" t="s">
        <v>21</v>
      </c>
      <c r="Z26" s="28" t="s">
        <v>22</v>
      </c>
      <c r="AA26" s="28" t="s">
        <v>22</v>
      </c>
      <c r="AB26" s="74" t="s">
        <v>23</v>
      </c>
      <c r="AC26" s="74" t="s">
        <v>23</v>
      </c>
      <c r="AD26" s="74" t="s">
        <v>23</v>
      </c>
      <c r="AE26" s="74" t="s">
        <v>23</v>
      </c>
      <c r="AF26" s="28" t="s">
        <v>22</v>
      </c>
      <c r="AG26" s="28" t="s">
        <v>22</v>
      </c>
      <c r="AH26" s="78" t="s">
        <v>29</v>
      </c>
      <c r="AI26" s="107" t="s">
        <v>29</v>
      </c>
      <c r="AJ26" s="19"/>
      <c r="AK26" s="20">
        <f>FEB!AJ26</f>
        <v>0</v>
      </c>
      <c r="AL26" s="21">
        <f t="shared" si="3"/>
        <v>0</v>
      </c>
      <c r="AM26" s="20">
        <f t="shared" si="4"/>
        <v>0</v>
      </c>
      <c r="AN26" s="19"/>
      <c r="AO26" s="20"/>
      <c r="AP26" s="21">
        <f t="shared" si="0"/>
        <v>0</v>
      </c>
      <c r="AQ26" s="20">
        <f t="shared" si="1"/>
        <v>0</v>
      </c>
      <c r="AR26" s="19"/>
      <c r="AS26" s="21">
        <f t="shared" si="2"/>
        <v>21</v>
      </c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</row>
    <row r="27" spans="2:60">
      <c r="B27" s="276"/>
      <c r="C27" s="22" t="s">
        <v>77</v>
      </c>
      <c r="D27" s="20" t="s">
        <v>78</v>
      </c>
      <c r="E27" s="28" t="s">
        <v>22</v>
      </c>
      <c r="F27" s="78" t="s">
        <v>29</v>
      </c>
      <c r="G27" s="78" t="s">
        <v>29</v>
      </c>
      <c r="H27" s="78" t="s">
        <v>29</v>
      </c>
      <c r="I27" s="78" t="s">
        <v>29</v>
      </c>
      <c r="J27" s="28" t="s">
        <v>22</v>
      </c>
      <c r="K27" s="28" t="s">
        <v>22</v>
      </c>
      <c r="L27" s="74" t="s">
        <v>23</v>
      </c>
      <c r="M27" s="74" t="s">
        <v>23</v>
      </c>
      <c r="N27" s="74" t="s">
        <v>23</v>
      </c>
      <c r="O27" s="74" t="s">
        <v>23</v>
      </c>
      <c r="P27" s="28" t="s">
        <v>22</v>
      </c>
      <c r="Q27" s="28" t="s">
        <v>22</v>
      </c>
      <c r="R27" s="60" t="s">
        <v>21</v>
      </c>
      <c r="S27" s="60" t="s">
        <v>21</v>
      </c>
      <c r="T27" s="60" t="s">
        <v>21</v>
      </c>
      <c r="U27" s="60" t="s">
        <v>21</v>
      </c>
      <c r="V27" s="28" t="s">
        <v>22</v>
      </c>
      <c r="W27" s="28" t="s">
        <v>22</v>
      </c>
      <c r="X27" s="74" t="s">
        <v>23</v>
      </c>
      <c r="Y27" s="74" t="s">
        <v>23</v>
      </c>
      <c r="Z27" s="74" t="s">
        <v>23</v>
      </c>
      <c r="AA27" s="74" t="s">
        <v>23</v>
      </c>
      <c r="AB27" s="28" t="s">
        <v>22</v>
      </c>
      <c r="AC27" s="28" t="s">
        <v>22</v>
      </c>
      <c r="AD27" s="60" t="s">
        <v>21</v>
      </c>
      <c r="AE27" s="60" t="s">
        <v>21</v>
      </c>
      <c r="AF27" s="60" t="s">
        <v>21</v>
      </c>
      <c r="AG27" s="60" t="s">
        <v>21</v>
      </c>
      <c r="AH27" s="28" t="s">
        <v>22</v>
      </c>
      <c r="AI27" s="91" t="s">
        <v>22</v>
      </c>
      <c r="AJ27" s="19"/>
      <c r="AK27" s="20">
        <f>FEB!AJ27</f>
        <v>11</v>
      </c>
      <c r="AL27" s="21">
        <f t="shared" si="3"/>
        <v>0</v>
      </c>
      <c r="AM27" s="20">
        <f t="shared" si="4"/>
        <v>11</v>
      </c>
      <c r="AN27" s="19"/>
      <c r="AO27" s="20"/>
      <c r="AP27" s="21">
        <f t="shared" si="0"/>
        <v>0</v>
      </c>
      <c r="AQ27" s="20">
        <f t="shared" si="1"/>
        <v>0</v>
      </c>
      <c r="AR27" s="19"/>
      <c r="AS27" s="21">
        <f t="shared" si="2"/>
        <v>20</v>
      </c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</row>
    <row r="28" spans="2:60" ht="15" customHeight="1">
      <c r="B28" s="276"/>
      <c r="C28" s="20" t="s">
        <v>79</v>
      </c>
      <c r="D28" s="20" t="s">
        <v>80</v>
      </c>
      <c r="E28" s="60" t="s">
        <v>21</v>
      </c>
      <c r="F28" s="60" t="s">
        <v>21</v>
      </c>
      <c r="G28" s="60" t="s">
        <v>21</v>
      </c>
      <c r="H28" s="28" t="s">
        <v>22</v>
      </c>
      <c r="I28" s="28" t="s">
        <v>22</v>
      </c>
      <c r="J28" s="78" t="s">
        <v>29</v>
      </c>
      <c r="K28" s="78" t="s">
        <v>29</v>
      </c>
      <c r="L28" s="78" t="s">
        <v>29</v>
      </c>
      <c r="M28" s="78" t="s">
        <v>29</v>
      </c>
      <c r="N28" s="28" t="s">
        <v>22</v>
      </c>
      <c r="O28" s="28" t="s">
        <v>22</v>
      </c>
      <c r="P28" s="74" t="s">
        <v>23</v>
      </c>
      <c r="Q28" s="74" t="s">
        <v>23</v>
      </c>
      <c r="R28" s="74" t="s">
        <v>23</v>
      </c>
      <c r="S28" s="74" t="s">
        <v>23</v>
      </c>
      <c r="T28" s="28" t="s">
        <v>22</v>
      </c>
      <c r="U28" s="28" t="s">
        <v>22</v>
      </c>
      <c r="V28" s="74" t="s">
        <v>23</v>
      </c>
      <c r="W28" s="74" t="s">
        <v>23</v>
      </c>
      <c r="X28" s="74" t="s">
        <v>23</v>
      </c>
      <c r="Y28" s="74" t="s">
        <v>23</v>
      </c>
      <c r="Z28" s="28" t="s">
        <v>22</v>
      </c>
      <c r="AA28" s="28" t="s">
        <v>22</v>
      </c>
      <c r="AB28" s="74" t="s">
        <v>23</v>
      </c>
      <c r="AC28" s="74" t="s">
        <v>23</v>
      </c>
      <c r="AD28" s="74" t="s">
        <v>23</v>
      </c>
      <c r="AE28" s="74" t="s">
        <v>23</v>
      </c>
      <c r="AF28" s="28" t="s">
        <v>22</v>
      </c>
      <c r="AG28" s="28" t="s">
        <v>22</v>
      </c>
      <c r="AH28" s="60" t="s">
        <v>21</v>
      </c>
      <c r="AI28" s="90" t="s">
        <v>21</v>
      </c>
      <c r="AJ28" s="19"/>
      <c r="AK28" s="20">
        <f>FEB!AJ28</f>
        <v>0</v>
      </c>
      <c r="AL28" s="21">
        <f t="shared" si="3"/>
        <v>0</v>
      </c>
      <c r="AM28" s="20">
        <f t="shared" si="4"/>
        <v>0</v>
      </c>
      <c r="AN28" s="19"/>
      <c r="AO28" s="20"/>
      <c r="AP28" s="21">
        <f t="shared" si="0"/>
        <v>0</v>
      </c>
      <c r="AQ28" s="20">
        <f t="shared" si="1"/>
        <v>0</v>
      </c>
      <c r="AR28" s="19"/>
      <c r="AS28" s="21">
        <f t="shared" si="2"/>
        <v>21</v>
      </c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</row>
    <row r="29" spans="2:60">
      <c r="B29" s="276"/>
      <c r="C29" s="22" t="s">
        <v>82</v>
      </c>
      <c r="D29" s="20" t="s">
        <v>83</v>
      </c>
      <c r="E29" s="60" t="s">
        <v>21</v>
      </c>
      <c r="F29" s="28" t="s">
        <v>22</v>
      </c>
      <c r="G29" s="28" t="s">
        <v>22</v>
      </c>
      <c r="H29" s="60" t="s">
        <v>21</v>
      </c>
      <c r="I29" s="60" t="s">
        <v>21</v>
      </c>
      <c r="J29" s="60" t="s">
        <v>21</v>
      </c>
      <c r="K29" s="60" t="s">
        <v>21</v>
      </c>
      <c r="L29" s="28" t="s">
        <v>22</v>
      </c>
      <c r="M29" s="28" t="s">
        <v>22</v>
      </c>
      <c r="N29" s="78" t="s">
        <v>29</v>
      </c>
      <c r="O29" s="78" t="s">
        <v>29</v>
      </c>
      <c r="P29" s="78" t="s">
        <v>29</v>
      </c>
      <c r="Q29" s="78" t="s">
        <v>29</v>
      </c>
      <c r="R29" s="28" t="s">
        <v>22</v>
      </c>
      <c r="S29" s="28" t="s">
        <v>22</v>
      </c>
      <c r="T29" s="74" t="s">
        <v>23</v>
      </c>
      <c r="U29" s="74" t="s">
        <v>23</v>
      </c>
      <c r="V29" s="74" t="s">
        <v>23</v>
      </c>
      <c r="W29" s="74" t="s">
        <v>23</v>
      </c>
      <c r="X29" s="28" t="s">
        <v>22</v>
      </c>
      <c r="Y29" s="28" t="s">
        <v>22</v>
      </c>
      <c r="Z29" s="60" t="s">
        <v>21</v>
      </c>
      <c r="AA29" s="60" t="s">
        <v>21</v>
      </c>
      <c r="AB29" s="60" t="s">
        <v>21</v>
      </c>
      <c r="AC29" s="60" t="s">
        <v>21</v>
      </c>
      <c r="AD29" s="28" t="s">
        <v>22</v>
      </c>
      <c r="AE29" s="28" t="s">
        <v>22</v>
      </c>
      <c r="AF29" s="74" t="s">
        <v>23</v>
      </c>
      <c r="AG29" s="74" t="s">
        <v>23</v>
      </c>
      <c r="AH29" s="74" t="s">
        <v>23</v>
      </c>
      <c r="AI29" s="89" t="s">
        <v>23</v>
      </c>
      <c r="AJ29" s="19"/>
      <c r="AK29" s="20">
        <f>FEB!AJ29</f>
        <v>0</v>
      </c>
      <c r="AL29" s="21">
        <f t="shared" si="3"/>
        <v>0</v>
      </c>
      <c r="AM29" s="20">
        <f t="shared" si="4"/>
        <v>0</v>
      </c>
      <c r="AN29" s="19"/>
      <c r="AO29" s="20"/>
      <c r="AP29" s="21">
        <f t="shared" si="0"/>
        <v>0</v>
      </c>
      <c r="AQ29" s="20">
        <f t="shared" si="1"/>
        <v>0</v>
      </c>
      <c r="AR29" s="19"/>
      <c r="AS29" s="21">
        <f t="shared" si="2"/>
        <v>21</v>
      </c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</row>
    <row r="30" spans="2:60">
      <c r="B30" s="276"/>
      <c r="C30" s="20" t="s">
        <v>85</v>
      </c>
      <c r="D30" s="20" t="s">
        <v>86</v>
      </c>
      <c r="E30" s="28" t="s">
        <v>22</v>
      </c>
      <c r="F30" s="60" t="s">
        <v>21</v>
      </c>
      <c r="G30" s="60" t="s">
        <v>21</v>
      </c>
      <c r="H30" s="60" t="s">
        <v>21</v>
      </c>
      <c r="I30" s="60" t="s">
        <v>21</v>
      </c>
      <c r="J30" s="28" t="s">
        <v>22</v>
      </c>
      <c r="K30" s="28" t="s">
        <v>22</v>
      </c>
      <c r="L30" s="60" t="s">
        <v>21</v>
      </c>
      <c r="M30" s="60" t="s">
        <v>21</v>
      </c>
      <c r="N30" s="60" t="s">
        <v>21</v>
      </c>
      <c r="O30" s="60" t="s">
        <v>21</v>
      </c>
      <c r="P30" s="28" t="s">
        <v>22</v>
      </c>
      <c r="Q30" s="28" t="s">
        <v>22</v>
      </c>
      <c r="R30" s="78" t="s">
        <v>29</v>
      </c>
      <c r="S30" s="78" t="s">
        <v>29</v>
      </c>
      <c r="T30" s="78" t="s">
        <v>29</v>
      </c>
      <c r="U30" s="78" t="s">
        <v>29</v>
      </c>
      <c r="V30" s="28" t="s">
        <v>22</v>
      </c>
      <c r="W30" s="28" t="s">
        <v>22</v>
      </c>
      <c r="X30" s="74" t="s">
        <v>23</v>
      </c>
      <c r="Y30" s="74" t="s">
        <v>23</v>
      </c>
      <c r="Z30" s="74" t="s">
        <v>23</v>
      </c>
      <c r="AA30" s="74" t="s">
        <v>23</v>
      </c>
      <c r="AB30" s="28" t="s">
        <v>22</v>
      </c>
      <c r="AC30" s="28" t="s">
        <v>22</v>
      </c>
      <c r="AD30" s="60" t="s">
        <v>21</v>
      </c>
      <c r="AE30" s="60" t="s">
        <v>21</v>
      </c>
      <c r="AF30" s="60" t="s">
        <v>21</v>
      </c>
      <c r="AG30" s="60" t="s">
        <v>21</v>
      </c>
      <c r="AH30" s="28" t="s">
        <v>22</v>
      </c>
      <c r="AI30" s="91" t="s">
        <v>22</v>
      </c>
      <c r="AJ30" s="19"/>
      <c r="AK30" s="20">
        <f>FEB!AJ30</f>
        <v>0</v>
      </c>
      <c r="AL30" s="21">
        <f t="shared" si="3"/>
        <v>0</v>
      </c>
      <c r="AM30" s="20">
        <f t="shared" si="4"/>
        <v>0</v>
      </c>
      <c r="AN30" s="19"/>
      <c r="AO30" s="26"/>
      <c r="AP30" s="21">
        <f t="shared" si="0"/>
        <v>0</v>
      </c>
      <c r="AQ30" s="44">
        <f t="shared" si="1"/>
        <v>0</v>
      </c>
      <c r="AR30" s="19"/>
      <c r="AS30" s="21">
        <f t="shared" si="2"/>
        <v>20</v>
      </c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</row>
    <row r="31" spans="2:60">
      <c r="B31" s="276"/>
      <c r="C31" s="22" t="s">
        <v>87</v>
      </c>
      <c r="D31" s="20" t="s">
        <v>88</v>
      </c>
      <c r="E31" s="74" t="s">
        <v>23</v>
      </c>
      <c r="F31" s="74" t="s">
        <v>23</v>
      </c>
      <c r="G31" s="74" t="s">
        <v>23</v>
      </c>
      <c r="H31" s="28" t="s">
        <v>22</v>
      </c>
      <c r="I31" s="28" t="s">
        <v>22</v>
      </c>
      <c r="J31" s="60" t="s">
        <v>21</v>
      </c>
      <c r="K31" s="76" t="s">
        <v>33</v>
      </c>
      <c r="L31" s="60" t="s">
        <v>21</v>
      </c>
      <c r="M31" s="60" t="s">
        <v>21</v>
      </c>
      <c r="N31" s="28" t="s">
        <v>22</v>
      </c>
      <c r="O31" s="28" t="s">
        <v>22</v>
      </c>
      <c r="P31" s="60" t="s">
        <v>21</v>
      </c>
      <c r="Q31" s="60" t="s">
        <v>21</v>
      </c>
      <c r="R31" s="76" t="s">
        <v>33</v>
      </c>
      <c r="S31" s="60" t="s">
        <v>21</v>
      </c>
      <c r="T31" s="28" t="s">
        <v>22</v>
      </c>
      <c r="U31" s="28" t="s">
        <v>22</v>
      </c>
      <c r="V31" s="76" t="s">
        <v>33</v>
      </c>
      <c r="W31" s="76" t="s">
        <v>33</v>
      </c>
      <c r="X31" s="76" t="s">
        <v>33</v>
      </c>
      <c r="Y31" s="76" t="s">
        <v>33</v>
      </c>
      <c r="Z31" s="28" t="s">
        <v>22</v>
      </c>
      <c r="AA31" s="28" t="s">
        <v>22</v>
      </c>
      <c r="AB31" s="74" t="s">
        <v>23</v>
      </c>
      <c r="AC31" s="74" t="s">
        <v>23</v>
      </c>
      <c r="AD31" s="74" t="s">
        <v>23</v>
      </c>
      <c r="AE31" s="74" t="s">
        <v>23</v>
      </c>
      <c r="AF31" s="28" t="s">
        <v>22</v>
      </c>
      <c r="AG31" s="28" t="s">
        <v>22</v>
      </c>
      <c r="AH31" s="60" t="s">
        <v>21</v>
      </c>
      <c r="AI31" s="90" t="s">
        <v>21</v>
      </c>
      <c r="AJ31" s="19"/>
      <c r="AK31" s="20">
        <f>FEB!AJ31</f>
        <v>6</v>
      </c>
      <c r="AL31" s="21">
        <f t="shared" si="3"/>
        <v>6</v>
      </c>
      <c r="AM31" s="20">
        <f t="shared" si="4"/>
        <v>0</v>
      </c>
      <c r="AN31" s="19"/>
      <c r="AO31" s="20"/>
      <c r="AP31" s="21">
        <f t="shared" si="0"/>
        <v>0</v>
      </c>
      <c r="AQ31" s="20">
        <f t="shared" si="1"/>
        <v>0</v>
      </c>
      <c r="AR31" s="19"/>
      <c r="AS31" s="21">
        <f t="shared" si="2"/>
        <v>15</v>
      </c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</row>
    <row r="32" spans="2:60">
      <c r="B32" s="276"/>
      <c r="C32" s="20" t="s">
        <v>89</v>
      </c>
      <c r="D32" s="20" t="s">
        <v>90</v>
      </c>
      <c r="E32" s="60" t="s">
        <v>21</v>
      </c>
      <c r="F32" s="28" t="s">
        <v>22</v>
      </c>
      <c r="G32" s="28" t="s">
        <v>22</v>
      </c>
      <c r="H32" s="74" t="s">
        <v>23</v>
      </c>
      <c r="I32" s="74" t="s">
        <v>23</v>
      </c>
      <c r="J32" s="74" t="s">
        <v>23</v>
      </c>
      <c r="K32" s="74" t="s">
        <v>23</v>
      </c>
      <c r="L32" s="28" t="s">
        <v>22</v>
      </c>
      <c r="M32" s="28" t="s">
        <v>22</v>
      </c>
      <c r="N32" s="60" t="s">
        <v>21</v>
      </c>
      <c r="O32" s="60" t="s">
        <v>21</v>
      </c>
      <c r="P32" s="60" t="s">
        <v>21</v>
      </c>
      <c r="Q32" s="60" t="s">
        <v>21</v>
      </c>
      <c r="R32" s="28" t="s">
        <v>22</v>
      </c>
      <c r="S32" s="28" t="s">
        <v>22</v>
      </c>
      <c r="T32" s="60" t="s">
        <v>21</v>
      </c>
      <c r="U32" s="60" t="s">
        <v>21</v>
      </c>
      <c r="V32" s="60" t="s">
        <v>21</v>
      </c>
      <c r="W32" s="60" t="s">
        <v>21</v>
      </c>
      <c r="X32" s="28" t="s">
        <v>22</v>
      </c>
      <c r="Y32" s="28" t="s">
        <v>22</v>
      </c>
      <c r="Z32" s="78" t="s">
        <v>29</v>
      </c>
      <c r="AA32" s="78" t="s">
        <v>29</v>
      </c>
      <c r="AB32" s="78" t="s">
        <v>29</v>
      </c>
      <c r="AC32" s="78" t="s">
        <v>29</v>
      </c>
      <c r="AD32" s="28" t="s">
        <v>22</v>
      </c>
      <c r="AE32" s="28" t="s">
        <v>22</v>
      </c>
      <c r="AF32" s="74" t="s">
        <v>23</v>
      </c>
      <c r="AG32" s="74" t="s">
        <v>23</v>
      </c>
      <c r="AH32" s="74" t="s">
        <v>23</v>
      </c>
      <c r="AI32" s="89" t="s">
        <v>23</v>
      </c>
      <c r="AJ32" s="19"/>
      <c r="AK32" s="20">
        <f>FEB!AJ32</f>
        <v>0</v>
      </c>
      <c r="AL32" s="21">
        <f t="shared" si="3"/>
        <v>0</v>
      </c>
      <c r="AM32" s="20">
        <f t="shared" si="4"/>
        <v>0</v>
      </c>
      <c r="AN32" s="19"/>
      <c r="AO32" s="20"/>
      <c r="AP32" s="21">
        <f t="shared" si="0"/>
        <v>0</v>
      </c>
      <c r="AQ32" s="20">
        <f t="shared" si="1"/>
        <v>0</v>
      </c>
      <c r="AR32" s="19"/>
      <c r="AS32" s="21">
        <f t="shared" si="2"/>
        <v>21</v>
      </c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</row>
    <row r="33" spans="2:60">
      <c r="B33" s="276"/>
      <c r="C33" s="22" t="s">
        <v>91</v>
      </c>
      <c r="D33" s="20" t="s">
        <v>92</v>
      </c>
      <c r="E33" s="60" t="s">
        <v>21</v>
      </c>
      <c r="F33" s="60" t="s">
        <v>21</v>
      </c>
      <c r="G33" s="60" t="s">
        <v>21</v>
      </c>
      <c r="H33" s="60" t="s">
        <v>21</v>
      </c>
      <c r="I33" s="28" t="s">
        <v>22</v>
      </c>
      <c r="J33" s="28" t="s">
        <v>22</v>
      </c>
      <c r="K33" s="74" t="s">
        <v>23</v>
      </c>
      <c r="L33" s="74" t="s">
        <v>23</v>
      </c>
      <c r="M33" s="74" t="s">
        <v>23</v>
      </c>
      <c r="N33" s="74" t="s">
        <v>23</v>
      </c>
      <c r="O33" s="28" t="s">
        <v>22</v>
      </c>
      <c r="P33" s="28" t="s">
        <v>22</v>
      </c>
      <c r="Q33" s="60" t="s">
        <v>21</v>
      </c>
      <c r="R33" s="60" t="s">
        <v>21</v>
      </c>
      <c r="S33" s="60" t="s">
        <v>21</v>
      </c>
      <c r="T33" s="60" t="s">
        <v>21</v>
      </c>
      <c r="U33" s="28" t="s">
        <v>22</v>
      </c>
      <c r="V33" s="28" t="s">
        <v>22</v>
      </c>
      <c r="W33" s="76" t="s">
        <v>33</v>
      </c>
      <c r="X33" s="76" t="s">
        <v>33</v>
      </c>
      <c r="Y33" s="76" t="s">
        <v>33</v>
      </c>
      <c r="Z33" s="76" t="s">
        <v>33</v>
      </c>
      <c r="AA33" s="28" t="s">
        <v>22</v>
      </c>
      <c r="AB33" s="28" t="s">
        <v>22</v>
      </c>
      <c r="AC33" s="60" t="s">
        <v>21</v>
      </c>
      <c r="AD33" s="60" t="s">
        <v>21</v>
      </c>
      <c r="AE33" s="60" t="s">
        <v>21</v>
      </c>
      <c r="AF33" s="60" t="s">
        <v>21</v>
      </c>
      <c r="AG33" s="28" t="s">
        <v>22</v>
      </c>
      <c r="AH33" s="28" t="s">
        <v>22</v>
      </c>
      <c r="AI33" s="89" t="s">
        <v>23</v>
      </c>
      <c r="AJ33" s="19"/>
      <c r="AK33" s="20">
        <f>FEB!AJ33</f>
        <v>7</v>
      </c>
      <c r="AL33" s="21">
        <f t="shared" si="3"/>
        <v>4</v>
      </c>
      <c r="AM33" s="20">
        <f t="shared" si="4"/>
        <v>3</v>
      </c>
      <c r="AN33" s="19"/>
      <c r="AO33" s="20"/>
      <c r="AP33" s="21">
        <f t="shared" si="0"/>
        <v>0</v>
      </c>
      <c r="AQ33" s="20">
        <f t="shared" si="1"/>
        <v>0</v>
      </c>
      <c r="AR33" s="19"/>
      <c r="AS33" s="21">
        <f t="shared" si="2"/>
        <v>17</v>
      </c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</row>
    <row r="34" spans="2:60" ht="15" customHeight="1">
      <c r="B34" s="276"/>
      <c r="C34" s="20" t="s">
        <v>93</v>
      </c>
      <c r="D34" s="20" t="s">
        <v>94</v>
      </c>
      <c r="E34" s="74" t="s">
        <v>23</v>
      </c>
      <c r="F34" s="74" t="s">
        <v>23</v>
      </c>
      <c r="G34" s="28" t="s">
        <v>22</v>
      </c>
      <c r="H34" s="28" t="s">
        <v>22</v>
      </c>
      <c r="I34" s="60" t="s">
        <v>21</v>
      </c>
      <c r="J34" s="60" t="s">
        <v>21</v>
      </c>
      <c r="K34" s="60" t="s">
        <v>21</v>
      </c>
      <c r="L34" s="60" t="s">
        <v>21</v>
      </c>
      <c r="M34" s="28" t="s">
        <v>22</v>
      </c>
      <c r="N34" s="28" t="s">
        <v>22</v>
      </c>
      <c r="O34" s="74" t="s">
        <v>23</v>
      </c>
      <c r="P34" s="74" t="s">
        <v>23</v>
      </c>
      <c r="Q34" s="74" t="s">
        <v>23</v>
      </c>
      <c r="R34" s="74" t="s">
        <v>23</v>
      </c>
      <c r="S34" s="28" t="s">
        <v>22</v>
      </c>
      <c r="T34" s="28" t="s">
        <v>22</v>
      </c>
      <c r="U34" s="60" t="s">
        <v>21</v>
      </c>
      <c r="V34" s="60" t="s">
        <v>21</v>
      </c>
      <c r="W34" s="60" t="s">
        <v>21</v>
      </c>
      <c r="X34" s="60" t="s">
        <v>21</v>
      </c>
      <c r="Y34" s="28" t="s">
        <v>22</v>
      </c>
      <c r="Z34" s="28" t="s">
        <v>22</v>
      </c>
      <c r="AA34" s="74" t="s">
        <v>23</v>
      </c>
      <c r="AB34" s="74" t="s">
        <v>23</v>
      </c>
      <c r="AC34" s="74" t="s">
        <v>23</v>
      </c>
      <c r="AD34" s="74" t="s">
        <v>23</v>
      </c>
      <c r="AE34" s="28" t="s">
        <v>22</v>
      </c>
      <c r="AF34" s="28" t="s">
        <v>22</v>
      </c>
      <c r="AG34" s="60" t="s">
        <v>21</v>
      </c>
      <c r="AH34" s="60" t="s">
        <v>21</v>
      </c>
      <c r="AI34" s="90" t="s">
        <v>21</v>
      </c>
      <c r="AJ34" s="19"/>
      <c r="AK34" s="20">
        <f>FEB!AJ34</f>
        <v>0</v>
      </c>
      <c r="AL34" s="21">
        <f t="shared" si="3"/>
        <v>0</v>
      </c>
      <c r="AM34" s="20">
        <f t="shared" si="4"/>
        <v>0</v>
      </c>
      <c r="AN34" s="19"/>
      <c r="AO34" s="20"/>
      <c r="AP34" s="21">
        <f t="shared" si="0"/>
        <v>0</v>
      </c>
      <c r="AQ34" s="20">
        <f t="shared" si="1"/>
        <v>0</v>
      </c>
      <c r="AR34" s="19"/>
      <c r="AS34" s="21">
        <f t="shared" si="2"/>
        <v>21</v>
      </c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</row>
    <row r="35" spans="2:60">
      <c r="B35" s="276"/>
      <c r="C35" s="108" t="s">
        <v>95</v>
      </c>
      <c r="D35" s="109" t="s">
        <v>96</v>
      </c>
      <c r="E35" s="110" t="s">
        <v>22</v>
      </c>
      <c r="F35" s="110" t="s">
        <v>22</v>
      </c>
      <c r="G35" s="112" t="s">
        <v>23</v>
      </c>
      <c r="H35" s="112" t="s">
        <v>23</v>
      </c>
      <c r="I35" s="112" t="s">
        <v>23</v>
      </c>
      <c r="J35" s="112" t="s">
        <v>23</v>
      </c>
      <c r="K35" s="110" t="s">
        <v>22</v>
      </c>
      <c r="L35" s="110" t="s">
        <v>22</v>
      </c>
      <c r="M35" s="111" t="s">
        <v>21</v>
      </c>
      <c r="N35" s="111" t="s">
        <v>21</v>
      </c>
      <c r="O35" s="111" t="s">
        <v>21</v>
      </c>
      <c r="P35" s="111" t="s">
        <v>21</v>
      </c>
      <c r="Q35" s="110" t="s">
        <v>22</v>
      </c>
      <c r="R35" s="110" t="s">
        <v>22</v>
      </c>
      <c r="S35" s="112" t="s">
        <v>23</v>
      </c>
      <c r="T35" s="112" t="s">
        <v>23</v>
      </c>
      <c r="U35" s="112" t="s">
        <v>23</v>
      </c>
      <c r="V35" s="112" t="s">
        <v>23</v>
      </c>
      <c r="W35" s="110" t="s">
        <v>22</v>
      </c>
      <c r="X35" s="110" t="s">
        <v>22</v>
      </c>
      <c r="Y35" s="111" t="s">
        <v>21</v>
      </c>
      <c r="Z35" s="111" t="s">
        <v>21</v>
      </c>
      <c r="AA35" s="111" t="s">
        <v>21</v>
      </c>
      <c r="AB35" s="111" t="s">
        <v>21</v>
      </c>
      <c r="AC35" s="110" t="s">
        <v>22</v>
      </c>
      <c r="AD35" s="110" t="s">
        <v>22</v>
      </c>
      <c r="AE35" s="112" t="s">
        <v>23</v>
      </c>
      <c r="AF35" s="112" t="s">
        <v>23</v>
      </c>
      <c r="AG35" s="112" t="s">
        <v>23</v>
      </c>
      <c r="AH35" s="112" t="s">
        <v>23</v>
      </c>
      <c r="AI35" s="113" t="s">
        <v>22</v>
      </c>
      <c r="AJ35" s="19"/>
      <c r="AK35" s="20">
        <f>FEB!AJ35</f>
        <v>4</v>
      </c>
      <c r="AL35" s="21">
        <f t="shared" si="3"/>
        <v>0</v>
      </c>
      <c r="AM35" s="20">
        <f t="shared" si="4"/>
        <v>4</v>
      </c>
      <c r="AN35" s="19"/>
      <c r="AO35" s="20"/>
      <c r="AP35" s="21">
        <f t="shared" si="0"/>
        <v>0</v>
      </c>
      <c r="AQ35" s="20">
        <f t="shared" si="1"/>
        <v>0</v>
      </c>
      <c r="AR35" s="19"/>
      <c r="AS35" s="21">
        <f t="shared" si="2"/>
        <v>20</v>
      </c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</row>
    <row r="36" spans="2:60">
      <c r="B36" s="285" t="s">
        <v>97</v>
      </c>
      <c r="C36" s="88" t="s">
        <v>98</v>
      </c>
      <c r="D36" s="88" t="s">
        <v>99</v>
      </c>
      <c r="E36" s="103" t="s">
        <v>22</v>
      </c>
      <c r="F36" s="103" t="s">
        <v>22</v>
      </c>
      <c r="G36" s="118" t="s">
        <v>100</v>
      </c>
      <c r="H36" s="118" t="s">
        <v>100</v>
      </c>
      <c r="I36" s="118" t="s">
        <v>100</v>
      </c>
      <c r="J36" s="118" t="s">
        <v>100</v>
      </c>
      <c r="K36" s="103" t="s">
        <v>22</v>
      </c>
      <c r="L36" s="103" t="s">
        <v>22</v>
      </c>
      <c r="M36" s="119" t="s">
        <v>66</v>
      </c>
      <c r="N36" s="119" t="s">
        <v>66</v>
      </c>
      <c r="O36" s="119" t="s">
        <v>66</v>
      </c>
      <c r="P36" s="119" t="s">
        <v>66</v>
      </c>
      <c r="Q36" s="103" t="s">
        <v>22</v>
      </c>
      <c r="R36" s="103" t="s">
        <v>22</v>
      </c>
      <c r="S36" s="118" t="s">
        <v>100</v>
      </c>
      <c r="T36" s="118" t="s">
        <v>100</v>
      </c>
      <c r="U36" s="118" t="s">
        <v>100</v>
      </c>
      <c r="V36" s="118" t="s">
        <v>100</v>
      </c>
      <c r="W36" s="103" t="s">
        <v>22</v>
      </c>
      <c r="X36" s="103" t="s">
        <v>22</v>
      </c>
      <c r="Y36" s="119" t="s">
        <v>66</v>
      </c>
      <c r="Z36" s="119" t="s">
        <v>66</v>
      </c>
      <c r="AA36" s="119" t="s">
        <v>66</v>
      </c>
      <c r="AB36" s="119" t="s">
        <v>66</v>
      </c>
      <c r="AC36" s="103" t="s">
        <v>22</v>
      </c>
      <c r="AD36" s="103" t="s">
        <v>22</v>
      </c>
      <c r="AE36" s="118" t="s">
        <v>100</v>
      </c>
      <c r="AF36" s="118" t="s">
        <v>100</v>
      </c>
      <c r="AG36" s="118" t="s">
        <v>100</v>
      </c>
      <c r="AH36" s="118" t="s">
        <v>100</v>
      </c>
      <c r="AI36" s="120" t="s">
        <v>22</v>
      </c>
      <c r="AJ36" s="19"/>
      <c r="AK36" s="20">
        <f>FEB!AJ36</f>
        <v>0</v>
      </c>
      <c r="AL36" s="21">
        <f t="shared" si="3"/>
        <v>0</v>
      </c>
      <c r="AM36" s="20">
        <f t="shared" si="4"/>
        <v>0</v>
      </c>
      <c r="AN36" s="19"/>
      <c r="AO36" s="20"/>
      <c r="AP36" s="21">
        <f t="shared" si="0"/>
        <v>0</v>
      </c>
      <c r="AQ36" s="20">
        <f t="shared" si="1"/>
        <v>0</v>
      </c>
      <c r="AR36" s="19"/>
      <c r="AS36" s="21">
        <f t="shared" si="2"/>
        <v>20</v>
      </c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</row>
    <row r="37" spans="2:60">
      <c r="B37" s="278"/>
      <c r="C37" s="22" t="s">
        <v>101</v>
      </c>
      <c r="D37" s="20" t="s">
        <v>102</v>
      </c>
      <c r="E37" s="85" t="s">
        <v>100</v>
      </c>
      <c r="F37" s="85" t="s">
        <v>100</v>
      </c>
      <c r="G37" s="28" t="s">
        <v>22</v>
      </c>
      <c r="H37" s="28" t="s">
        <v>22</v>
      </c>
      <c r="I37" s="79" t="s">
        <v>66</v>
      </c>
      <c r="J37" s="79" t="s">
        <v>66</v>
      </c>
      <c r="K37" s="79" t="s">
        <v>66</v>
      </c>
      <c r="L37" s="79" t="s">
        <v>66</v>
      </c>
      <c r="M37" s="28" t="s">
        <v>22</v>
      </c>
      <c r="N37" s="28" t="s">
        <v>22</v>
      </c>
      <c r="O37" s="85" t="s">
        <v>100</v>
      </c>
      <c r="P37" s="85" t="s">
        <v>100</v>
      </c>
      <c r="Q37" s="85" t="s">
        <v>100</v>
      </c>
      <c r="R37" s="85" t="s">
        <v>100</v>
      </c>
      <c r="S37" s="28" t="s">
        <v>22</v>
      </c>
      <c r="T37" s="28" t="s">
        <v>22</v>
      </c>
      <c r="U37" s="79" t="s">
        <v>66</v>
      </c>
      <c r="V37" s="79" t="s">
        <v>66</v>
      </c>
      <c r="W37" s="79" t="s">
        <v>66</v>
      </c>
      <c r="X37" s="79" t="s">
        <v>66</v>
      </c>
      <c r="Y37" s="28" t="s">
        <v>22</v>
      </c>
      <c r="Z37" s="28" t="s">
        <v>22</v>
      </c>
      <c r="AA37" s="85" t="s">
        <v>100</v>
      </c>
      <c r="AB37" s="85" t="s">
        <v>100</v>
      </c>
      <c r="AC37" s="85" t="s">
        <v>100</v>
      </c>
      <c r="AD37" s="85" t="s">
        <v>100</v>
      </c>
      <c r="AE37" s="28" t="s">
        <v>22</v>
      </c>
      <c r="AF37" s="28" t="s">
        <v>22</v>
      </c>
      <c r="AG37" s="79" t="s">
        <v>66</v>
      </c>
      <c r="AH37" s="79" t="s">
        <v>66</v>
      </c>
      <c r="AI37" s="189" t="s">
        <v>66</v>
      </c>
      <c r="AJ37" s="19"/>
      <c r="AK37" s="20">
        <f>FEB!AJ37</f>
        <v>0</v>
      </c>
      <c r="AL37" s="21">
        <f t="shared" si="3"/>
        <v>0</v>
      </c>
      <c r="AM37" s="20">
        <f t="shared" si="4"/>
        <v>0</v>
      </c>
      <c r="AN37" s="19"/>
      <c r="AO37" s="20"/>
      <c r="AP37" s="21">
        <f t="shared" si="0"/>
        <v>0</v>
      </c>
      <c r="AQ37" s="20">
        <f t="shared" si="1"/>
        <v>0</v>
      </c>
      <c r="AR37" s="19"/>
      <c r="AS37" s="21">
        <f t="shared" si="2"/>
        <v>21</v>
      </c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</row>
    <row r="38" spans="2:60">
      <c r="B38" s="278"/>
      <c r="C38" s="20" t="s">
        <v>103</v>
      </c>
      <c r="D38" s="20" t="s">
        <v>104</v>
      </c>
      <c r="E38" s="79" t="s">
        <v>66</v>
      </c>
      <c r="F38" s="79" t="s">
        <v>66</v>
      </c>
      <c r="G38" s="79" t="s">
        <v>66</v>
      </c>
      <c r="H38" s="79" t="s">
        <v>66</v>
      </c>
      <c r="I38" s="28" t="s">
        <v>22</v>
      </c>
      <c r="J38" s="28" t="s">
        <v>22</v>
      </c>
      <c r="K38" s="85" t="s">
        <v>100</v>
      </c>
      <c r="L38" s="85" t="s">
        <v>100</v>
      </c>
      <c r="M38" s="85" t="s">
        <v>100</v>
      </c>
      <c r="N38" s="85" t="s">
        <v>100</v>
      </c>
      <c r="O38" s="28" t="s">
        <v>22</v>
      </c>
      <c r="P38" s="28" t="s">
        <v>22</v>
      </c>
      <c r="Q38" s="79" t="s">
        <v>66</v>
      </c>
      <c r="R38" s="79" t="s">
        <v>66</v>
      </c>
      <c r="S38" s="79" t="s">
        <v>66</v>
      </c>
      <c r="T38" s="79" t="s">
        <v>66</v>
      </c>
      <c r="U38" s="28" t="s">
        <v>22</v>
      </c>
      <c r="V38" s="28" t="s">
        <v>22</v>
      </c>
      <c r="W38" s="85" t="s">
        <v>100</v>
      </c>
      <c r="X38" s="85" t="s">
        <v>100</v>
      </c>
      <c r="Y38" s="85" t="s">
        <v>100</v>
      </c>
      <c r="Z38" s="85" t="s">
        <v>100</v>
      </c>
      <c r="AA38" s="28" t="s">
        <v>22</v>
      </c>
      <c r="AB38" s="28" t="s">
        <v>22</v>
      </c>
      <c r="AC38" s="79" t="s">
        <v>66</v>
      </c>
      <c r="AD38" s="79" t="s">
        <v>66</v>
      </c>
      <c r="AE38" s="79" t="s">
        <v>66</v>
      </c>
      <c r="AF38" s="79" t="s">
        <v>66</v>
      </c>
      <c r="AG38" s="28" t="s">
        <v>22</v>
      </c>
      <c r="AH38" s="28" t="s">
        <v>22</v>
      </c>
      <c r="AI38" s="121" t="s">
        <v>100</v>
      </c>
      <c r="AJ38" s="19"/>
      <c r="AK38" s="20">
        <f>FEB!AJ38</f>
        <v>0</v>
      </c>
      <c r="AL38" s="21">
        <f t="shared" si="3"/>
        <v>0</v>
      </c>
      <c r="AM38" s="20">
        <f t="shared" si="4"/>
        <v>0</v>
      </c>
      <c r="AN38" s="19"/>
      <c r="AO38" s="20"/>
      <c r="AP38" s="21">
        <f t="shared" si="0"/>
        <v>0</v>
      </c>
      <c r="AQ38" s="20">
        <f t="shared" si="1"/>
        <v>0</v>
      </c>
      <c r="AR38" s="19"/>
      <c r="AS38" s="21">
        <f t="shared" si="2"/>
        <v>21</v>
      </c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</row>
    <row r="39" spans="2:60">
      <c r="B39" s="279"/>
      <c r="C39" s="108" t="s">
        <v>105</v>
      </c>
      <c r="D39" s="109" t="s">
        <v>106</v>
      </c>
      <c r="E39" s="110" t="s">
        <v>107</v>
      </c>
      <c r="F39" s="110" t="s">
        <v>107</v>
      </c>
      <c r="G39" s="110" t="s">
        <v>107</v>
      </c>
      <c r="H39" s="110" t="s">
        <v>107</v>
      </c>
      <c r="I39" s="110" t="s">
        <v>107</v>
      </c>
      <c r="J39" s="110" t="s">
        <v>107</v>
      </c>
      <c r="K39" s="110" t="s">
        <v>107</v>
      </c>
      <c r="L39" s="110" t="s">
        <v>107</v>
      </c>
      <c r="M39" s="110" t="s">
        <v>107</v>
      </c>
      <c r="N39" s="110" t="s">
        <v>107</v>
      </c>
      <c r="O39" s="110" t="s">
        <v>107</v>
      </c>
      <c r="P39" s="110" t="s">
        <v>107</v>
      </c>
      <c r="Q39" s="110" t="s">
        <v>107</v>
      </c>
      <c r="R39" s="110" t="s">
        <v>107</v>
      </c>
      <c r="S39" s="110" t="s">
        <v>107</v>
      </c>
      <c r="T39" s="110" t="s">
        <v>107</v>
      </c>
      <c r="U39" s="110" t="s">
        <v>107</v>
      </c>
      <c r="V39" s="110" t="s">
        <v>107</v>
      </c>
      <c r="W39" s="110" t="s">
        <v>107</v>
      </c>
      <c r="X39" s="110" t="s">
        <v>107</v>
      </c>
      <c r="Y39" s="110" t="s">
        <v>107</v>
      </c>
      <c r="Z39" s="110" t="s">
        <v>107</v>
      </c>
      <c r="AA39" s="110" t="s">
        <v>107</v>
      </c>
      <c r="AB39" s="110" t="s">
        <v>107</v>
      </c>
      <c r="AC39" s="110" t="s">
        <v>107</v>
      </c>
      <c r="AD39" s="110" t="s">
        <v>107</v>
      </c>
      <c r="AE39" s="110" t="s">
        <v>107</v>
      </c>
      <c r="AF39" s="110" t="s">
        <v>107</v>
      </c>
      <c r="AG39" s="110" t="s">
        <v>107</v>
      </c>
      <c r="AH39" s="110" t="s">
        <v>107</v>
      </c>
      <c r="AI39" s="113" t="s">
        <v>22</v>
      </c>
      <c r="AJ39" s="19"/>
      <c r="AK39" s="20">
        <f>FEB!AJ39</f>
        <v>19</v>
      </c>
      <c r="AL39" s="21">
        <f t="shared" si="3"/>
        <v>0</v>
      </c>
      <c r="AM39" s="20">
        <f t="shared" si="4"/>
        <v>19</v>
      </c>
      <c r="AN39" s="19"/>
      <c r="AO39" s="20"/>
      <c r="AP39" s="21">
        <f t="shared" si="0"/>
        <v>0</v>
      </c>
      <c r="AQ39" s="20">
        <f t="shared" si="1"/>
        <v>0</v>
      </c>
      <c r="AR39" s="19"/>
      <c r="AS39" s="21">
        <f t="shared" si="2"/>
        <v>0</v>
      </c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</row>
    <row r="40" spans="2:60" ht="15" customHeight="1">
      <c r="B40" s="280" t="s">
        <v>108</v>
      </c>
      <c r="C40" s="88" t="s">
        <v>109</v>
      </c>
      <c r="D40" s="88" t="s">
        <v>110</v>
      </c>
      <c r="E40" s="238" t="s">
        <v>107</v>
      </c>
      <c r="F40" s="238" t="s">
        <v>107</v>
      </c>
      <c r="G40" s="238" t="s">
        <v>107</v>
      </c>
      <c r="H40" s="238" t="s">
        <v>107</v>
      </c>
      <c r="I40" s="238" t="s">
        <v>107</v>
      </c>
      <c r="J40" s="238" t="s">
        <v>107</v>
      </c>
      <c r="K40" s="238" t="s">
        <v>107</v>
      </c>
      <c r="L40" s="238" t="s">
        <v>107</v>
      </c>
      <c r="M40" s="238" t="s">
        <v>107</v>
      </c>
      <c r="N40" s="238" t="s">
        <v>107</v>
      </c>
      <c r="O40" s="238" t="s">
        <v>107</v>
      </c>
      <c r="P40" s="238" t="s">
        <v>107</v>
      </c>
      <c r="Q40" s="238" t="s">
        <v>107</v>
      </c>
      <c r="R40" s="238" t="s">
        <v>107</v>
      </c>
      <c r="S40" s="238" t="s">
        <v>107</v>
      </c>
      <c r="T40" s="238" t="s">
        <v>107</v>
      </c>
      <c r="U40" s="238" t="s">
        <v>107</v>
      </c>
      <c r="V40" s="238" t="s">
        <v>107</v>
      </c>
      <c r="W40" s="238" t="s">
        <v>107</v>
      </c>
      <c r="X40" s="238" t="s">
        <v>107</v>
      </c>
      <c r="Y40" s="238" t="s">
        <v>107</v>
      </c>
      <c r="Z40" s="238" t="s">
        <v>107</v>
      </c>
      <c r="AA40" s="238" t="s">
        <v>107</v>
      </c>
      <c r="AB40" s="238" t="s">
        <v>107</v>
      </c>
      <c r="AC40" s="238" t="s">
        <v>107</v>
      </c>
      <c r="AD40" s="238" t="s">
        <v>107</v>
      </c>
      <c r="AE40" s="238" t="s">
        <v>107</v>
      </c>
      <c r="AF40" s="238" t="s">
        <v>107</v>
      </c>
      <c r="AG40" s="238" t="s">
        <v>107</v>
      </c>
      <c r="AH40" s="238" t="s">
        <v>107</v>
      </c>
      <c r="AI40" s="162" t="s">
        <v>107</v>
      </c>
      <c r="AJ40" s="19"/>
      <c r="AK40" s="20">
        <f>FEB!AJ40</f>
        <v>14</v>
      </c>
      <c r="AL40" s="21">
        <f t="shared" si="3"/>
        <v>0</v>
      </c>
      <c r="AM40" s="20">
        <f t="shared" si="4"/>
        <v>14</v>
      </c>
      <c r="AN40" s="19"/>
      <c r="AO40" s="20"/>
      <c r="AP40" s="21">
        <f t="shared" si="0"/>
        <v>0</v>
      </c>
      <c r="AQ40" s="20">
        <f t="shared" si="1"/>
        <v>0</v>
      </c>
      <c r="AR40" s="19"/>
      <c r="AS40" s="21">
        <f t="shared" si="2"/>
        <v>0</v>
      </c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</row>
    <row r="41" spans="2:60">
      <c r="B41" s="276"/>
      <c r="C41" s="22" t="s">
        <v>111</v>
      </c>
      <c r="D41" s="20" t="s">
        <v>112</v>
      </c>
      <c r="E41" s="28" t="s">
        <v>22</v>
      </c>
      <c r="F41" s="80" t="s">
        <v>113</v>
      </c>
      <c r="G41" s="80" t="s">
        <v>113</v>
      </c>
      <c r="H41" s="80" t="s">
        <v>113</v>
      </c>
      <c r="I41" s="80" t="s">
        <v>113</v>
      </c>
      <c r="J41" s="80" t="s">
        <v>113</v>
      </c>
      <c r="K41" s="28" t="s">
        <v>22</v>
      </c>
      <c r="L41" s="28" t="s">
        <v>22</v>
      </c>
      <c r="M41" s="80" t="s">
        <v>113</v>
      </c>
      <c r="N41" s="80" t="s">
        <v>113</v>
      </c>
      <c r="O41" s="80" t="s">
        <v>113</v>
      </c>
      <c r="P41" s="80" t="s">
        <v>113</v>
      </c>
      <c r="Q41" s="80" t="s">
        <v>113</v>
      </c>
      <c r="R41" s="28" t="s">
        <v>22</v>
      </c>
      <c r="S41" s="28" t="s">
        <v>22</v>
      </c>
      <c r="T41" s="80" t="s">
        <v>113</v>
      </c>
      <c r="U41" s="80" t="s">
        <v>113</v>
      </c>
      <c r="V41" s="80" t="s">
        <v>113</v>
      </c>
      <c r="W41" s="80" t="s">
        <v>113</v>
      </c>
      <c r="X41" s="80" t="s">
        <v>113</v>
      </c>
      <c r="Y41" s="28" t="s">
        <v>22</v>
      </c>
      <c r="Z41" s="28" t="s">
        <v>22</v>
      </c>
      <c r="AA41" s="80" t="s">
        <v>113</v>
      </c>
      <c r="AB41" s="80" t="s">
        <v>113</v>
      </c>
      <c r="AC41" s="80" t="s">
        <v>113</v>
      </c>
      <c r="AD41" s="80" t="s">
        <v>113</v>
      </c>
      <c r="AE41" s="80" t="s">
        <v>113</v>
      </c>
      <c r="AF41" s="28" t="s">
        <v>22</v>
      </c>
      <c r="AG41" s="28" t="s">
        <v>22</v>
      </c>
      <c r="AH41" s="80" t="s">
        <v>113</v>
      </c>
      <c r="AI41" s="190" t="s">
        <v>113</v>
      </c>
      <c r="AJ41" s="19"/>
      <c r="AK41" s="20">
        <f>FEB!AJ41</f>
        <v>0</v>
      </c>
      <c r="AL41" s="21">
        <f t="shared" si="3"/>
        <v>0</v>
      </c>
      <c r="AM41" s="20">
        <f t="shared" si="4"/>
        <v>0</v>
      </c>
      <c r="AN41" s="19"/>
      <c r="AO41" s="20"/>
      <c r="AP41" s="21">
        <f t="shared" si="0"/>
        <v>0</v>
      </c>
      <c r="AQ41" s="20">
        <f t="shared" si="1"/>
        <v>0</v>
      </c>
      <c r="AR41" s="19"/>
      <c r="AS41" s="21">
        <f t="shared" si="2"/>
        <v>22</v>
      </c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</row>
    <row r="42" spans="2:60">
      <c r="B42" s="276"/>
      <c r="C42" s="20" t="s">
        <v>114</v>
      </c>
      <c r="D42" s="20" t="s">
        <v>115</v>
      </c>
      <c r="E42" s="28" t="s">
        <v>22</v>
      </c>
      <c r="F42" s="81" t="s">
        <v>116</v>
      </c>
      <c r="G42" s="81" t="s">
        <v>116</v>
      </c>
      <c r="H42" s="81" t="s">
        <v>116</v>
      </c>
      <c r="I42" s="81" t="s">
        <v>116</v>
      </c>
      <c r="J42" s="81" t="s">
        <v>116</v>
      </c>
      <c r="K42" s="28" t="s">
        <v>22</v>
      </c>
      <c r="L42" s="28" t="s">
        <v>22</v>
      </c>
      <c r="M42" s="81" t="s">
        <v>116</v>
      </c>
      <c r="N42" s="81" t="s">
        <v>116</v>
      </c>
      <c r="O42" s="81" t="s">
        <v>116</v>
      </c>
      <c r="P42" s="81" t="s">
        <v>116</v>
      </c>
      <c r="Q42" s="81" t="s">
        <v>116</v>
      </c>
      <c r="R42" s="28" t="s">
        <v>22</v>
      </c>
      <c r="S42" s="28" t="s">
        <v>22</v>
      </c>
      <c r="T42" s="81" t="s">
        <v>116</v>
      </c>
      <c r="U42" s="81" t="s">
        <v>116</v>
      </c>
      <c r="V42" s="81" t="s">
        <v>116</v>
      </c>
      <c r="W42" s="81" t="s">
        <v>116</v>
      </c>
      <c r="X42" s="81" t="s">
        <v>116</v>
      </c>
      <c r="Y42" s="28" t="s">
        <v>22</v>
      </c>
      <c r="Z42" s="28" t="s">
        <v>22</v>
      </c>
      <c r="AA42" s="81" t="s">
        <v>116</v>
      </c>
      <c r="AB42" s="81" t="s">
        <v>116</v>
      </c>
      <c r="AC42" s="81" t="s">
        <v>116</v>
      </c>
      <c r="AD42" s="81" t="s">
        <v>116</v>
      </c>
      <c r="AE42" s="81" t="s">
        <v>116</v>
      </c>
      <c r="AF42" s="28" t="s">
        <v>22</v>
      </c>
      <c r="AG42" s="28" t="s">
        <v>22</v>
      </c>
      <c r="AH42" s="81" t="s">
        <v>116</v>
      </c>
      <c r="AI42" s="191" t="s">
        <v>116</v>
      </c>
      <c r="AJ42" s="19"/>
      <c r="AK42" s="20">
        <f>FEB!AJ42</f>
        <v>0</v>
      </c>
      <c r="AL42" s="21">
        <f t="shared" si="3"/>
        <v>0</v>
      </c>
      <c r="AM42" s="20">
        <f t="shared" si="4"/>
        <v>0</v>
      </c>
      <c r="AN42" s="19"/>
      <c r="AO42" s="26"/>
      <c r="AP42" s="21">
        <f t="shared" si="0"/>
        <v>0</v>
      </c>
      <c r="AQ42" s="44">
        <f t="shared" si="1"/>
        <v>0</v>
      </c>
      <c r="AR42" s="19"/>
      <c r="AS42" s="21">
        <f t="shared" si="2"/>
        <v>22</v>
      </c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</row>
    <row r="43" spans="2:60">
      <c r="B43" s="276"/>
      <c r="C43" s="22" t="s">
        <v>117</v>
      </c>
      <c r="D43" s="20" t="s">
        <v>118</v>
      </c>
      <c r="E43" s="60" t="s">
        <v>21</v>
      </c>
      <c r="F43" s="60" t="s">
        <v>21</v>
      </c>
      <c r="G43" s="28" t="s">
        <v>22</v>
      </c>
      <c r="H43" s="28" t="s">
        <v>22</v>
      </c>
      <c r="I43" s="74" t="s">
        <v>23</v>
      </c>
      <c r="J43" s="74" t="s">
        <v>23</v>
      </c>
      <c r="K43" s="74" t="s">
        <v>23</v>
      </c>
      <c r="L43" s="74" t="s">
        <v>23</v>
      </c>
      <c r="M43" s="28" t="s">
        <v>22</v>
      </c>
      <c r="N43" s="28" t="s">
        <v>22</v>
      </c>
      <c r="O43" s="60" t="s">
        <v>21</v>
      </c>
      <c r="P43" s="60" t="s">
        <v>21</v>
      </c>
      <c r="Q43" s="60" t="s">
        <v>21</v>
      </c>
      <c r="R43" s="60" t="s">
        <v>21</v>
      </c>
      <c r="S43" s="28" t="s">
        <v>22</v>
      </c>
      <c r="T43" s="28" t="s">
        <v>22</v>
      </c>
      <c r="U43" s="74" t="s">
        <v>23</v>
      </c>
      <c r="V43" s="74" t="s">
        <v>23</v>
      </c>
      <c r="W43" s="74" t="s">
        <v>23</v>
      </c>
      <c r="X43" s="74" t="s">
        <v>23</v>
      </c>
      <c r="Y43" s="28" t="s">
        <v>22</v>
      </c>
      <c r="Z43" s="28" t="s">
        <v>22</v>
      </c>
      <c r="AA43" s="60" t="s">
        <v>21</v>
      </c>
      <c r="AB43" s="60" t="s">
        <v>21</v>
      </c>
      <c r="AC43" s="60" t="s">
        <v>21</v>
      </c>
      <c r="AD43" s="60" t="s">
        <v>21</v>
      </c>
      <c r="AE43" s="28" t="s">
        <v>22</v>
      </c>
      <c r="AF43" s="28" t="s">
        <v>22</v>
      </c>
      <c r="AG43" s="75" t="s">
        <v>26</v>
      </c>
      <c r="AH43" s="74" t="s">
        <v>23</v>
      </c>
      <c r="AI43" s="89" t="s">
        <v>23</v>
      </c>
      <c r="AJ43" s="19"/>
      <c r="AK43" s="20">
        <f>FEB!AJ43</f>
        <v>0</v>
      </c>
      <c r="AL43" s="21">
        <f t="shared" si="3"/>
        <v>0</v>
      </c>
      <c r="AM43" s="20">
        <f t="shared" si="4"/>
        <v>0</v>
      </c>
      <c r="AN43" s="19"/>
      <c r="AO43" s="20"/>
      <c r="AP43" s="21">
        <f t="shared" si="0"/>
        <v>0</v>
      </c>
      <c r="AQ43" s="20">
        <f t="shared" si="1"/>
        <v>0</v>
      </c>
      <c r="AR43" s="19"/>
      <c r="AS43" s="21">
        <f t="shared" si="2"/>
        <v>20</v>
      </c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</row>
    <row r="44" spans="2:60">
      <c r="B44" s="276"/>
      <c r="C44" s="20" t="s">
        <v>119</v>
      </c>
      <c r="D44" s="20" t="s">
        <v>120</v>
      </c>
      <c r="E44" s="60" t="s">
        <v>21</v>
      </c>
      <c r="F44" s="60" t="s">
        <v>21</v>
      </c>
      <c r="G44" s="28" t="s">
        <v>22</v>
      </c>
      <c r="H44" s="28" t="s">
        <v>22</v>
      </c>
      <c r="I44" s="74" t="s">
        <v>23</v>
      </c>
      <c r="J44" s="74" t="s">
        <v>23</v>
      </c>
      <c r="K44" s="74" t="s">
        <v>23</v>
      </c>
      <c r="L44" s="74" t="s">
        <v>23</v>
      </c>
      <c r="M44" s="28" t="s">
        <v>22</v>
      </c>
      <c r="N44" s="28" t="s">
        <v>22</v>
      </c>
      <c r="O44" s="60" t="s">
        <v>21</v>
      </c>
      <c r="P44" s="60" t="s">
        <v>21</v>
      </c>
      <c r="Q44" s="60" t="s">
        <v>21</v>
      </c>
      <c r="R44" s="60" t="s">
        <v>21</v>
      </c>
      <c r="S44" s="28" t="s">
        <v>22</v>
      </c>
      <c r="T44" s="28" t="s">
        <v>22</v>
      </c>
      <c r="U44" s="74" t="s">
        <v>23</v>
      </c>
      <c r="V44" s="74" t="s">
        <v>23</v>
      </c>
      <c r="W44" s="74" t="s">
        <v>23</v>
      </c>
      <c r="X44" s="74" t="s">
        <v>23</v>
      </c>
      <c r="Y44" s="28" t="s">
        <v>22</v>
      </c>
      <c r="Z44" s="28" t="s">
        <v>22</v>
      </c>
      <c r="AA44" s="60" t="s">
        <v>21</v>
      </c>
      <c r="AB44" s="60" t="s">
        <v>21</v>
      </c>
      <c r="AC44" s="60" t="s">
        <v>21</v>
      </c>
      <c r="AD44" s="60" t="s">
        <v>21</v>
      </c>
      <c r="AE44" s="28" t="s">
        <v>22</v>
      </c>
      <c r="AF44" s="28" t="s">
        <v>22</v>
      </c>
      <c r="AG44" s="74" t="s">
        <v>23</v>
      </c>
      <c r="AH44" s="74" t="s">
        <v>23</v>
      </c>
      <c r="AI44" s="89" t="s">
        <v>23</v>
      </c>
      <c r="AJ44" s="19"/>
      <c r="AK44" s="20">
        <f>FEB!AJ44</f>
        <v>2</v>
      </c>
      <c r="AL44" s="21">
        <f t="shared" si="3"/>
        <v>0</v>
      </c>
      <c r="AM44" s="20">
        <f t="shared" si="4"/>
        <v>2</v>
      </c>
      <c r="AN44" s="19"/>
      <c r="AO44" s="20"/>
      <c r="AP44" s="21">
        <f t="shared" si="0"/>
        <v>0</v>
      </c>
      <c r="AQ44" s="20">
        <f t="shared" si="1"/>
        <v>0</v>
      </c>
      <c r="AR44" s="19"/>
      <c r="AS44" s="21">
        <f t="shared" si="2"/>
        <v>21</v>
      </c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</row>
    <row r="45" spans="2:60">
      <c r="B45" s="276"/>
      <c r="C45" s="22" t="s">
        <v>121</v>
      </c>
      <c r="D45" s="20" t="s">
        <v>122</v>
      </c>
      <c r="E45" s="28" t="s">
        <v>22</v>
      </c>
      <c r="F45" s="28" t="s">
        <v>22</v>
      </c>
      <c r="G45" s="60" t="s">
        <v>21</v>
      </c>
      <c r="H45" s="60" t="s">
        <v>21</v>
      </c>
      <c r="I45" s="60" t="s">
        <v>21</v>
      </c>
      <c r="J45" s="60" t="s">
        <v>21</v>
      </c>
      <c r="K45" s="28" t="s">
        <v>22</v>
      </c>
      <c r="L45" s="28" t="s">
        <v>22</v>
      </c>
      <c r="M45" s="74" t="s">
        <v>23</v>
      </c>
      <c r="N45" s="74" t="s">
        <v>23</v>
      </c>
      <c r="O45" s="74" t="s">
        <v>23</v>
      </c>
      <c r="P45" s="74" t="s">
        <v>23</v>
      </c>
      <c r="Q45" s="28" t="s">
        <v>22</v>
      </c>
      <c r="R45" s="28" t="s">
        <v>22</v>
      </c>
      <c r="S45" s="60" t="s">
        <v>21</v>
      </c>
      <c r="T45" s="60" t="s">
        <v>21</v>
      </c>
      <c r="U45" s="60" t="s">
        <v>21</v>
      </c>
      <c r="V45" s="60" t="s">
        <v>21</v>
      </c>
      <c r="W45" s="28" t="s">
        <v>22</v>
      </c>
      <c r="X45" s="28" t="s">
        <v>22</v>
      </c>
      <c r="Y45" s="74" t="s">
        <v>23</v>
      </c>
      <c r="Z45" s="74" t="s">
        <v>23</v>
      </c>
      <c r="AA45" s="74" t="s">
        <v>23</v>
      </c>
      <c r="AB45" s="74" t="s">
        <v>23</v>
      </c>
      <c r="AC45" s="28" t="s">
        <v>22</v>
      </c>
      <c r="AD45" s="28" t="s">
        <v>22</v>
      </c>
      <c r="AE45" s="60" t="s">
        <v>21</v>
      </c>
      <c r="AF45" s="60" t="s">
        <v>21</v>
      </c>
      <c r="AG45" s="60" t="s">
        <v>21</v>
      </c>
      <c r="AH45" s="60" t="s">
        <v>21</v>
      </c>
      <c r="AI45" s="91" t="s">
        <v>22</v>
      </c>
      <c r="AJ45" s="19"/>
      <c r="AK45" s="20">
        <f>FEB!AJ45</f>
        <v>0</v>
      </c>
      <c r="AL45" s="21">
        <f t="shared" si="3"/>
        <v>0</v>
      </c>
      <c r="AM45" s="20">
        <f t="shared" si="4"/>
        <v>0</v>
      </c>
      <c r="AN45" s="19"/>
      <c r="AO45" s="20"/>
      <c r="AP45" s="21">
        <f t="shared" si="0"/>
        <v>0</v>
      </c>
      <c r="AQ45" s="20">
        <f t="shared" si="1"/>
        <v>0</v>
      </c>
      <c r="AR45" s="19"/>
      <c r="AS45" s="21">
        <f t="shared" si="2"/>
        <v>20</v>
      </c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</row>
    <row r="46" spans="2:60" ht="15" customHeight="1">
      <c r="B46" s="276"/>
      <c r="C46" s="20" t="s">
        <v>124</v>
      </c>
      <c r="D46" s="20" t="s">
        <v>125</v>
      </c>
      <c r="E46" s="75" t="s">
        <v>26</v>
      </c>
      <c r="F46" s="28" t="s">
        <v>22</v>
      </c>
      <c r="G46" s="60" t="s">
        <v>21</v>
      </c>
      <c r="H46" s="60" t="s">
        <v>21</v>
      </c>
      <c r="I46" s="60" t="s">
        <v>21</v>
      </c>
      <c r="J46" s="60" t="s">
        <v>21</v>
      </c>
      <c r="K46" s="28" t="s">
        <v>22</v>
      </c>
      <c r="L46" s="28" t="s">
        <v>22</v>
      </c>
      <c r="M46" s="74" t="s">
        <v>23</v>
      </c>
      <c r="N46" s="74" t="s">
        <v>23</v>
      </c>
      <c r="O46" s="74" t="s">
        <v>23</v>
      </c>
      <c r="P46" s="74" t="s">
        <v>23</v>
      </c>
      <c r="Q46" s="28" t="s">
        <v>22</v>
      </c>
      <c r="R46" s="28" t="s">
        <v>22</v>
      </c>
      <c r="S46" s="60" t="s">
        <v>21</v>
      </c>
      <c r="T46" s="60" t="s">
        <v>21</v>
      </c>
      <c r="U46" s="60" t="s">
        <v>21</v>
      </c>
      <c r="V46" s="60" t="s">
        <v>21</v>
      </c>
      <c r="W46" s="28" t="s">
        <v>22</v>
      </c>
      <c r="X46" s="28" t="s">
        <v>22</v>
      </c>
      <c r="Y46" s="74" t="s">
        <v>23</v>
      </c>
      <c r="Z46" s="74" t="s">
        <v>23</v>
      </c>
      <c r="AA46" s="74" t="s">
        <v>23</v>
      </c>
      <c r="AB46" s="74" t="s">
        <v>23</v>
      </c>
      <c r="AC46" s="28" t="s">
        <v>22</v>
      </c>
      <c r="AD46" s="28" t="s">
        <v>22</v>
      </c>
      <c r="AE46" s="60" t="s">
        <v>21</v>
      </c>
      <c r="AF46" s="60" t="s">
        <v>21</v>
      </c>
      <c r="AG46" s="60" t="s">
        <v>21</v>
      </c>
      <c r="AH46" s="60" t="s">
        <v>21</v>
      </c>
      <c r="AI46" s="91" t="s">
        <v>22</v>
      </c>
      <c r="AJ46" s="19"/>
      <c r="AK46" s="20">
        <f>FEB!AJ46</f>
        <v>1</v>
      </c>
      <c r="AL46" s="21">
        <f t="shared" si="3"/>
        <v>0</v>
      </c>
      <c r="AM46" s="20">
        <f t="shared" si="4"/>
        <v>1</v>
      </c>
      <c r="AN46" s="19"/>
      <c r="AO46" s="20"/>
      <c r="AP46" s="21">
        <f t="shared" si="0"/>
        <v>0</v>
      </c>
      <c r="AQ46" s="20">
        <f t="shared" si="1"/>
        <v>0</v>
      </c>
      <c r="AR46" s="19"/>
      <c r="AS46" s="21">
        <f t="shared" si="2"/>
        <v>20</v>
      </c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</row>
    <row r="47" spans="2:60">
      <c r="B47" s="281"/>
      <c r="C47" s="92" t="s">
        <v>126</v>
      </c>
      <c r="D47" s="93" t="s">
        <v>127</v>
      </c>
      <c r="E47" s="96" t="s">
        <v>23</v>
      </c>
      <c r="F47" s="96" t="s">
        <v>23</v>
      </c>
      <c r="G47" s="96" t="s">
        <v>23</v>
      </c>
      <c r="H47" s="96" t="s">
        <v>23</v>
      </c>
      <c r="I47" s="94" t="s">
        <v>22</v>
      </c>
      <c r="J47" s="94" t="s">
        <v>22</v>
      </c>
      <c r="K47" s="95" t="s">
        <v>21</v>
      </c>
      <c r="L47" s="95" t="s">
        <v>21</v>
      </c>
      <c r="M47" s="95" t="s">
        <v>21</v>
      </c>
      <c r="N47" s="95" t="s">
        <v>21</v>
      </c>
      <c r="O47" s="94" t="s">
        <v>22</v>
      </c>
      <c r="P47" s="94" t="s">
        <v>22</v>
      </c>
      <c r="Q47" s="96" t="s">
        <v>23</v>
      </c>
      <c r="R47" s="96" t="s">
        <v>23</v>
      </c>
      <c r="S47" s="96" t="s">
        <v>23</v>
      </c>
      <c r="T47" s="96" t="s">
        <v>23</v>
      </c>
      <c r="U47" s="94" t="s">
        <v>22</v>
      </c>
      <c r="V47" s="94" t="s">
        <v>22</v>
      </c>
      <c r="W47" s="95" t="s">
        <v>21</v>
      </c>
      <c r="X47" s="95" t="s">
        <v>21</v>
      </c>
      <c r="Y47" s="95" t="s">
        <v>21</v>
      </c>
      <c r="Z47" s="95" t="s">
        <v>21</v>
      </c>
      <c r="AA47" s="94" t="s">
        <v>22</v>
      </c>
      <c r="AB47" s="94" t="s">
        <v>22</v>
      </c>
      <c r="AC47" s="96" t="s">
        <v>23</v>
      </c>
      <c r="AD47" s="96" t="s">
        <v>23</v>
      </c>
      <c r="AE47" s="96" t="s">
        <v>23</v>
      </c>
      <c r="AF47" s="96" t="s">
        <v>23</v>
      </c>
      <c r="AG47" s="94" t="s">
        <v>22</v>
      </c>
      <c r="AH47" s="94" t="s">
        <v>22</v>
      </c>
      <c r="AI47" s="122" t="s">
        <v>21</v>
      </c>
      <c r="AJ47" s="19"/>
      <c r="AK47" s="20">
        <f>FEB!AJ47</f>
        <v>2</v>
      </c>
      <c r="AL47" s="21">
        <f t="shared" si="3"/>
        <v>0</v>
      </c>
      <c r="AM47" s="20">
        <f t="shared" si="4"/>
        <v>2</v>
      </c>
      <c r="AN47" s="19"/>
      <c r="AO47" s="20"/>
      <c r="AP47" s="21">
        <f t="shared" si="0"/>
        <v>0</v>
      </c>
      <c r="AQ47" s="20">
        <f t="shared" si="1"/>
        <v>0</v>
      </c>
      <c r="AR47" s="19"/>
      <c r="AS47" s="21">
        <f t="shared" si="2"/>
        <v>21</v>
      </c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</row>
    <row r="48" spans="2:60"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</row>
    <row r="49" spans="2:60">
      <c r="B49" s="282" t="s">
        <v>252</v>
      </c>
      <c r="C49" s="286" t="s">
        <v>253</v>
      </c>
      <c r="D49" s="286"/>
      <c r="E49" s="21">
        <f>COUNTIF(C5:C47,$C$49)</f>
        <v>0</v>
      </c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</row>
    <row r="50" spans="2:60">
      <c r="B50" s="282"/>
      <c r="C50" s="286" t="s">
        <v>253</v>
      </c>
      <c r="D50" s="286"/>
      <c r="E50" s="21">
        <f>COUNTIF(C5:C47,$C$50)</f>
        <v>0</v>
      </c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</row>
    <row r="51" spans="2:60">
      <c r="C51" s="286" t="s">
        <v>128</v>
      </c>
      <c r="D51" s="286"/>
      <c r="E51" s="21">
        <f>E49+E50</f>
        <v>0</v>
      </c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</row>
    <row r="52" spans="2:60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</row>
    <row r="53" spans="2:60"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</row>
    <row r="54" spans="2:60">
      <c r="C54" s="19"/>
      <c r="D54" s="19"/>
      <c r="E54" s="28" t="s">
        <v>22</v>
      </c>
      <c r="F54" s="250" t="s">
        <v>129</v>
      </c>
      <c r="G54" s="251"/>
      <c r="H54" s="251"/>
      <c r="I54" s="252"/>
      <c r="J54" s="19"/>
      <c r="K54" s="29" t="s">
        <v>130</v>
      </c>
      <c r="L54" s="250" t="s">
        <v>131</v>
      </c>
      <c r="M54" s="251"/>
      <c r="N54" s="251"/>
      <c r="O54" s="252"/>
      <c r="P54" s="19"/>
      <c r="Q54" s="256" t="s">
        <v>132</v>
      </c>
      <c r="R54" s="256"/>
      <c r="S54" s="256"/>
      <c r="T54" s="25"/>
      <c r="V54" s="258" t="s">
        <v>133</v>
      </c>
      <c r="W54" s="258"/>
      <c r="X54" s="258"/>
      <c r="Y54" s="258" t="s">
        <v>134</v>
      </c>
      <c r="Z54" s="258"/>
      <c r="AA54" s="258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</row>
    <row r="55" spans="2:60">
      <c r="C55" s="19"/>
      <c r="D55" s="19"/>
      <c r="E55" s="28" t="s">
        <v>135</v>
      </c>
      <c r="F55" s="250" t="s">
        <v>136</v>
      </c>
      <c r="G55" s="251"/>
      <c r="H55" s="251"/>
      <c r="I55" s="252"/>
      <c r="J55" s="19"/>
      <c r="K55" s="29" t="s">
        <v>123</v>
      </c>
      <c r="L55" s="250" t="s">
        <v>137</v>
      </c>
      <c r="M55" s="251"/>
      <c r="N55" s="251"/>
      <c r="O55" s="252"/>
      <c r="P55" s="19"/>
      <c r="Q55" s="21" t="s">
        <v>20</v>
      </c>
      <c r="R55" s="283" t="s">
        <v>138</v>
      </c>
      <c r="S55" s="284"/>
      <c r="U55" s="57" t="s">
        <v>29</v>
      </c>
      <c r="V55" s="240" t="s">
        <v>139</v>
      </c>
      <c r="W55" s="240"/>
      <c r="X55" s="240"/>
      <c r="Y55" s="240" t="s">
        <v>140</v>
      </c>
      <c r="Z55" s="240"/>
      <c r="AA55" s="240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</row>
    <row r="56" spans="2:60">
      <c r="C56" s="19"/>
      <c r="D56" s="19"/>
      <c r="E56" s="30" t="s">
        <v>20</v>
      </c>
      <c r="F56" s="250" t="s">
        <v>141</v>
      </c>
      <c r="G56" s="251"/>
      <c r="H56" s="251"/>
      <c r="I56" s="252"/>
      <c r="J56" s="19"/>
      <c r="K56" s="28" t="s">
        <v>107</v>
      </c>
      <c r="L56" s="250" t="s">
        <v>142</v>
      </c>
      <c r="M56" s="251"/>
      <c r="N56" s="251"/>
      <c r="O56" s="252"/>
      <c r="P56" s="19"/>
      <c r="Q56" s="21" t="s">
        <v>143</v>
      </c>
      <c r="R56" s="283" t="s">
        <v>144</v>
      </c>
      <c r="S56" s="284"/>
      <c r="U56" s="46" t="s">
        <v>145</v>
      </c>
      <c r="V56" s="240" t="s">
        <v>146</v>
      </c>
      <c r="W56" s="240"/>
      <c r="X56" s="240"/>
      <c r="Y56" s="240" t="s">
        <v>147</v>
      </c>
      <c r="Z56" s="240"/>
      <c r="AA56" s="240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</row>
    <row r="57" spans="2:60">
      <c r="C57" s="19"/>
      <c r="D57" s="19"/>
      <c r="E57" s="31" t="s">
        <v>36</v>
      </c>
      <c r="F57" s="250" t="s">
        <v>148</v>
      </c>
      <c r="G57" s="251"/>
      <c r="H57" s="251"/>
      <c r="I57" s="252"/>
      <c r="J57" s="19"/>
      <c r="K57" s="28" t="s">
        <v>143</v>
      </c>
      <c r="L57" s="250" t="s">
        <v>142</v>
      </c>
      <c r="M57" s="251"/>
      <c r="N57" s="251"/>
      <c r="O57" s="252"/>
      <c r="P57" s="19"/>
      <c r="Q57" s="21" t="s">
        <v>149</v>
      </c>
      <c r="R57" s="259" t="s">
        <v>150</v>
      </c>
      <c r="S57" s="260"/>
      <c r="U57" s="47" t="s">
        <v>151</v>
      </c>
      <c r="V57" s="240" t="s">
        <v>152</v>
      </c>
      <c r="W57" s="240"/>
      <c r="X57" s="240"/>
      <c r="Y57" s="240" t="s">
        <v>153</v>
      </c>
      <c r="Z57" s="240"/>
      <c r="AA57" s="240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</row>
    <row r="58" spans="2:60">
      <c r="C58" s="19"/>
      <c r="D58" s="19"/>
      <c r="E58" s="31" t="s">
        <v>33</v>
      </c>
      <c r="F58" s="250" t="s">
        <v>154</v>
      </c>
      <c r="G58" s="251"/>
      <c r="H58" s="251"/>
      <c r="I58" s="252"/>
      <c r="J58" s="19"/>
      <c r="K58" s="28" t="s">
        <v>155</v>
      </c>
      <c r="L58" s="250" t="s">
        <v>142</v>
      </c>
      <c r="M58" s="251"/>
      <c r="N58" s="251"/>
      <c r="O58" s="252"/>
      <c r="P58" s="19"/>
      <c r="Q58" s="21" t="s">
        <v>156</v>
      </c>
      <c r="R58" s="282" t="s">
        <v>157</v>
      </c>
      <c r="S58" s="282"/>
      <c r="U58" s="58" t="s">
        <v>100</v>
      </c>
      <c r="V58" s="240" t="s">
        <v>158</v>
      </c>
      <c r="W58" s="240"/>
      <c r="X58" s="240"/>
      <c r="Y58" s="240" t="s">
        <v>159</v>
      </c>
      <c r="Z58" s="240"/>
      <c r="AA58" s="240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</row>
    <row r="59" spans="2:60">
      <c r="C59" s="19"/>
      <c r="D59" s="19"/>
      <c r="E59" s="32" t="s">
        <v>20</v>
      </c>
      <c r="F59" s="250" t="s">
        <v>160</v>
      </c>
      <c r="G59" s="251"/>
      <c r="H59" s="251"/>
      <c r="I59" s="252"/>
      <c r="J59" s="19"/>
      <c r="K59" s="33" t="s">
        <v>81</v>
      </c>
      <c r="L59" s="250" t="s">
        <v>161</v>
      </c>
      <c r="M59" s="251"/>
      <c r="N59" s="251"/>
      <c r="O59" s="252"/>
      <c r="P59" s="19"/>
      <c r="Q59" s="21" t="s">
        <v>162</v>
      </c>
      <c r="R59" s="282" t="s">
        <v>163</v>
      </c>
      <c r="S59" s="282"/>
      <c r="U59" s="59" t="s">
        <v>164</v>
      </c>
      <c r="V59" s="240" t="s">
        <v>165</v>
      </c>
      <c r="W59" s="240"/>
      <c r="X59" s="240"/>
      <c r="Y59" s="240" t="s">
        <v>166</v>
      </c>
      <c r="Z59" s="240"/>
      <c r="AA59" s="240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</row>
    <row r="60" spans="2:60">
      <c r="C60" s="19"/>
      <c r="D60" s="19"/>
      <c r="E60" s="32" t="s">
        <v>36</v>
      </c>
      <c r="F60" s="250" t="s">
        <v>167</v>
      </c>
      <c r="G60" s="251"/>
      <c r="H60" s="251"/>
      <c r="I60" s="252"/>
      <c r="J60" s="19"/>
      <c r="K60" s="28" t="s">
        <v>168</v>
      </c>
      <c r="L60" s="250" t="s">
        <v>161</v>
      </c>
      <c r="M60" s="251"/>
      <c r="N60" s="251"/>
      <c r="O60" s="252"/>
      <c r="T60" s="19"/>
      <c r="U60" s="72" t="s">
        <v>169</v>
      </c>
      <c r="V60" s="240" t="s">
        <v>170</v>
      </c>
      <c r="W60" s="240"/>
      <c r="X60" s="240"/>
      <c r="Y60" s="240" t="s">
        <v>171</v>
      </c>
      <c r="Z60" s="240"/>
      <c r="AA60" s="240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</row>
    <row r="61" spans="2:60">
      <c r="C61" s="19"/>
      <c r="D61" s="19"/>
      <c r="E61" s="34" t="s">
        <v>26</v>
      </c>
      <c r="F61" s="250" t="s">
        <v>172</v>
      </c>
      <c r="G61" s="251"/>
      <c r="H61" s="251"/>
      <c r="I61" s="252"/>
      <c r="J61" s="19"/>
      <c r="K61" s="28" t="s">
        <v>173</v>
      </c>
      <c r="L61" s="250" t="s">
        <v>161</v>
      </c>
      <c r="M61" s="251"/>
      <c r="N61" s="251"/>
      <c r="O61" s="252"/>
      <c r="T61" s="19"/>
      <c r="U61" s="60" t="s">
        <v>21</v>
      </c>
      <c r="V61" s="240" t="s">
        <v>174</v>
      </c>
      <c r="W61" s="240"/>
      <c r="X61" s="240"/>
      <c r="Y61" s="240" t="s">
        <v>175</v>
      </c>
      <c r="Z61" s="240"/>
      <c r="AA61" s="240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</row>
    <row r="62" spans="2:60">
      <c r="C62" s="19"/>
      <c r="D62" s="19"/>
      <c r="E62" s="34" t="s">
        <v>176</v>
      </c>
      <c r="F62" s="250" t="s">
        <v>177</v>
      </c>
      <c r="G62" s="251"/>
      <c r="H62" s="251"/>
      <c r="I62" s="252"/>
      <c r="J62" s="19"/>
      <c r="K62" s="28" t="s">
        <v>178</v>
      </c>
      <c r="L62" s="250" t="s">
        <v>161</v>
      </c>
      <c r="M62" s="251"/>
      <c r="N62" s="251"/>
      <c r="O62" s="252"/>
      <c r="T62" s="19"/>
      <c r="U62" s="61" t="s">
        <v>179</v>
      </c>
      <c r="V62" s="240" t="s">
        <v>180</v>
      </c>
      <c r="W62" s="240"/>
      <c r="X62" s="240"/>
      <c r="Y62" s="240" t="s">
        <v>181</v>
      </c>
      <c r="Z62" s="240"/>
      <c r="AA62" s="240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</row>
    <row r="63" spans="2:60">
      <c r="C63" s="19"/>
      <c r="D63" s="19"/>
      <c r="E63" s="32" t="s">
        <v>182</v>
      </c>
      <c r="F63" s="250" t="s">
        <v>183</v>
      </c>
      <c r="G63" s="251"/>
      <c r="H63" s="251"/>
      <c r="I63" s="252"/>
      <c r="J63" s="19"/>
      <c r="K63" s="27" t="s">
        <v>67</v>
      </c>
      <c r="L63" s="250" t="s">
        <v>161</v>
      </c>
      <c r="M63" s="251"/>
      <c r="N63" s="251"/>
      <c r="O63" s="252"/>
      <c r="P63" s="19"/>
      <c r="Q63" s="19"/>
      <c r="R63" s="19"/>
      <c r="S63" s="19"/>
      <c r="T63" s="19"/>
      <c r="U63" s="62" t="s">
        <v>184</v>
      </c>
      <c r="V63" s="240" t="s">
        <v>185</v>
      </c>
      <c r="W63" s="240"/>
      <c r="X63" s="240"/>
      <c r="Y63" s="240" t="s">
        <v>186</v>
      </c>
      <c r="Z63" s="240"/>
      <c r="AA63" s="240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</row>
    <row r="64" spans="2:60">
      <c r="C64" s="19"/>
      <c r="D64" s="19"/>
      <c r="E64" s="33" t="s">
        <v>30</v>
      </c>
      <c r="F64" s="250" t="s">
        <v>187</v>
      </c>
      <c r="G64" s="251"/>
      <c r="H64" s="251"/>
      <c r="I64" s="252"/>
      <c r="J64" s="19"/>
      <c r="K64" s="28" t="s">
        <v>188</v>
      </c>
      <c r="L64" s="250" t="s">
        <v>161</v>
      </c>
      <c r="M64" s="251"/>
      <c r="N64" s="251"/>
      <c r="O64" s="252"/>
      <c r="P64" s="19"/>
      <c r="Q64" s="19"/>
      <c r="R64" s="19"/>
      <c r="S64" s="19"/>
      <c r="T64" s="19"/>
      <c r="U64" s="50" t="s">
        <v>42</v>
      </c>
      <c r="V64" s="240" t="s">
        <v>189</v>
      </c>
      <c r="W64" s="240"/>
      <c r="X64" s="240"/>
      <c r="Y64" s="240" t="s">
        <v>190</v>
      </c>
      <c r="Z64" s="240"/>
      <c r="AA64" s="240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</row>
    <row r="65" spans="3:60">
      <c r="C65" s="19"/>
      <c r="D65" s="19"/>
      <c r="E65" s="35" t="s">
        <v>191</v>
      </c>
      <c r="F65" s="250" t="s">
        <v>192</v>
      </c>
      <c r="G65" s="251"/>
      <c r="H65" s="251"/>
      <c r="I65" s="252"/>
      <c r="J65" s="19"/>
      <c r="K65" s="28" t="s">
        <v>193</v>
      </c>
      <c r="L65" s="250" t="s">
        <v>161</v>
      </c>
      <c r="M65" s="251"/>
      <c r="N65" s="251"/>
      <c r="O65" s="252"/>
      <c r="P65" s="19"/>
      <c r="Q65" s="19"/>
      <c r="R65" s="19"/>
      <c r="S65" s="19"/>
      <c r="T65" s="19"/>
      <c r="U65" s="51" t="s">
        <v>194</v>
      </c>
      <c r="V65" s="240" t="s">
        <v>195</v>
      </c>
      <c r="W65" s="240"/>
      <c r="X65" s="240"/>
      <c r="Y65" s="240" t="s">
        <v>196</v>
      </c>
      <c r="Z65" s="240"/>
      <c r="AA65" s="240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</row>
    <row r="66" spans="3:60">
      <c r="C66" s="19"/>
      <c r="D66" s="19"/>
      <c r="E66" s="36" t="s">
        <v>197</v>
      </c>
      <c r="F66" s="250" t="s">
        <v>198</v>
      </c>
      <c r="G66" s="251"/>
      <c r="H66" s="251"/>
      <c r="I66" s="252"/>
      <c r="J66" s="19"/>
      <c r="K66" s="37" t="s">
        <v>199</v>
      </c>
      <c r="L66" s="250" t="s">
        <v>161</v>
      </c>
      <c r="M66" s="251"/>
      <c r="N66" s="251"/>
      <c r="O66" s="252"/>
      <c r="P66" s="19"/>
      <c r="Q66" s="19"/>
      <c r="R66" s="19"/>
      <c r="S66" s="19"/>
      <c r="T66" s="19"/>
      <c r="U66" s="49" t="s">
        <v>200</v>
      </c>
      <c r="V66" s="240" t="s">
        <v>201</v>
      </c>
      <c r="W66" s="240"/>
      <c r="X66" s="240"/>
      <c r="Y66" s="240" t="s">
        <v>202</v>
      </c>
      <c r="Z66" s="240"/>
      <c r="AA66" s="240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</row>
    <row r="67" spans="3:60">
      <c r="C67" s="19"/>
      <c r="D67" s="19"/>
      <c r="E67" s="27" t="s">
        <v>203</v>
      </c>
      <c r="F67" s="250" t="s">
        <v>204</v>
      </c>
      <c r="G67" s="251"/>
      <c r="H67" s="251"/>
      <c r="I67" s="252"/>
      <c r="J67" s="19"/>
      <c r="K67" s="28" t="s">
        <v>205</v>
      </c>
      <c r="L67" s="250" t="s">
        <v>161</v>
      </c>
      <c r="M67" s="251"/>
      <c r="N67" s="251"/>
      <c r="O67" s="252"/>
      <c r="P67" s="19"/>
      <c r="Q67" s="19"/>
      <c r="R67" s="19"/>
      <c r="S67" s="19"/>
      <c r="T67" s="19"/>
      <c r="U67" s="63" t="s">
        <v>206</v>
      </c>
      <c r="V67" s="240" t="s">
        <v>207</v>
      </c>
      <c r="W67" s="240"/>
      <c r="X67" s="240"/>
      <c r="Y67" s="240" t="s">
        <v>208</v>
      </c>
      <c r="Z67" s="240"/>
      <c r="AA67" s="240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</row>
    <row r="68" spans="3:60">
      <c r="C68" s="19"/>
      <c r="D68" s="19"/>
      <c r="E68" s="36" t="s">
        <v>209</v>
      </c>
      <c r="F68" s="250" t="s">
        <v>210</v>
      </c>
      <c r="G68" s="251"/>
      <c r="H68" s="251"/>
      <c r="I68" s="252"/>
      <c r="J68" s="19"/>
      <c r="K68" s="38" t="s">
        <v>211</v>
      </c>
      <c r="L68" s="250" t="s">
        <v>212</v>
      </c>
      <c r="M68" s="251"/>
      <c r="N68" s="251"/>
      <c r="O68" s="252"/>
      <c r="P68" s="19"/>
      <c r="Q68" s="19"/>
      <c r="R68" s="19"/>
      <c r="S68" s="19"/>
      <c r="T68" s="19"/>
      <c r="U68" s="56" t="s">
        <v>116</v>
      </c>
      <c r="V68" s="240" t="s">
        <v>213</v>
      </c>
      <c r="W68" s="240"/>
      <c r="X68" s="240"/>
      <c r="Y68" s="240" t="s">
        <v>214</v>
      </c>
      <c r="Z68" s="240"/>
      <c r="AA68" s="240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</row>
    <row r="69" spans="3:60">
      <c r="C69" s="19"/>
      <c r="D69" s="19"/>
      <c r="U69" s="54" t="s">
        <v>215</v>
      </c>
      <c r="V69" s="240" t="s">
        <v>216</v>
      </c>
      <c r="W69" s="240"/>
      <c r="X69" s="240"/>
      <c r="Y69" s="240" t="s">
        <v>217</v>
      </c>
      <c r="Z69" s="240"/>
      <c r="AA69" s="240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</row>
    <row r="70" spans="3:60"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55" t="s">
        <v>113</v>
      </c>
      <c r="V70" s="240" t="s">
        <v>218</v>
      </c>
      <c r="W70" s="240"/>
      <c r="X70" s="240"/>
      <c r="Y70" s="240" t="s">
        <v>219</v>
      </c>
      <c r="Z70" s="240"/>
      <c r="AA70" s="240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</row>
    <row r="71" spans="3:60"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64" t="s">
        <v>220</v>
      </c>
      <c r="V71" s="240" t="s">
        <v>221</v>
      </c>
      <c r="W71" s="240"/>
      <c r="X71" s="240"/>
      <c r="Y71" s="240" t="s">
        <v>222</v>
      </c>
      <c r="Z71" s="240"/>
      <c r="AA71" s="240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</row>
    <row r="72" spans="3:60"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65" t="s">
        <v>223</v>
      </c>
      <c r="V72" s="240" t="s">
        <v>224</v>
      </c>
      <c r="W72" s="240"/>
      <c r="X72" s="240"/>
      <c r="Y72" s="240" t="s">
        <v>225</v>
      </c>
      <c r="Z72" s="240"/>
      <c r="AA72" s="240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</row>
    <row r="73" spans="3:60"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66" t="s">
        <v>226</v>
      </c>
      <c r="V73" s="240" t="s">
        <v>227</v>
      </c>
      <c r="W73" s="240"/>
      <c r="X73" s="240"/>
      <c r="Y73" s="240" t="s">
        <v>228</v>
      </c>
      <c r="Z73" s="240"/>
      <c r="AA73" s="240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</row>
    <row r="74" spans="3:60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67" t="s">
        <v>84</v>
      </c>
      <c r="V74" s="240" t="s">
        <v>229</v>
      </c>
      <c r="W74" s="240"/>
      <c r="X74" s="240"/>
      <c r="Y74" s="240" t="s">
        <v>230</v>
      </c>
      <c r="Z74" s="240"/>
      <c r="AA74" s="240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</row>
    <row r="75" spans="3:60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68" t="s">
        <v>41</v>
      </c>
      <c r="V75" s="240" t="s">
        <v>231</v>
      </c>
      <c r="W75" s="240"/>
      <c r="X75" s="240"/>
      <c r="Y75" s="240" t="s">
        <v>232</v>
      </c>
      <c r="Z75" s="240"/>
      <c r="AA75" s="240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</row>
    <row r="76" spans="3:60"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69" t="s">
        <v>233</v>
      </c>
      <c r="V76" s="240" t="s">
        <v>234</v>
      </c>
      <c r="W76" s="240"/>
      <c r="X76" s="240"/>
      <c r="Y76" s="240" t="s">
        <v>235</v>
      </c>
      <c r="Z76" s="240"/>
      <c r="AA76" s="240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</row>
    <row r="77" spans="3:60"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70" t="s">
        <v>66</v>
      </c>
      <c r="V77" s="240" t="s">
        <v>236</v>
      </c>
      <c r="W77" s="240"/>
      <c r="X77" s="240"/>
      <c r="Y77" s="240" t="s">
        <v>237</v>
      </c>
      <c r="Z77" s="240"/>
      <c r="AA77" s="240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</row>
    <row r="78" spans="3:60"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52" t="s">
        <v>23</v>
      </c>
      <c r="V78" s="240" t="s">
        <v>238</v>
      </c>
      <c r="W78" s="240"/>
      <c r="X78" s="240"/>
      <c r="Y78" s="240" t="s">
        <v>239</v>
      </c>
      <c r="Z78" s="240"/>
      <c r="AA78" s="240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</row>
    <row r="79" spans="3:60"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53" t="s">
        <v>240</v>
      </c>
      <c r="V79" s="240" t="s">
        <v>241</v>
      </c>
      <c r="W79" s="240"/>
      <c r="X79" s="240"/>
      <c r="Y79" s="240" t="s">
        <v>242</v>
      </c>
      <c r="Z79" s="240"/>
      <c r="AA79" s="240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</row>
    <row r="80" spans="3:60"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71" t="s">
        <v>243</v>
      </c>
      <c r="V80" s="240" t="s">
        <v>244</v>
      </c>
      <c r="W80" s="240"/>
      <c r="X80" s="240"/>
      <c r="Y80" s="240" t="s">
        <v>245</v>
      </c>
      <c r="Z80" s="240"/>
      <c r="AA80" s="240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</row>
    <row r="81" spans="3:60"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48" t="s">
        <v>246</v>
      </c>
      <c r="V81" s="240" t="s">
        <v>247</v>
      </c>
      <c r="W81" s="240"/>
      <c r="X81" s="240"/>
      <c r="Y81" s="240" t="s">
        <v>248</v>
      </c>
      <c r="Z81" s="240"/>
      <c r="AA81" s="240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</row>
    <row r="82" spans="3:60"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</row>
    <row r="83" spans="3:60"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</row>
    <row r="84" spans="3:60"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</row>
    <row r="85" spans="3:60"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</row>
    <row r="86" spans="3:60"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</row>
    <row r="87" spans="3:60"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</row>
    <row r="88" spans="3:60"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</row>
    <row r="89" spans="3:60"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</row>
    <row r="90" spans="3:60"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</row>
    <row r="91" spans="3:60"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</row>
    <row r="92" spans="3:60"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</row>
    <row r="93" spans="3:60"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</row>
    <row r="94" spans="3:60"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</row>
    <row r="95" spans="3:60"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</row>
    <row r="96" spans="3:60"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</row>
    <row r="97" spans="3:60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</row>
    <row r="98" spans="3:60"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</row>
    <row r="99" spans="3:60"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</row>
    <row r="100" spans="3:60"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</row>
    <row r="101" spans="3:60"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</row>
    <row r="102" spans="3:60"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</row>
    <row r="103" spans="3:60"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</row>
    <row r="104" spans="3:60"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</row>
    <row r="105" spans="3:60"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</row>
    <row r="106" spans="3:60"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</row>
    <row r="107" spans="3:60"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</row>
    <row r="108" spans="3:60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</row>
    <row r="109" spans="3:60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</row>
    <row r="110" spans="3:60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</row>
    <row r="111" spans="3:60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</row>
    <row r="112" spans="3:60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</row>
    <row r="113" spans="3:60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</row>
    <row r="114" spans="3:60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</row>
    <row r="115" spans="3:60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</row>
    <row r="116" spans="3:60"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</row>
    <row r="117" spans="3:60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</row>
    <row r="118" spans="3:60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</row>
    <row r="119" spans="3:60"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</row>
    <row r="120" spans="3:60"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</row>
    <row r="121" spans="3:60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</row>
    <row r="122" spans="3:60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</row>
    <row r="123" spans="3:60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</row>
    <row r="124" spans="3:60"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</row>
    <row r="125" spans="3:60"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</row>
    <row r="126" spans="3:60"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</row>
    <row r="127" spans="3:60"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</row>
    <row r="128" spans="3:60"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</row>
    <row r="129" spans="3:60"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</row>
    <row r="130" spans="3:60"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</row>
    <row r="131" spans="3:60"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</row>
    <row r="132" spans="3:60"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</row>
    <row r="133" spans="3:60"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</row>
    <row r="134" spans="3:60"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</row>
    <row r="135" spans="3:60"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</row>
    <row r="136" spans="3:60"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</row>
    <row r="137" spans="3:60"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</row>
    <row r="138" spans="3:60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</row>
    <row r="139" spans="3:60"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</row>
    <row r="140" spans="3:60"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</row>
    <row r="141" spans="3:60"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</row>
    <row r="142" spans="3:60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</row>
    <row r="143" spans="3:60"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</row>
    <row r="144" spans="3:60"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</row>
    <row r="145" spans="3:60"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</row>
    <row r="146" spans="3:60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</row>
    <row r="147" spans="3:60"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</row>
    <row r="148" spans="3:60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</row>
    <row r="149" spans="3:60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</row>
    <row r="150" spans="3:60"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</row>
    <row r="151" spans="3:60"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</row>
    <row r="152" spans="3:60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</row>
    <row r="153" spans="3:60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</row>
    <row r="154" spans="3:60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</row>
    <row r="155" spans="3:60"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</row>
    <row r="156" spans="3:60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</row>
    <row r="157" spans="3:60"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</row>
    <row r="158" spans="3:60"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</row>
    <row r="159" spans="3:60"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</row>
    <row r="160" spans="3:60"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</row>
    <row r="161" spans="3:60"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</row>
    <row r="162" spans="3:60"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</row>
    <row r="163" spans="3:60"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</row>
    <row r="164" spans="3:60"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</row>
    <row r="165" spans="3:60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</row>
    <row r="166" spans="3:60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</row>
    <row r="167" spans="3:60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</row>
    <row r="168" spans="3:60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</row>
    <row r="169" spans="3:60"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</row>
    <row r="170" spans="3:60"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</row>
    <row r="171" spans="3:60"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</row>
    <row r="172" spans="3:60"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</row>
    <row r="173" spans="3:60"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</row>
    <row r="174" spans="3:60"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</row>
    <row r="175" spans="3:60"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</row>
    <row r="176" spans="3:60"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</row>
    <row r="177" spans="3:60"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</row>
    <row r="178" spans="3:60"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</row>
    <row r="179" spans="3:60"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</row>
    <row r="180" spans="3:60"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</row>
    <row r="181" spans="3:60"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</row>
    <row r="182" spans="3:60"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</row>
    <row r="183" spans="3:60"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</row>
    <row r="184" spans="3:60"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</row>
    <row r="185" spans="3:60"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</row>
    <row r="186" spans="3:60"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</row>
    <row r="187" spans="3:60"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</row>
    <row r="188" spans="3:60"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</row>
    <row r="189" spans="3:60"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</row>
    <row r="190" spans="3:60"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</row>
    <row r="191" spans="3:60"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</row>
    <row r="192" spans="3:60"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</row>
    <row r="193" spans="3:60"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</row>
    <row r="194" spans="3:60"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</row>
    <row r="195" spans="3:60"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</row>
    <row r="196" spans="3:60"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</row>
    <row r="197" spans="3:60"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</row>
    <row r="198" spans="3:60"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</row>
    <row r="199" spans="3:60"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</row>
    <row r="200" spans="3:60"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</row>
    <row r="201" spans="3:60"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</row>
    <row r="202" spans="3:60"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</row>
    <row r="203" spans="3:60"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</row>
    <row r="204" spans="3:60"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</row>
    <row r="205" spans="3:60"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</row>
    <row r="206" spans="3:60"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</row>
    <row r="207" spans="3:60"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</row>
    <row r="208" spans="3:60"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</row>
    <row r="209" spans="3:60"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</row>
    <row r="210" spans="3:60"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</row>
    <row r="211" spans="3:60"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</row>
    <row r="212" spans="3:60"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</row>
    <row r="213" spans="3:60"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</row>
    <row r="214" spans="3:60"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</row>
    <row r="215" spans="3:60"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</row>
    <row r="216" spans="3:60"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</row>
    <row r="217" spans="3:60"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</row>
    <row r="218" spans="3:60"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</row>
    <row r="219" spans="3:60"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</row>
    <row r="220" spans="3:60"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</row>
    <row r="221" spans="3:60"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</row>
    <row r="222" spans="3:60"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</row>
    <row r="223" spans="3:60"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</row>
    <row r="224" spans="3:60"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</row>
    <row r="225" spans="3:60"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</row>
    <row r="226" spans="3:60"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</row>
    <row r="227" spans="3:60"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</row>
    <row r="228" spans="3:60"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</row>
    <row r="229" spans="3:60"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</row>
    <row r="230" spans="3:60"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</row>
    <row r="231" spans="3:60"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</row>
    <row r="232" spans="3:60"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</row>
    <row r="233" spans="3:60"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</row>
    <row r="234" spans="3:60"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</row>
    <row r="235" spans="3:60"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</row>
    <row r="236" spans="3:60"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</row>
    <row r="237" spans="3:60"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</row>
    <row r="238" spans="3:60"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</row>
    <row r="239" spans="3:60"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</row>
    <row r="240" spans="3:60"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</row>
    <row r="241" spans="3:60"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</row>
    <row r="242" spans="3:60"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</row>
    <row r="243" spans="3:60"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</row>
    <row r="244" spans="3:60"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</row>
    <row r="245" spans="3:60"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</row>
    <row r="246" spans="3:60"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</row>
    <row r="247" spans="3:60"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</row>
    <row r="248" spans="3:60"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</row>
    <row r="249" spans="3:60"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</row>
    <row r="250" spans="3:60"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</row>
    <row r="251" spans="3:60"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</row>
    <row r="252" spans="3:60"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</row>
    <row r="253" spans="3:60"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</row>
    <row r="254" spans="3:60"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</row>
    <row r="255" spans="3:60"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</row>
    <row r="256" spans="3:60"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</row>
    <row r="257" spans="3:60"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</row>
    <row r="258" spans="3:60"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</row>
    <row r="259" spans="3:60"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</row>
    <row r="260" spans="3:60"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</row>
    <row r="261" spans="3:60"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</row>
    <row r="262" spans="3:60"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</row>
    <row r="263" spans="3:60"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</row>
    <row r="264" spans="3:60"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</row>
    <row r="265" spans="3:60"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</row>
    <row r="266" spans="3:60"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</row>
    <row r="267" spans="3:60"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</row>
    <row r="268" spans="3:60"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</row>
    <row r="269" spans="3:60"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</row>
    <row r="270" spans="3:60"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</row>
    <row r="271" spans="3:60"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</row>
    <row r="272" spans="3:60"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</row>
    <row r="273" spans="3:60"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</row>
    <row r="274" spans="3:60"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</row>
    <row r="275" spans="3:60"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</row>
    <row r="276" spans="3:60"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</row>
    <row r="277" spans="3:60"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</row>
    <row r="278" spans="3:60"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</row>
    <row r="279" spans="3:60"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</row>
    <row r="280" spans="3:60"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</row>
    <row r="281" spans="3:60"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</row>
    <row r="282" spans="3:60"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</row>
    <row r="283" spans="3:60"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</row>
    <row r="284" spans="3:60"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</row>
    <row r="285" spans="3:60"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</row>
    <row r="286" spans="3:60"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</row>
    <row r="287" spans="3:60"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</row>
    <row r="288" spans="3:60"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</row>
    <row r="289" spans="3:60"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</row>
    <row r="290" spans="3:60"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</row>
    <row r="291" spans="3:60"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</row>
    <row r="292" spans="3:60"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</row>
    <row r="293" spans="3:60"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</row>
    <row r="294" spans="3:60"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</row>
    <row r="295" spans="3:60"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</row>
    <row r="296" spans="3:60"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</row>
    <row r="297" spans="3:60"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</row>
    <row r="298" spans="3:60"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</row>
    <row r="299" spans="3:60"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</row>
    <row r="300" spans="3:60"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</row>
    <row r="301" spans="3:60"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</row>
    <row r="302" spans="3:60"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</row>
    <row r="303" spans="3:60"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</row>
    <row r="304" spans="3:60"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</row>
    <row r="305" spans="3:60"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</row>
    <row r="306" spans="3:60"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</row>
    <row r="307" spans="3:60"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</row>
    <row r="308" spans="3:60"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</row>
    <row r="309" spans="3:60"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</row>
    <row r="310" spans="3:60"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</row>
    <row r="311" spans="3:60"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</row>
    <row r="312" spans="3:60"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</row>
    <row r="313" spans="3:60"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</row>
    <row r="314" spans="3:60"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</row>
    <row r="315" spans="3:60"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</row>
    <row r="316" spans="3:60"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</row>
    <row r="317" spans="3:60"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</row>
    <row r="318" spans="3:60"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</row>
    <row r="319" spans="3:60"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</row>
    <row r="320" spans="3:60"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</row>
    <row r="321" spans="3:60"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</row>
    <row r="322" spans="3:60"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</row>
    <row r="323" spans="3:60"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</row>
    <row r="324" spans="3:60"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</row>
    <row r="325" spans="3:60"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</row>
  </sheetData>
  <mergeCells count="108">
    <mergeCell ref="Y77:AA77"/>
    <mergeCell ref="V78:X78"/>
    <mergeCell ref="Y78:AA78"/>
    <mergeCell ref="B49:B50"/>
    <mergeCell ref="F68:I68"/>
    <mergeCell ref="L68:O68"/>
    <mergeCell ref="V73:X73"/>
    <mergeCell ref="Y73:AA73"/>
    <mergeCell ref="V74:X74"/>
    <mergeCell ref="Y74:AA74"/>
    <mergeCell ref="V75:X75"/>
    <mergeCell ref="Y75:AA75"/>
    <mergeCell ref="V70:X70"/>
    <mergeCell ref="Y70:AA70"/>
    <mergeCell ref="V71:X71"/>
    <mergeCell ref="Y71:AA71"/>
    <mergeCell ref="V72:X72"/>
    <mergeCell ref="Y72:AA72"/>
    <mergeCell ref="F61:I61"/>
    <mergeCell ref="L61:O61"/>
    <mergeCell ref="V61:X61"/>
    <mergeCell ref="Y61:AA61"/>
    <mergeCell ref="F62:I62"/>
    <mergeCell ref="L62:O62"/>
    <mergeCell ref="V62:X62"/>
    <mergeCell ref="Y62:AA62"/>
    <mergeCell ref="V67:X67"/>
    <mergeCell ref="Y67:AA67"/>
    <mergeCell ref="V66:X66"/>
    <mergeCell ref="Y66:AA66"/>
    <mergeCell ref="V63:X63"/>
    <mergeCell ref="Y63:AA63"/>
    <mergeCell ref="V64:X64"/>
    <mergeCell ref="Y64:AA64"/>
    <mergeCell ref="V65:X65"/>
    <mergeCell ref="Y65:AA65"/>
    <mergeCell ref="L58:O58"/>
    <mergeCell ref="L55:O55"/>
    <mergeCell ref="V59:X59"/>
    <mergeCell ref="Y59:AA59"/>
    <mergeCell ref="F60:I60"/>
    <mergeCell ref="L60:O60"/>
    <mergeCell ref="V60:X60"/>
    <mergeCell ref="Y60:AA60"/>
    <mergeCell ref="R57:S57"/>
    <mergeCell ref="R58:S58"/>
    <mergeCell ref="R59:S59"/>
    <mergeCell ref="F57:I57"/>
    <mergeCell ref="B2:B4"/>
    <mergeCell ref="C3:D4"/>
    <mergeCell ref="C49:D49"/>
    <mergeCell ref="C50:D50"/>
    <mergeCell ref="C51:D51"/>
    <mergeCell ref="E2:AI2"/>
    <mergeCell ref="C2:D2"/>
    <mergeCell ref="B5:B12"/>
    <mergeCell ref="B13:B24"/>
    <mergeCell ref="B36:B39"/>
    <mergeCell ref="B40:B47"/>
    <mergeCell ref="B25:B35"/>
    <mergeCell ref="F54:I54"/>
    <mergeCell ref="L54:O54"/>
    <mergeCell ref="Q54:S54"/>
    <mergeCell ref="V54:X54"/>
    <mergeCell ref="Y54:AA54"/>
    <mergeCell ref="F67:I67"/>
    <mergeCell ref="L67:O67"/>
    <mergeCell ref="F63:I63"/>
    <mergeCell ref="L63:O63"/>
    <mergeCell ref="F64:I64"/>
    <mergeCell ref="L64:O64"/>
    <mergeCell ref="F65:I65"/>
    <mergeCell ref="L65:O65"/>
    <mergeCell ref="F66:I66"/>
    <mergeCell ref="L66:O66"/>
    <mergeCell ref="F55:I55"/>
    <mergeCell ref="R55:S55"/>
    <mergeCell ref="R56:S56"/>
    <mergeCell ref="F56:I56"/>
    <mergeCell ref="L56:O56"/>
    <mergeCell ref="F59:I59"/>
    <mergeCell ref="L59:O59"/>
    <mergeCell ref="L57:O57"/>
    <mergeCell ref="F58:I58"/>
    <mergeCell ref="V81:X81"/>
    <mergeCell ref="Y81:AA81"/>
    <mergeCell ref="AK2:AM3"/>
    <mergeCell ref="AO2:AQ3"/>
    <mergeCell ref="AS2:AS4"/>
    <mergeCell ref="V58:X58"/>
    <mergeCell ref="Y58:AA58"/>
    <mergeCell ref="V57:X57"/>
    <mergeCell ref="Y57:AA57"/>
    <mergeCell ref="V56:X56"/>
    <mergeCell ref="Y56:AA56"/>
    <mergeCell ref="V55:X55"/>
    <mergeCell ref="Y55:AA55"/>
    <mergeCell ref="V69:X69"/>
    <mergeCell ref="Y69:AA69"/>
    <mergeCell ref="V68:X68"/>
    <mergeCell ref="Y68:AA68"/>
    <mergeCell ref="V79:X79"/>
    <mergeCell ref="Y79:AA79"/>
    <mergeCell ref="V80:X80"/>
    <mergeCell ref="Y80:AA80"/>
    <mergeCell ref="V76:X76"/>
    <mergeCell ref="Y76:AA76"/>
    <mergeCell ref="V77:X77"/>
  </mergeCells>
  <conditionalFormatting sqref="AM5:AM47">
    <cfRule type="cellIs" dxfId="59" priority="2" operator="greaterThan">
      <formula>1</formula>
    </cfRule>
    <cfRule type="cellIs" dxfId="58" priority="3" operator="equal">
      <formula>1</formula>
    </cfRule>
    <cfRule type="cellIs" dxfId="57" priority="4" operator="greaterThan">
      <formula>0</formula>
    </cfRule>
  </conditionalFormatting>
  <conditionalFormatting sqref="AQ5:AQ47">
    <cfRule type="cellIs" dxfId="56" priority="1" operator="lessThan">
      <formula>0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equal" id="{BF218950-B086-46EC-AE83-EDFD159F0D0A}">
            <xm:f>Sheet1!$B$3</xm:f>
            <x14:dxf>
              <fill>
                <patternFill>
                  <bgColor theme="6" tint="0.79998168889431442"/>
                </patternFill>
              </fill>
            </x14:dxf>
          </x14:cfRule>
          <x14:cfRule type="cellIs" priority="8" operator="equal" id="{8A113FF1-F5C1-40A2-865B-81DE06E37A35}">
            <xm:f>Sheet1!$B$2</xm:f>
            <x14:dxf>
              <fill>
                <patternFill>
                  <bgColor rgb="FFFFFF99"/>
                </patternFill>
              </fill>
            </x14:dxf>
          </x14:cfRule>
          <xm:sqref>B2:B4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63704F-F1E1-4BDC-AE9E-789487BF2F71}">
          <x14:formula1>
            <xm:f>Sheet1!$B$2:$B$3</xm:f>
          </x14:formula1>
          <xm:sqref>B2:B4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1C90-218F-4526-90B5-0D9E225DAC0C}">
  <dimension ref="B2:BH327"/>
  <sheetViews>
    <sheetView showGridLines="0" workbookViewId="0">
      <pane xSplit="4" ySplit="4" topLeftCell="E5" activePane="bottomRight" state="frozen"/>
      <selection pane="bottomRight" activeCell="AA33" sqref="AA33"/>
      <selection pane="bottomLeft"/>
      <selection pane="topRight"/>
    </sheetView>
  </sheetViews>
  <sheetFormatPr defaultRowHeight="15"/>
  <cols>
    <col min="1" max="2" width="9.140625" style="18"/>
    <col min="3" max="3" width="20.7109375" style="18" customWidth="1"/>
    <col min="4" max="4" width="30.28515625" style="18" bestFit="1" customWidth="1"/>
    <col min="5" max="34" width="6" style="18" customWidth="1"/>
    <col min="35" max="43" width="9.140625" style="18"/>
    <col min="44" max="44" width="10.7109375" style="18" customWidth="1"/>
    <col min="45" max="16384" width="9.140625" style="18"/>
  </cols>
  <sheetData>
    <row r="2" spans="2:59" ht="15.75" customHeight="1">
      <c r="B2" s="270" t="s">
        <v>0</v>
      </c>
      <c r="C2" s="267" t="s">
        <v>2</v>
      </c>
      <c r="D2" s="267"/>
      <c r="E2" s="253" t="s">
        <v>3</v>
      </c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5"/>
      <c r="AJ2" s="241" t="s">
        <v>4</v>
      </c>
      <c r="AK2" s="242"/>
      <c r="AL2" s="243"/>
      <c r="AN2" s="241" t="s">
        <v>5</v>
      </c>
      <c r="AO2" s="242"/>
      <c r="AP2" s="243"/>
      <c r="AR2" s="247" t="s">
        <v>6</v>
      </c>
    </row>
    <row r="3" spans="2:59" ht="15.75">
      <c r="B3" s="271"/>
      <c r="C3" s="268" t="s">
        <v>254</v>
      </c>
      <c r="D3" s="268"/>
      <c r="E3" s="1" t="s">
        <v>14</v>
      </c>
      <c r="F3" s="12" t="s">
        <v>8</v>
      </c>
      <c r="G3" s="13" t="s">
        <v>9</v>
      </c>
      <c r="H3" s="2" t="s">
        <v>10</v>
      </c>
      <c r="I3" s="13" t="s">
        <v>11</v>
      </c>
      <c r="J3" s="1" t="s">
        <v>12</v>
      </c>
      <c r="K3" s="1" t="s">
        <v>13</v>
      </c>
      <c r="L3" s="1" t="s">
        <v>14</v>
      </c>
      <c r="M3" s="1" t="s">
        <v>8</v>
      </c>
      <c r="N3" s="1" t="s">
        <v>9</v>
      </c>
      <c r="O3" s="2" t="s">
        <v>10</v>
      </c>
      <c r="P3" s="2" t="s">
        <v>11</v>
      </c>
      <c r="Q3" s="1" t="s">
        <v>12</v>
      </c>
      <c r="R3" s="1" t="s">
        <v>13</v>
      </c>
      <c r="S3" s="1" t="s">
        <v>14</v>
      </c>
      <c r="T3" s="1" t="s">
        <v>8</v>
      </c>
      <c r="U3" s="1" t="s">
        <v>9</v>
      </c>
      <c r="V3" s="2" t="s">
        <v>10</v>
      </c>
      <c r="W3" s="2" t="s">
        <v>11</v>
      </c>
      <c r="X3" s="1" t="s">
        <v>12</v>
      </c>
      <c r="Y3" s="1" t="s">
        <v>13</v>
      </c>
      <c r="Z3" s="1" t="s">
        <v>14</v>
      </c>
      <c r="AA3" s="1" t="s">
        <v>8</v>
      </c>
      <c r="AB3" s="1" t="s">
        <v>9</v>
      </c>
      <c r="AC3" s="13" t="s">
        <v>10</v>
      </c>
      <c r="AD3" s="2" t="s">
        <v>11</v>
      </c>
      <c r="AE3" s="1" t="s">
        <v>12</v>
      </c>
      <c r="AF3" s="1" t="s">
        <v>13</v>
      </c>
      <c r="AG3" s="1" t="s">
        <v>14</v>
      </c>
      <c r="AH3" s="6" t="s">
        <v>8</v>
      </c>
      <c r="AJ3" s="244"/>
      <c r="AK3" s="245"/>
      <c r="AL3" s="246"/>
      <c r="AN3" s="244"/>
      <c r="AO3" s="245"/>
      <c r="AP3" s="246"/>
      <c r="AR3" s="248"/>
    </row>
    <row r="4" spans="2:59" ht="15.75">
      <c r="B4" s="272"/>
      <c r="C4" s="269"/>
      <c r="D4" s="269"/>
      <c r="E4" s="99">
        <v>1</v>
      </c>
      <c r="F4" s="192">
        <v>2</v>
      </c>
      <c r="G4" s="123">
        <v>3</v>
      </c>
      <c r="H4" s="100">
        <v>4</v>
      </c>
      <c r="I4" s="123">
        <v>5</v>
      </c>
      <c r="J4" s="99">
        <v>6</v>
      </c>
      <c r="K4" s="99">
        <v>7</v>
      </c>
      <c r="L4" s="99">
        <v>8</v>
      </c>
      <c r="M4" s="99">
        <v>9</v>
      </c>
      <c r="N4" s="99">
        <v>10</v>
      </c>
      <c r="O4" s="100">
        <v>11</v>
      </c>
      <c r="P4" s="100">
        <v>12</v>
      </c>
      <c r="Q4" s="99">
        <v>13</v>
      </c>
      <c r="R4" s="99">
        <v>14</v>
      </c>
      <c r="S4" s="99">
        <v>15</v>
      </c>
      <c r="T4" s="99">
        <v>16</v>
      </c>
      <c r="U4" s="99">
        <v>17</v>
      </c>
      <c r="V4" s="100">
        <v>18</v>
      </c>
      <c r="W4" s="100">
        <v>19</v>
      </c>
      <c r="X4" s="99">
        <v>20</v>
      </c>
      <c r="Y4" s="99">
        <v>21</v>
      </c>
      <c r="Z4" s="99">
        <v>22</v>
      </c>
      <c r="AA4" s="99">
        <v>23</v>
      </c>
      <c r="AB4" s="99">
        <v>24</v>
      </c>
      <c r="AC4" s="123">
        <v>25</v>
      </c>
      <c r="AD4" s="100">
        <v>26</v>
      </c>
      <c r="AE4" s="99">
        <v>27</v>
      </c>
      <c r="AF4" s="99">
        <v>28</v>
      </c>
      <c r="AG4" s="99">
        <v>29</v>
      </c>
      <c r="AH4" s="187">
        <v>30</v>
      </c>
      <c r="AJ4" s="23">
        <v>2025</v>
      </c>
      <c r="AK4" s="24" t="s">
        <v>15</v>
      </c>
      <c r="AL4" s="23" t="s">
        <v>16</v>
      </c>
      <c r="AM4" s="25"/>
      <c r="AN4" s="23">
        <v>2026</v>
      </c>
      <c r="AO4" s="24" t="s">
        <v>15</v>
      </c>
      <c r="AP4" s="23" t="s">
        <v>16</v>
      </c>
      <c r="AR4" s="249"/>
    </row>
    <row r="5" spans="2:59" ht="15" customHeight="1">
      <c r="B5" s="287" t="s">
        <v>17</v>
      </c>
      <c r="C5" s="186" t="s">
        <v>18</v>
      </c>
      <c r="D5" s="88" t="s">
        <v>19</v>
      </c>
      <c r="E5" s="102" t="s">
        <v>23</v>
      </c>
      <c r="F5" s="103" t="s">
        <v>22</v>
      </c>
      <c r="G5" s="103" t="s">
        <v>22</v>
      </c>
      <c r="H5" s="104" t="s">
        <v>21</v>
      </c>
      <c r="I5" s="104" t="s">
        <v>21</v>
      </c>
      <c r="J5" s="104" t="s">
        <v>21</v>
      </c>
      <c r="K5" s="104" t="s">
        <v>21</v>
      </c>
      <c r="L5" s="103" t="s">
        <v>22</v>
      </c>
      <c r="M5" s="103" t="s">
        <v>22</v>
      </c>
      <c r="N5" s="102" t="s">
        <v>23</v>
      </c>
      <c r="O5" s="102" t="s">
        <v>23</v>
      </c>
      <c r="P5" s="102" t="s">
        <v>23</v>
      </c>
      <c r="Q5" s="102" t="s">
        <v>23</v>
      </c>
      <c r="R5" s="103" t="s">
        <v>22</v>
      </c>
      <c r="S5" s="103" t="s">
        <v>22</v>
      </c>
      <c r="T5" s="104" t="s">
        <v>21</v>
      </c>
      <c r="U5" s="104" t="s">
        <v>21</v>
      </c>
      <c r="V5" s="104" t="s">
        <v>21</v>
      </c>
      <c r="W5" s="104" t="s">
        <v>21</v>
      </c>
      <c r="X5" s="103" t="s">
        <v>22</v>
      </c>
      <c r="Y5" s="103" t="s">
        <v>22</v>
      </c>
      <c r="Z5" s="126" t="s">
        <v>33</v>
      </c>
      <c r="AA5" s="102" t="s">
        <v>23</v>
      </c>
      <c r="AB5" s="102" t="s">
        <v>23</v>
      </c>
      <c r="AC5" s="102" t="s">
        <v>23</v>
      </c>
      <c r="AD5" s="103" t="s">
        <v>22</v>
      </c>
      <c r="AE5" s="103" t="s">
        <v>22</v>
      </c>
      <c r="AF5" s="104" t="s">
        <v>21</v>
      </c>
      <c r="AG5" s="104" t="s">
        <v>21</v>
      </c>
      <c r="AH5" s="179" t="s">
        <v>21</v>
      </c>
      <c r="AI5" s="19"/>
      <c r="AJ5" s="20">
        <f>MAR!AM5</f>
        <v>1</v>
      </c>
      <c r="AK5" s="21">
        <f>COUNTIF(E5:AH5, "UA")</f>
        <v>1</v>
      </c>
      <c r="AL5" s="20">
        <f>AJ5-AK5</f>
        <v>0</v>
      </c>
      <c r="AM5" s="19"/>
      <c r="AN5" s="20"/>
      <c r="AO5" s="21">
        <f t="shared" ref="AO5:AO47" si="0">COUNTIF(E5:AH5, "U")</f>
        <v>0</v>
      </c>
      <c r="AP5" s="20">
        <f t="shared" ref="AP5:AP47" si="1">AN5-AO5</f>
        <v>0</v>
      </c>
      <c r="AQ5" s="19"/>
      <c r="AR5" s="21">
        <f t="shared" ref="AR5:AR47" si="2">COUNTIF(E5:AH5,"P*")+COUNTIF(E5:AH5,"H*")+COUNTIF(E5:AH5,"T*")-COUNTIF(E5:AH5,"H")-COUNTIF(E5:AH5,"P")</f>
        <v>19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spans="2:59">
      <c r="B6" s="288"/>
      <c r="C6" s="130" t="s">
        <v>24</v>
      </c>
      <c r="D6" s="20" t="s">
        <v>25</v>
      </c>
      <c r="E6" s="60" t="s">
        <v>21</v>
      </c>
      <c r="F6" s="60" t="s">
        <v>21</v>
      </c>
      <c r="G6" s="60" t="s">
        <v>21</v>
      </c>
      <c r="H6" s="28" t="s">
        <v>22</v>
      </c>
      <c r="I6" s="28" t="s">
        <v>22</v>
      </c>
      <c r="J6" s="74" t="s">
        <v>23</v>
      </c>
      <c r="K6" s="74" t="s">
        <v>23</v>
      </c>
      <c r="L6" s="74" t="s">
        <v>23</v>
      </c>
      <c r="M6" s="74" t="s">
        <v>23</v>
      </c>
      <c r="N6" s="28" t="s">
        <v>22</v>
      </c>
      <c r="O6" s="28" t="s">
        <v>22</v>
      </c>
      <c r="P6" s="60" t="s">
        <v>21</v>
      </c>
      <c r="Q6" s="60" t="s">
        <v>21</v>
      </c>
      <c r="R6" s="60" t="s">
        <v>21</v>
      </c>
      <c r="S6" s="60" t="s">
        <v>21</v>
      </c>
      <c r="T6" s="28" t="s">
        <v>22</v>
      </c>
      <c r="U6" s="28" t="s">
        <v>22</v>
      </c>
      <c r="V6" s="74" t="s">
        <v>23</v>
      </c>
      <c r="W6" s="74" t="s">
        <v>23</v>
      </c>
      <c r="X6" s="74" t="s">
        <v>23</v>
      </c>
      <c r="Y6" s="74" t="s">
        <v>23</v>
      </c>
      <c r="Z6" s="28" t="s">
        <v>22</v>
      </c>
      <c r="AA6" s="28" t="s">
        <v>22</v>
      </c>
      <c r="AB6" s="60" t="s">
        <v>21</v>
      </c>
      <c r="AC6" s="60" t="s">
        <v>21</v>
      </c>
      <c r="AD6" s="60" t="s">
        <v>21</v>
      </c>
      <c r="AE6" s="60" t="s">
        <v>21</v>
      </c>
      <c r="AF6" s="28" t="s">
        <v>22</v>
      </c>
      <c r="AG6" s="28" t="s">
        <v>22</v>
      </c>
      <c r="AH6" s="89" t="s">
        <v>23</v>
      </c>
      <c r="AI6" s="19"/>
      <c r="AJ6" s="20">
        <f>MAR!AM6</f>
        <v>0</v>
      </c>
      <c r="AK6" s="21">
        <f t="shared" ref="AK6:AK47" si="3">COUNTIF(E6:AH6, "UA")</f>
        <v>0</v>
      </c>
      <c r="AL6" s="20">
        <f t="shared" ref="AL6:AL47" si="4">AJ6-AK6</f>
        <v>0</v>
      </c>
      <c r="AM6" s="19"/>
      <c r="AN6" s="20"/>
      <c r="AO6" s="21">
        <f t="shared" si="0"/>
        <v>0</v>
      </c>
      <c r="AP6" s="20">
        <f t="shared" si="1"/>
        <v>0</v>
      </c>
      <c r="AQ6" s="19"/>
      <c r="AR6" s="21">
        <f t="shared" si="2"/>
        <v>20</v>
      </c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</row>
    <row r="7" spans="2:59" ht="15" customHeight="1">
      <c r="B7" s="288"/>
      <c r="C7" s="20" t="s">
        <v>27</v>
      </c>
      <c r="D7" s="20" t="s">
        <v>28</v>
      </c>
      <c r="E7" s="28" t="s">
        <v>22</v>
      </c>
      <c r="F7" s="28" t="s">
        <v>22</v>
      </c>
      <c r="G7" s="60" t="s">
        <v>21</v>
      </c>
      <c r="H7" s="60" t="s">
        <v>21</v>
      </c>
      <c r="I7" s="60" t="s">
        <v>21</v>
      </c>
      <c r="J7" s="60" t="s">
        <v>21</v>
      </c>
      <c r="K7" s="28" t="s">
        <v>22</v>
      </c>
      <c r="L7" s="28" t="s">
        <v>22</v>
      </c>
      <c r="M7" s="74" t="s">
        <v>23</v>
      </c>
      <c r="N7" s="74" t="s">
        <v>23</v>
      </c>
      <c r="O7" s="74" t="s">
        <v>23</v>
      </c>
      <c r="P7" s="74" t="s">
        <v>23</v>
      </c>
      <c r="Q7" s="28" t="s">
        <v>22</v>
      </c>
      <c r="R7" s="28" t="s">
        <v>22</v>
      </c>
      <c r="S7" s="60" t="s">
        <v>21</v>
      </c>
      <c r="T7" s="60" t="s">
        <v>21</v>
      </c>
      <c r="U7" s="60" t="s">
        <v>21</v>
      </c>
      <c r="V7" s="60" t="s">
        <v>21</v>
      </c>
      <c r="W7" s="28" t="s">
        <v>22</v>
      </c>
      <c r="X7" s="28" t="s">
        <v>22</v>
      </c>
      <c r="Y7" s="74" t="s">
        <v>23</v>
      </c>
      <c r="Z7" s="74" t="s">
        <v>23</v>
      </c>
      <c r="AA7" s="74" t="s">
        <v>23</v>
      </c>
      <c r="AB7" s="74" t="s">
        <v>23</v>
      </c>
      <c r="AC7" s="28" t="s">
        <v>22</v>
      </c>
      <c r="AD7" s="28" t="s">
        <v>22</v>
      </c>
      <c r="AE7" s="60" t="s">
        <v>21</v>
      </c>
      <c r="AF7" s="60" t="s">
        <v>21</v>
      </c>
      <c r="AG7" s="60" t="s">
        <v>21</v>
      </c>
      <c r="AH7" s="90" t="s">
        <v>21</v>
      </c>
      <c r="AI7" s="19"/>
      <c r="AJ7" s="20">
        <f>MAR!AM7</f>
        <v>0</v>
      </c>
      <c r="AK7" s="21">
        <f t="shared" si="3"/>
        <v>0</v>
      </c>
      <c r="AL7" s="20">
        <f t="shared" si="4"/>
        <v>0</v>
      </c>
      <c r="AM7" s="19"/>
      <c r="AN7" s="26"/>
      <c r="AO7" s="21">
        <f t="shared" si="0"/>
        <v>0</v>
      </c>
      <c r="AP7" s="44">
        <f t="shared" si="1"/>
        <v>0</v>
      </c>
      <c r="AQ7" s="19"/>
      <c r="AR7" s="21">
        <f t="shared" si="2"/>
        <v>20</v>
      </c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</row>
    <row r="8" spans="2:59" ht="15" customHeight="1">
      <c r="B8" s="288"/>
      <c r="C8" s="22" t="s">
        <v>31</v>
      </c>
      <c r="D8" s="20" t="s">
        <v>32</v>
      </c>
      <c r="E8" s="74" t="s">
        <v>23</v>
      </c>
      <c r="F8" s="74" t="s">
        <v>23</v>
      </c>
      <c r="G8" s="28" t="s">
        <v>22</v>
      </c>
      <c r="H8" s="28" t="s">
        <v>22</v>
      </c>
      <c r="I8" s="60" t="s">
        <v>21</v>
      </c>
      <c r="J8" s="60" t="s">
        <v>21</v>
      </c>
      <c r="K8" s="60" t="s">
        <v>21</v>
      </c>
      <c r="L8" s="60" t="s">
        <v>21</v>
      </c>
      <c r="M8" s="28" t="s">
        <v>22</v>
      </c>
      <c r="N8" s="28" t="s">
        <v>22</v>
      </c>
      <c r="O8" s="74" t="s">
        <v>23</v>
      </c>
      <c r="P8" s="74" t="s">
        <v>23</v>
      </c>
      <c r="Q8" s="74" t="s">
        <v>23</v>
      </c>
      <c r="R8" s="74" t="s">
        <v>23</v>
      </c>
      <c r="S8" s="28" t="s">
        <v>22</v>
      </c>
      <c r="T8" s="28" t="s">
        <v>22</v>
      </c>
      <c r="U8" s="60" t="s">
        <v>21</v>
      </c>
      <c r="V8" s="60" t="s">
        <v>21</v>
      </c>
      <c r="W8" s="60" t="s">
        <v>21</v>
      </c>
      <c r="X8" s="60" t="s">
        <v>21</v>
      </c>
      <c r="Y8" s="28" t="s">
        <v>22</v>
      </c>
      <c r="Z8" s="28" t="s">
        <v>22</v>
      </c>
      <c r="AA8" s="74" t="s">
        <v>23</v>
      </c>
      <c r="AB8" s="74" t="s">
        <v>23</v>
      </c>
      <c r="AC8" s="74" t="s">
        <v>23</v>
      </c>
      <c r="AD8" s="74" t="s">
        <v>23</v>
      </c>
      <c r="AE8" s="28" t="s">
        <v>22</v>
      </c>
      <c r="AF8" s="28" t="s">
        <v>22</v>
      </c>
      <c r="AG8" s="60" t="s">
        <v>21</v>
      </c>
      <c r="AH8" s="90" t="s">
        <v>21</v>
      </c>
      <c r="AI8" s="19"/>
      <c r="AJ8" s="20">
        <f>MAR!AM8</f>
        <v>2</v>
      </c>
      <c r="AK8" s="21">
        <f t="shared" si="3"/>
        <v>0</v>
      </c>
      <c r="AL8" s="20">
        <f t="shared" si="4"/>
        <v>2</v>
      </c>
      <c r="AM8" s="19"/>
      <c r="AN8" s="20"/>
      <c r="AO8" s="21">
        <f t="shared" si="0"/>
        <v>0</v>
      </c>
      <c r="AP8" s="20">
        <f t="shared" si="1"/>
        <v>0</v>
      </c>
      <c r="AQ8" s="19"/>
      <c r="AR8" s="21">
        <f t="shared" si="2"/>
        <v>20</v>
      </c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</row>
    <row r="9" spans="2:59" ht="15" customHeight="1">
      <c r="B9" s="288"/>
      <c r="C9" s="20" t="s">
        <v>34</v>
      </c>
      <c r="D9" s="20" t="s">
        <v>35</v>
      </c>
      <c r="E9" s="60" t="s">
        <v>21</v>
      </c>
      <c r="F9" s="60" t="s">
        <v>21</v>
      </c>
      <c r="G9" s="60" t="s">
        <v>21</v>
      </c>
      <c r="H9" s="60" t="s">
        <v>21</v>
      </c>
      <c r="I9" s="28" t="s">
        <v>22</v>
      </c>
      <c r="J9" s="28" t="s">
        <v>22</v>
      </c>
      <c r="K9" s="74" t="s">
        <v>23</v>
      </c>
      <c r="L9" s="74" t="s">
        <v>23</v>
      </c>
      <c r="M9" s="74" t="s">
        <v>23</v>
      </c>
      <c r="N9" s="74" t="s">
        <v>23</v>
      </c>
      <c r="O9" s="28" t="s">
        <v>22</v>
      </c>
      <c r="P9" s="28" t="s">
        <v>22</v>
      </c>
      <c r="Q9" s="60" t="s">
        <v>21</v>
      </c>
      <c r="R9" s="60" t="s">
        <v>21</v>
      </c>
      <c r="S9" s="60" t="s">
        <v>21</v>
      </c>
      <c r="T9" s="60" t="s">
        <v>21</v>
      </c>
      <c r="U9" s="28" t="s">
        <v>22</v>
      </c>
      <c r="V9" s="28" t="s">
        <v>22</v>
      </c>
      <c r="W9" s="74" t="s">
        <v>23</v>
      </c>
      <c r="X9" s="74" t="s">
        <v>23</v>
      </c>
      <c r="Y9" s="74" t="s">
        <v>23</v>
      </c>
      <c r="Z9" s="74" t="s">
        <v>23</v>
      </c>
      <c r="AA9" s="28" t="s">
        <v>22</v>
      </c>
      <c r="AB9" s="28" t="s">
        <v>22</v>
      </c>
      <c r="AC9" s="60" t="s">
        <v>21</v>
      </c>
      <c r="AD9" s="60" t="s">
        <v>21</v>
      </c>
      <c r="AE9" s="60" t="s">
        <v>21</v>
      </c>
      <c r="AF9" s="60" t="s">
        <v>21</v>
      </c>
      <c r="AG9" s="28" t="s">
        <v>22</v>
      </c>
      <c r="AH9" s="91" t="s">
        <v>22</v>
      </c>
      <c r="AI9" s="19"/>
      <c r="AJ9" s="20">
        <f>MAR!AM9</f>
        <v>0</v>
      </c>
      <c r="AK9" s="21">
        <f t="shared" si="3"/>
        <v>0</v>
      </c>
      <c r="AL9" s="20">
        <f t="shared" si="4"/>
        <v>0</v>
      </c>
      <c r="AM9" s="19"/>
      <c r="AN9" s="20"/>
      <c r="AO9" s="21">
        <f t="shared" si="0"/>
        <v>0</v>
      </c>
      <c r="AP9" s="20">
        <f t="shared" si="1"/>
        <v>0</v>
      </c>
      <c r="AQ9" s="19"/>
      <c r="AR9" s="21">
        <f t="shared" si="2"/>
        <v>20</v>
      </c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</row>
    <row r="10" spans="2:59" ht="15" customHeight="1">
      <c r="B10" s="288"/>
      <c r="C10" s="22" t="s">
        <v>37</v>
      </c>
      <c r="D10" s="20" t="s">
        <v>38</v>
      </c>
      <c r="E10" s="60" t="s">
        <v>21</v>
      </c>
      <c r="F10" s="60" t="s">
        <v>21</v>
      </c>
      <c r="G10" s="28" t="s">
        <v>22</v>
      </c>
      <c r="H10" s="28" t="s">
        <v>22</v>
      </c>
      <c r="I10" s="74" t="s">
        <v>23</v>
      </c>
      <c r="J10" s="74" t="s">
        <v>23</v>
      </c>
      <c r="K10" s="74" t="s">
        <v>23</v>
      </c>
      <c r="L10" s="74" t="s">
        <v>23</v>
      </c>
      <c r="M10" s="28" t="s">
        <v>22</v>
      </c>
      <c r="N10" s="28" t="s">
        <v>22</v>
      </c>
      <c r="O10" s="60" t="s">
        <v>21</v>
      </c>
      <c r="P10" s="60" t="s">
        <v>21</v>
      </c>
      <c r="Q10" s="60" t="s">
        <v>21</v>
      </c>
      <c r="R10" s="60" t="s">
        <v>21</v>
      </c>
      <c r="S10" s="28" t="s">
        <v>22</v>
      </c>
      <c r="T10" s="28" t="s">
        <v>22</v>
      </c>
      <c r="U10" s="74" t="s">
        <v>23</v>
      </c>
      <c r="V10" s="74" t="s">
        <v>23</v>
      </c>
      <c r="W10" s="74" t="s">
        <v>23</v>
      </c>
      <c r="X10" s="74" t="s">
        <v>23</v>
      </c>
      <c r="Y10" s="28" t="s">
        <v>22</v>
      </c>
      <c r="Z10" s="28" t="s">
        <v>22</v>
      </c>
      <c r="AA10" s="60" t="s">
        <v>21</v>
      </c>
      <c r="AB10" s="60" t="s">
        <v>21</v>
      </c>
      <c r="AC10" s="60" t="s">
        <v>21</v>
      </c>
      <c r="AD10" s="60" t="s">
        <v>21</v>
      </c>
      <c r="AE10" s="28" t="s">
        <v>22</v>
      </c>
      <c r="AF10" s="28" t="s">
        <v>22</v>
      </c>
      <c r="AG10" s="74" t="s">
        <v>23</v>
      </c>
      <c r="AH10" s="89" t="s">
        <v>23</v>
      </c>
      <c r="AI10" s="19"/>
      <c r="AJ10" s="20">
        <f>MAR!AM10</f>
        <v>0</v>
      </c>
      <c r="AK10" s="21">
        <f t="shared" si="3"/>
        <v>0</v>
      </c>
      <c r="AL10" s="20">
        <f t="shared" si="4"/>
        <v>0</v>
      </c>
      <c r="AM10" s="19"/>
      <c r="AN10" s="20"/>
      <c r="AO10" s="21">
        <f t="shared" si="0"/>
        <v>0</v>
      </c>
      <c r="AP10" s="20">
        <f t="shared" si="1"/>
        <v>0</v>
      </c>
      <c r="AQ10" s="19"/>
      <c r="AR10" s="21">
        <f t="shared" si="2"/>
        <v>20</v>
      </c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</row>
    <row r="11" spans="2:59" ht="15" customHeight="1">
      <c r="B11" s="288"/>
      <c r="C11" s="20" t="s">
        <v>39</v>
      </c>
      <c r="D11" s="20" t="s">
        <v>40</v>
      </c>
      <c r="E11" s="74" t="s">
        <v>23</v>
      </c>
      <c r="F11" s="74" t="s">
        <v>23</v>
      </c>
      <c r="G11" s="74" t="s">
        <v>23</v>
      </c>
      <c r="H11" s="74" t="s">
        <v>23</v>
      </c>
      <c r="I11" s="28" t="s">
        <v>22</v>
      </c>
      <c r="J11" s="28" t="s">
        <v>22</v>
      </c>
      <c r="K11" s="60" t="s">
        <v>21</v>
      </c>
      <c r="L11" s="60" t="s">
        <v>21</v>
      </c>
      <c r="M11" s="60" t="s">
        <v>21</v>
      </c>
      <c r="N11" s="60" t="s">
        <v>21</v>
      </c>
      <c r="O11" s="28" t="s">
        <v>22</v>
      </c>
      <c r="P11" s="28" t="s">
        <v>22</v>
      </c>
      <c r="Q11" s="74" t="s">
        <v>23</v>
      </c>
      <c r="R11" s="74" t="s">
        <v>23</v>
      </c>
      <c r="S11" s="74" t="s">
        <v>23</v>
      </c>
      <c r="T11" s="74" t="s">
        <v>23</v>
      </c>
      <c r="U11" s="28" t="s">
        <v>22</v>
      </c>
      <c r="V11" s="28" t="s">
        <v>22</v>
      </c>
      <c r="W11" s="60" t="s">
        <v>21</v>
      </c>
      <c r="X11" s="60" t="s">
        <v>21</v>
      </c>
      <c r="Y11" s="60" t="s">
        <v>21</v>
      </c>
      <c r="Z11" s="60" t="s">
        <v>21</v>
      </c>
      <c r="AA11" s="28" t="s">
        <v>22</v>
      </c>
      <c r="AB11" s="28" t="s">
        <v>22</v>
      </c>
      <c r="AC11" s="74" t="s">
        <v>23</v>
      </c>
      <c r="AD11" s="74" t="s">
        <v>23</v>
      </c>
      <c r="AE11" s="74" t="s">
        <v>23</v>
      </c>
      <c r="AF11" s="74" t="s">
        <v>23</v>
      </c>
      <c r="AG11" s="28" t="s">
        <v>22</v>
      </c>
      <c r="AH11" s="91" t="s">
        <v>22</v>
      </c>
      <c r="AI11" s="19"/>
      <c r="AJ11" s="20">
        <f>MAR!AM11</f>
        <v>0</v>
      </c>
      <c r="AK11" s="21">
        <f t="shared" si="3"/>
        <v>0</v>
      </c>
      <c r="AL11" s="20">
        <f t="shared" si="4"/>
        <v>0</v>
      </c>
      <c r="AM11" s="19"/>
      <c r="AN11" s="20"/>
      <c r="AO11" s="21">
        <f t="shared" si="0"/>
        <v>0</v>
      </c>
      <c r="AP11" s="20">
        <f t="shared" si="1"/>
        <v>0</v>
      </c>
      <c r="AQ11" s="19"/>
      <c r="AR11" s="21">
        <f t="shared" si="2"/>
        <v>20</v>
      </c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</row>
    <row r="12" spans="2:59" ht="15" customHeight="1">
      <c r="B12" s="288"/>
      <c r="C12" s="108" t="s">
        <v>43</v>
      </c>
      <c r="D12" s="109" t="s">
        <v>44</v>
      </c>
      <c r="E12" s="110" t="s">
        <v>22</v>
      </c>
      <c r="F12" s="110" t="s">
        <v>22</v>
      </c>
      <c r="G12" s="112" t="s">
        <v>23</v>
      </c>
      <c r="H12" s="112" t="s">
        <v>23</v>
      </c>
      <c r="I12" s="112" t="s">
        <v>23</v>
      </c>
      <c r="J12" s="112" t="s">
        <v>23</v>
      </c>
      <c r="K12" s="110" t="s">
        <v>22</v>
      </c>
      <c r="L12" s="110" t="s">
        <v>22</v>
      </c>
      <c r="M12" s="111" t="s">
        <v>21</v>
      </c>
      <c r="N12" s="111" t="s">
        <v>21</v>
      </c>
      <c r="O12" s="111" t="s">
        <v>21</v>
      </c>
      <c r="P12" s="111" t="s">
        <v>21</v>
      </c>
      <c r="Q12" s="110" t="s">
        <v>22</v>
      </c>
      <c r="R12" s="110" t="s">
        <v>22</v>
      </c>
      <c r="S12" s="112" t="s">
        <v>23</v>
      </c>
      <c r="T12" s="112" t="s">
        <v>23</v>
      </c>
      <c r="U12" s="112" t="s">
        <v>23</v>
      </c>
      <c r="V12" s="112" t="s">
        <v>23</v>
      </c>
      <c r="W12" s="110" t="s">
        <v>22</v>
      </c>
      <c r="X12" s="110" t="s">
        <v>22</v>
      </c>
      <c r="Y12" s="111" t="s">
        <v>21</v>
      </c>
      <c r="Z12" s="111" t="s">
        <v>21</v>
      </c>
      <c r="AA12" s="111" t="s">
        <v>21</v>
      </c>
      <c r="AB12" s="111" t="s">
        <v>21</v>
      </c>
      <c r="AC12" s="110" t="s">
        <v>22</v>
      </c>
      <c r="AD12" s="110" t="s">
        <v>22</v>
      </c>
      <c r="AE12" s="112" t="s">
        <v>23</v>
      </c>
      <c r="AF12" s="112" t="s">
        <v>23</v>
      </c>
      <c r="AG12" s="112" t="s">
        <v>23</v>
      </c>
      <c r="AH12" s="125" t="s">
        <v>23</v>
      </c>
      <c r="AI12" s="19"/>
      <c r="AJ12" s="20">
        <f>MAR!AM12</f>
        <v>0</v>
      </c>
      <c r="AK12" s="21">
        <f t="shared" si="3"/>
        <v>0</v>
      </c>
      <c r="AL12" s="20">
        <f t="shared" si="4"/>
        <v>0</v>
      </c>
      <c r="AM12" s="19"/>
      <c r="AN12" s="20"/>
      <c r="AO12" s="21">
        <f t="shared" si="0"/>
        <v>0</v>
      </c>
      <c r="AP12" s="20">
        <f t="shared" si="1"/>
        <v>0</v>
      </c>
      <c r="AQ12" s="19"/>
      <c r="AR12" s="21">
        <f t="shared" si="2"/>
        <v>20</v>
      </c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</row>
    <row r="13" spans="2:59">
      <c r="B13" s="280" t="s">
        <v>45</v>
      </c>
      <c r="C13" s="88" t="s">
        <v>46</v>
      </c>
      <c r="D13" s="88" t="s">
        <v>47</v>
      </c>
      <c r="E13" s="104" t="s">
        <v>21</v>
      </c>
      <c r="F13" s="104" t="s">
        <v>21</v>
      </c>
      <c r="G13" s="104" t="s">
        <v>21</v>
      </c>
      <c r="H13" s="104" t="s">
        <v>21</v>
      </c>
      <c r="I13" s="103" t="s">
        <v>22</v>
      </c>
      <c r="J13" s="103" t="s">
        <v>22</v>
      </c>
      <c r="K13" s="115" t="s">
        <v>29</v>
      </c>
      <c r="L13" s="115" t="s">
        <v>29</v>
      </c>
      <c r="M13" s="115" t="s">
        <v>29</v>
      </c>
      <c r="N13" s="115" t="s">
        <v>29</v>
      </c>
      <c r="O13" s="103" t="s">
        <v>22</v>
      </c>
      <c r="P13" s="103" t="s">
        <v>22</v>
      </c>
      <c r="Q13" s="102" t="s">
        <v>23</v>
      </c>
      <c r="R13" s="102" t="s">
        <v>23</v>
      </c>
      <c r="S13" s="102" t="s">
        <v>23</v>
      </c>
      <c r="T13" s="102" t="s">
        <v>23</v>
      </c>
      <c r="U13" s="103" t="s">
        <v>22</v>
      </c>
      <c r="V13" s="183" t="s">
        <v>26</v>
      </c>
      <c r="W13" s="183" t="s">
        <v>176</v>
      </c>
      <c r="X13" s="104" t="s">
        <v>21</v>
      </c>
      <c r="Y13" s="104" t="s">
        <v>21</v>
      </c>
      <c r="Z13" s="104" t="s">
        <v>21</v>
      </c>
      <c r="AA13" s="103" t="s">
        <v>22</v>
      </c>
      <c r="AB13" s="103" t="s">
        <v>22</v>
      </c>
      <c r="AC13" s="102" t="s">
        <v>23</v>
      </c>
      <c r="AD13" s="102" t="s">
        <v>23</v>
      </c>
      <c r="AE13" s="102" t="s">
        <v>23</v>
      </c>
      <c r="AF13" s="102" t="s">
        <v>23</v>
      </c>
      <c r="AG13" s="103" t="s">
        <v>22</v>
      </c>
      <c r="AH13" s="120" t="s">
        <v>22</v>
      </c>
      <c r="AI13" s="19"/>
      <c r="AJ13" s="20">
        <f>MAR!AM13</f>
        <v>0</v>
      </c>
      <c r="AK13" s="21">
        <f t="shared" si="3"/>
        <v>0</v>
      </c>
      <c r="AL13" s="20">
        <f t="shared" si="4"/>
        <v>0</v>
      </c>
      <c r="AM13" s="19"/>
      <c r="AN13" s="20"/>
      <c r="AO13" s="21">
        <f t="shared" si="0"/>
        <v>0</v>
      </c>
      <c r="AP13" s="20">
        <f t="shared" si="1"/>
        <v>0</v>
      </c>
      <c r="AQ13" s="19"/>
      <c r="AR13" s="21">
        <f t="shared" si="2"/>
        <v>19</v>
      </c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</row>
    <row r="14" spans="2:59">
      <c r="B14" s="276"/>
      <c r="C14" s="22" t="s">
        <v>48</v>
      </c>
      <c r="D14" s="20" t="s">
        <v>49</v>
      </c>
      <c r="E14" s="76" t="s">
        <v>33</v>
      </c>
      <c r="F14" s="76" t="s">
        <v>33</v>
      </c>
      <c r="G14" s="28" t="s">
        <v>22</v>
      </c>
      <c r="H14" s="28" t="s">
        <v>22</v>
      </c>
      <c r="I14" s="73" t="s">
        <v>20</v>
      </c>
      <c r="J14" s="76" t="s">
        <v>33</v>
      </c>
      <c r="K14" s="76" t="s">
        <v>33</v>
      </c>
      <c r="L14" s="76" t="s">
        <v>33</v>
      </c>
      <c r="M14" s="28" t="s">
        <v>22</v>
      </c>
      <c r="N14" s="28" t="s">
        <v>22</v>
      </c>
      <c r="O14" s="76" t="s">
        <v>33</v>
      </c>
      <c r="P14" s="76" t="s">
        <v>33</v>
      </c>
      <c r="Q14" s="76" t="s">
        <v>33</v>
      </c>
      <c r="R14" s="76" t="s">
        <v>33</v>
      </c>
      <c r="S14" s="28" t="s">
        <v>22</v>
      </c>
      <c r="T14" s="28" t="s">
        <v>22</v>
      </c>
      <c r="U14" s="74" t="s">
        <v>23</v>
      </c>
      <c r="V14" s="74" t="s">
        <v>23</v>
      </c>
      <c r="W14" s="74" t="s">
        <v>23</v>
      </c>
      <c r="X14" s="74" t="s">
        <v>23</v>
      </c>
      <c r="Y14" s="28" t="s">
        <v>22</v>
      </c>
      <c r="Z14" s="28" t="s">
        <v>22</v>
      </c>
      <c r="AA14" s="60" t="s">
        <v>21</v>
      </c>
      <c r="AB14" s="60" t="s">
        <v>21</v>
      </c>
      <c r="AC14" s="60" t="s">
        <v>21</v>
      </c>
      <c r="AD14" s="60" t="s">
        <v>21</v>
      </c>
      <c r="AE14" s="28" t="s">
        <v>22</v>
      </c>
      <c r="AF14" s="28" t="s">
        <v>22</v>
      </c>
      <c r="AG14" s="74" t="s">
        <v>23</v>
      </c>
      <c r="AH14" s="89" t="s">
        <v>23</v>
      </c>
      <c r="AI14" s="19"/>
      <c r="AJ14" s="20">
        <f>MAR!AM14</f>
        <v>9</v>
      </c>
      <c r="AK14" s="21">
        <f t="shared" si="3"/>
        <v>9</v>
      </c>
      <c r="AL14" s="20">
        <f t="shared" si="4"/>
        <v>0</v>
      </c>
      <c r="AM14" s="19"/>
      <c r="AN14" s="20"/>
      <c r="AO14" s="21">
        <f t="shared" si="0"/>
        <v>0</v>
      </c>
      <c r="AP14" s="20">
        <f t="shared" si="1"/>
        <v>0</v>
      </c>
      <c r="AQ14" s="19"/>
      <c r="AR14" s="21">
        <f t="shared" si="2"/>
        <v>10</v>
      </c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</row>
    <row r="15" spans="2:59">
      <c r="B15" s="276"/>
      <c r="C15" s="20" t="s">
        <v>50</v>
      </c>
      <c r="D15" s="20" t="s">
        <v>51</v>
      </c>
      <c r="E15" s="28" t="s">
        <v>22</v>
      </c>
      <c r="F15" s="28" t="s">
        <v>22</v>
      </c>
      <c r="G15" s="60" t="s">
        <v>21</v>
      </c>
      <c r="H15" s="60" t="s">
        <v>21</v>
      </c>
      <c r="I15" s="60" t="s">
        <v>21</v>
      </c>
      <c r="J15" s="60" t="s">
        <v>21</v>
      </c>
      <c r="K15" s="28" t="s">
        <v>22</v>
      </c>
      <c r="L15" s="28" t="s">
        <v>22</v>
      </c>
      <c r="M15" s="60" t="s">
        <v>21</v>
      </c>
      <c r="N15" s="60" t="s">
        <v>21</v>
      </c>
      <c r="O15" s="60" t="s">
        <v>21</v>
      </c>
      <c r="P15" s="60" t="s">
        <v>21</v>
      </c>
      <c r="Q15" s="28" t="s">
        <v>22</v>
      </c>
      <c r="R15" s="28" t="s">
        <v>22</v>
      </c>
      <c r="S15" s="78" t="s">
        <v>29</v>
      </c>
      <c r="T15" s="78" t="s">
        <v>29</v>
      </c>
      <c r="U15" s="78" t="s">
        <v>29</v>
      </c>
      <c r="V15" s="78" t="s">
        <v>29</v>
      </c>
      <c r="W15" s="28" t="s">
        <v>22</v>
      </c>
      <c r="X15" s="28" t="s">
        <v>22</v>
      </c>
      <c r="Y15" s="74" t="s">
        <v>23</v>
      </c>
      <c r="Z15" s="74" t="s">
        <v>23</v>
      </c>
      <c r="AA15" s="74" t="s">
        <v>23</v>
      </c>
      <c r="AB15" s="74" t="s">
        <v>23</v>
      </c>
      <c r="AC15" s="28" t="s">
        <v>22</v>
      </c>
      <c r="AD15" s="28" t="s">
        <v>22</v>
      </c>
      <c r="AE15" s="60" t="s">
        <v>21</v>
      </c>
      <c r="AF15" s="60" t="s">
        <v>21</v>
      </c>
      <c r="AG15" s="60" t="s">
        <v>21</v>
      </c>
      <c r="AH15" s="90" t="s">
        <v>21</v>
      </c>
      <c r="AI15" s="19"/>
      <c r="AJ15" s="20">
        <f>MAR!AM15</f>
        <v>0</v>
      </c>
      <c r="AK15" s="21">
        <f t="shared" si="3"/>
        <v>0</v>
      </c>
      <c r="AL15" s="20">
        <f t="shared" si="4"/>
        <v>0</v>
      </c>
      <c r="AM15" s="19"/>
      <c r="AN15" s="20"/>
      <c r="AO15" s="21">
        <f t="shared" si="0"/>
        <v>0</v>
      </c>
      <c r="AP15" s="20">
        <f t="shared" si="1"/>
        <v>0</v>
      </c>
      <c r="AQ15" s="19"/>
      <c r="AR15" s="21">
        <f t="shared" si="2"/>
        <v>20</v>
      </c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</row>
    <row r="16" spans="2:59">
      <c r="B16" s="276"/>
      <c r="C16" s="22" t="s">
        <v>52</v>
      </c>
      <c r="D16" s="20" t="s">
        <v>53</v>
      </c>
      <c r="E16" s="74" t="s">
        <v>23</v>
      </c>
      <c r="F16" s="74" t="s">
        <v>23</v>
      </c>
      <c r="G16" s="74" t="s">
        <v>23</v>
      </c>
      <c r="H16" s="74" t="s">
        <v>23</v>
      </c>
      <c r="I16" s="28" t="s">
        <v>22</v>
      </c>
      <c r="J16" s="28" t="s">
        <v>22</v>
      </c>
      <c r="K16" s="74" t="s">
        <v>23</v>
      </c>
      <c r="L16" s="74" t="s">
        <v>23</v>
      </c>
      <c r="M16" s="74" t="s">
        <v>23</v>
      </c>
      <c r="N16" s="74" t="s">
        <v>23</v>
      </c>
      <c r="O16" s="28" t="s">
        <v>22</v>
      </c>
      <c r="P16" s="28" t="s">
        <v>22</v>
      </c>
      <c r="Q16" s="60" t="s">
        <v>21</v>
      </c>
      <c r="R16" s="60" t="s">
        <v>21</v>
      </c>
      <c r="S16" s="60" t="s">
        <v>21</v>
      </c>
      <c r="T16" s="60" t="s">
        <v>21</v>
      </c>
      <c r="U16" s="28" t="s">
        <v>22</v>
      </c>
      <c r="V16" s="28" t="s">
        <v>22</v>
      </c>
      <c r="W16" s="78" t="s">
        <v>29</v>
      </c>
      <c r="X16" s="78" t="s">
        <v>29</v>
      </c>
      <c r="Y16" s="78" t="s">
        <v>29</v>
      </c>
      <c r="Z16" s="78" t="s">
        <v>29</v>
      </c>
      <c r="AA16" s="28" t="s">
        <v>22</v>
      </c>
      <c r="AB16" s="28" t="s">
        <v>22</v>
      </c>
      <c r="AC16" s="74" t="s">
        <v>23</v>
      </c>
      <c r="AD16" s="74" t="s">
        <v>23</v>
      </c>
      <c r="AE16" s="74" t="s">
        <v>23</v>
      </c>
      <c r="AF16" s="74" t="s">
        <v>23</v>
      </c>
      <c r="AG16" s="28" t="s">
        <v>22</v>
      </c>
      <c r="AH16" s="91" t="s">
        <v>22</v>
      </c>
      <c r="AI16" s="19"/>
      <c r="AJ16" s="20">
        <f>MAR!AM16</f>
        <v>0</v>
      </c>
      <c r="AK16" s="21">
        <f t="shared" si="3"/>
        <v>0</v>
      </c>
      <c r="AL16" s="20">
        <f t="shared" si="4"/>
        <v>0</v>
      </c>
      <c r="AM16" s="19"/>
      <c r="AN16" s="20"/>
      <c r="AO16" s="21">
        <f t="shared" si="0"/>
        <v>0</v>
      </c>
      <c r="AP16" s="20">
        <f t="shared" si="1"/>
        <v>0</v>
      </c>
      <c r="AQ16" s="19"/>
      <c r="AR16" s="21">
        <f t="shared" si="2"/>
        <v>20</v>
      </c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</row>
    <row r="17" spans="2:59" ht="15" customHeight="1">
      <c r="B17" s="276"/>
      <c r="C17" s="22" t="s">
        <v>54</v>
      </c>
      <c r="D17" s="20" t="s">
        <v>55</v>
      </c>
      <c r="E17" s="60" t="s">
        <v>21</v>
      </c>
      <c r="F17" s="60" t="s">
        <v>21</v>
      </c>
      <c r="G17" s="28" t="s">
        <v>22</v>
      </c>
      <c r="H17" s="28" t="s">
        <v>22</v>
      </c>
      <c r="I17" s="74" t="s">
        <v>23</v>
      </c>
      <c r="J17" s="74" t="s">
        <v>23</v>
      </c>
      <c r="K17" s="74" t="s">
        <v>23</v>
      </c>
      <c r="L17" s="74" t="s">
        <v>23</v>
      </c>
      <c r="M17" s="28" t="s">
        <v>22</v>
      </c>
      <c r="N17" s="28" t="s">
        <v>22</v>
      </c>
      <c r="O17" s="74" t="s">
        <v>23</v>
      </c>
      <c r="P17" s="74" t="s">
        <v>23</v>
      </c>
      <c r="Q17" s="74" t="s">
        <v>23</v>
      </c>
      <c r="R17" s="74" t="s">
        <v>23</v>
      </c>
      <c r="S17" s="28" t="s">
        <v>22</v>
      </c>
      <c r="T17" s="28" t="s">
        <v>22</v>
      </c>
      <c r="U17" s="60" t="s">
        <v>21</v>
      </c>
      <c r="V17" s="60" t="s">
        <v>21</v>
      </c>
      <c r="W17" s="60" t="s">
        <v>21</v>
      </c>
      <c r="X17" s="60" t="s">
        <v>21</v>
      </c>
      <c r="Y17" s="28" t="s">
        <v>22</v>
      </c>
      <c r="Z17" s="28" t="s">
        <v>22</v>
      </c>
      <c r="AA17" s="78" t="s">
        <v>29</v>
      </c>
      <c r="AB17" s="78" t="s">
        <v>29</v>
      </c>
      <c r="AC17" s="78" t="s">
        <v>29</v>
      </c>
      <c r="AD17" s="78" t="s">
        <v>29</v>
      </c>
      <c r="AE17" s="28" t="s">
        <v>22</v>
      </c>
      <c r="AF17" s="28" t="s">
        <v>22</v>
      </c>
      <c r="AG17" s="74" t="s">
        <v>23</v>
      </c>
      <c r="AH17" s="89" t="s">
        <v>23</v>
      </c>
      <c r="AI17" s="19"/>
      <c r="AJ17" s="20">
        <f>MAR!AM17</f>
        <v>0</v>
      </c>
      <c r="AK17" s="21">
        <f t="shared" si="3"/>
        <v>0</v>
      </c>
      <c r="AL17" s="20">
        <f t="shared" si="4"/>
        <v>0</v>
      </c>
      <c r="AM17" s="19"/>
      <c r="AN17" s="20"/>
      <c r="AO17" s="21">
        <f t="shared" si="0"/>
        <v>0</v>
      </c>
      <c r="AP17" s="20">
        <f t="shared" si="1"/>
        <v>0</v>
      </c>
      <c r="AQ17" s="19"/>
      <c r="AR17" s="21">
        <f t="shared" si="2"/>
        <v>20</v>
      </c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</row>
    <row r="18" spans="2:59">
      <c r="B18" s="276"/>
      <c r="C18" s="22" t="s">
        <v>56</v>
      </c>
      <c r="D18" s="20" t="s">
        <v>57</v>
      </c>
      <c r="E18" s="28" t="s">
        <v>22</v>
      </c>
      <c r="F18" s="28" t="s">
        <v>22</v>
      </c>
      <c r="G18" s="73" t="s">
        <v>20</v>
      </c>
      <c r="H18" s="76" t="s">
        <v>33</v>
      </c>
      <c r="I18" s="73" t="s">
        <v>20</v>
      </c>
      <c r="J18" s="76" t="s">
        <v>33</v>
      </c>
      <c r="K18" s="28" t="s">
        <v>22</v>
      </c>
      <c r="L18" s="28" t="s">
        <v>22</v>
      </c>
      <c r="M18" s="76" t="s">
        <v>33</v>
      </c>
      <c r="N18" s="76" t="s">
        <v>33</v>
      </c>
      <c r="O18" s="76" t="s">
        <v>33</v>
      </c>
      <c r="P18" s="76" t="s">
        <v>33</v>
      </c>
      <c r="Q18" s="28" t="s">
        <v>22</v>
      </c>
      <c r="R18" s="28" t="s">
        <v>22</v>
      </c>
      <c r="S18" s="60" t="s">
        <v>21</v>
      </c>
      <c r="T18" s="60" t="s">
        <v>21</v>
      </c>
      <c r="U18" s="60" t="s">
        <v>21</v>
      </c>
      <c r="V18" s="60" t="s">
        <v>21</v>
      </c>
      <c r="W18" s="28" t="s">
        <v>22</v>
      </c>
      <c r="X18" s="28" t="s">
        <v>22</v>
      </c>
      <c r="Y18" s="60" t="s">
        <v>21</v>
      </c>
      <c r="Z18" s="60" t="s">
        <v>21</v>
      </c>
      <c r="AA18" s="60" t="s">
        <v>21</v>
      </c>
      <c r="AB18" s="60" t="s">
        <v>21</v>
      </c>
      <c r="AC18" s="28" t="s">
        <v>22</v>
      </c>
      <c r="AD18" s="28" t="s">
        <v>22</v>
      </c>
      <c r="AE18" s="78" t="s">
        <v>29</v>
      </c>
      <c r="AF18" s="78" t="s">
        <v>29</v>
      </c>
      <c r="AG18" s="78" t="s">
        <v>29</v>
      </c>
      <c r="AH18" s="107" t="s">
        <v>29</v>
      </c>
      <c r="AI18" s="19"/>
      <c r="AJ18" s="20">
        <f>MAR!AM18</f>
        <v>6</v>
      </c>
      <c r="AK18" s="21">
        <f t="shared" si="3"/>
        <v>6</v>
      </c>
      <c r="AL18" s="20">
        <f t="shared" si="4"/>
        <v>0</v>
      </c>
      <c r="AM18" s="19"/>
      <c r="AN18" s="20"/>
      <c r="AO18" s="21">
        <f t="shared" si="0"/>
        <v>0</v>
      </c>
      <c r="AP18" s="20">
        <f t="shared" si="1"/>
        <v>0</v>
      </c>
      <c r="AQ18" s="19"/>
      <c r="AR18" s="21">
        <f t="shared" si="2"/>
        <v>12</v>
      </c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</row>
    <row r="19" spans="2:59">
      <c r="B19" s="276"/>
      <c r="C19" s="20" t="s">
        <v>58</v>
      </c>
      <c r="D19" s="20" t="s">
        <v>59</v>
      </c>
      <c r="E19" s="74" t="s">
        <v>23</v>
      </c>
      <c r="F19" s="74" t="s">
        <v>23</v>
      </c>
      <c r="G19" s="74" t="s">
        <v>23</v>
      </c>
      <c r="H19" s="74" t="s">
        <v>23</v>
      </c>
      <c r="I19" s="28" t="s">
        <v>22</v>
      </c>
      <c r="J19" s="28" t="s">
        <v>22</v>
      </c>
      <c r="K19" s="60" t="s">
        <v>21</v>
      </c>
      <c r="L19" s="60" t="s">
        <v>21</v>
      </c>
      <c r="M19" s="60" t="s">
        <v>21</v>
      </c>
      <c r="N19" s="60" t="s">
        <v>21</v>
      </c>
      <c r="O19" s="28" t="s">
        <v>22</v>
      </c>
      <c r="P19" s="28" t="s">
        <v>22</v>
      </c>
      <c r="Q19" s="60" t="s">
        <v>21</v>
      </c>
      <c r="R19" s="60" t="s">
        <v>21</v>
      </c>
      <c r="S19" s="60" t="s">
        <v>21</v>
      </c>
      <c r="T19" s="60" t="s">
        <v>21</v>
      </c>
      <c r="U19" s="28" t="s">
        <v>22</v>
      </c>
      <c r="V19" s="28" t="s">
        <v>22</v>
      </c>
      <c r="W19" s="60" t="s">
        <v>21</v>
      </c>
      <c r="X19" s="60" t="s">
        <v>21</v>
      </c>
      <c r="Y19" s="60" t="s">
        <v>21</v>
      </c>
      <c r="Z19" s="60" t="s">
        <v>21</v>
      </c>
      <c r="AA19" s="28" t="s">
        <v>22</v>
      </c>
      <c r="AB19" s="28" t="s">
        <v>22</v>
      </c>
      <c r="AC19" s="74" t="s">
        <v>23</v>
      </c>
      <c r="AD19" s="74" t="s">
        <v>23</v>
      </c>
      <c r="AE19" s="74" t="s">
        <v>23</v>
      </c>
      <c r="AF19" s="74" t="s">
        <v>23</v>
      </c>
      <c r="AG19" s="28" t="s">
        <v>22</v>
      </c>
      <c r="AH19" s="91" t="s">
        <v>22</v>
      </c>
      <c r="AI19" s="19"/>
      <c r="AJ19" s="20">
        <f>MAR!AM19</f>
        <v>0</v>
      </c>
      <c r="AK19" s="21">
        <f t="shared" si="3"/>
        <v>0</v>
      </c>
      <c r="AL19" s="20">
        <f t="shared" si="4"/>
        <v>0</v>
      </c>
      <c r="AM19" s="19"/>
      <c r="AN19" s="26"/>
      <c r="AO19" s="21">
        <f t="shared" si="0"/>
        <v>0</v>
      </c>
      <c r="AP19" s="44">
        <f t="shared" si="1"/>
        <v>0</v>
      </c>
      <c r="AQ19" s="19"/>
      <c r="AR19" s="21">
        <f t="shared" si="2"/>
        <v>20</v>
      </c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</row>
    <row r="20" spans="2:59">
      <c r="B20" s="276"/>
      <c r="C20" s="22" t="s">
        <v>60</v>
      </c>
      <c r="D20" s="20" t="s">
        <v>61</v>
      </c>
      <c r="E20" s="60" t="s">
        <v>21</v>
      </c>
      <c r="F20" s="60" t="s">
        <v>21</v>
      </c>
      <c r="G20" s="28" t="s">
        <v>22</v>
      </c>
      <c r="H20" s="28" t="s">
        <v>22</v>
      </c>
      <c r="I20" s="60" t="s">
        <v>21</v>
      </c>
      <c r="J20" s="60" t="s">
        <v>21</v>
      </c>
      <c r="K20" s="60" t="s">
        <v>21</v>
      </c>
      <c r="L20" s="60" t="s">
        <v>21</v>
      </c>
      <c r="M20" s="28" t="s">
        <v>22</v>
      </c>
      <c r="N20" s="28" t="s">
        <v>22</v>
      </c>
      <c r="O20" s="78" t="s">
        <v>29</v>
      </c>
      <c r="P20" s="78" t="s">
        <v>29</v>
      </c>
      <c r="Q20" s="78" t="s">
        <v>29</v>
      </c>
      <c r="R20" s="78" t="s">
        <v>29</v>
      </c>
      <c r="S20" s="28" t="s">
        <v>22</v>
      </c>
      <c r="T20" s="28" t="s">
        <v>22</v>
      </c>
      <c r="U20" s="60" t="s">
        <v>21</v>
      </c>
      <c r="V20" s="60" t="s">
        <v>21</v>
      </c>
      <c r="W20" s="60" t="s">
        <v>21</v>
      </c>
      <c r="X20" s="60" t="s">
        <v>21</v>
      </c>
      <c r="Y20" s="28" t="s">
        <v>22</v>
      </c>
      <c r="Z20" s="28" t="s">
        <v>22</v>
      </c>
      <c r="AA20" s="60" t="s">
        <v>21</v>
      </c>
      <c r="AB20" s="60" t="s">
        <v>21</v>
      </c>
      <c r="AC20" s="60" t="s">
        <v>21</v>
      </c>
      <c r="AD20" s="60" t="s">
        <v>21</v>
      </c>
      <c r="AE20" s="28" t="s">
        <v>22</v>
      </c>
      <c r="AF20" s="28" t="s">
        <v>22</v>
      </c>
      <c r="AG20" s="74" t="s">
        <v>23</v>
      </c>
      <c r="AH20" s="89" t="s">
        <v>23</v>
      </c>
      <c r="AI20" s="19"/>
      <c r="AJ20" s="20">
        <f>MAR!AM20</f>
        <v>0</v>
      </c>
      <c r="AK20" s="21">
        <f t="shared" si="3"/>
        <v>0</v>
      </c>
      <c r="AL20" s="20">
        <f t="shared" si="4"/>
        <v>0</v>
      </c>
      <c r="AM20" s="19"/>
      <c r="AN20" s="20"/>
      <c r="AO20" s="21">
        <f t="shared" si="0"/>
        <v>0</v>
      </c>
      <c r="AP20" s="20">
        <f t="shared" si="1"/>
        <v>0</v>
      </c>
      <c r="AQ20" s="19"/>
      <c r="AR20" s="21">
        <f t="shared" si="2"/>
        <v>20</v>
      </c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</row>
    <row r="21" spans="2:59">
      <c r="B21" s="276"/>
      <c r="C21" s="20" t="s">
        <v>62</v>
      </c>
      <c r="D21" s="20" t="s">
        <v>63</v>
      </c>
      <c r="E21" s="28" t="s">
        <v>22</v>
      </c>
      <c r="F21" s="28" t="s">
        <v>22</v>
      </c>
      <c r="G21" s="60" t="s">
        <v>21</v>
      </c>
      <c r="H21" s="60" t="s">
        <v>21</v>
      </c>
      <c r="I21" s="60" t="s">
        <v>21</v>
      </c>
      <c r="J21" s="60" t="s">
        <v>21</v>
      </c>
      <c r="K21" s="28" t="s">
        <v>22</v>
      </c>
      <c r="L21" s="28" t="s">
        <v>22</v>
      </c>
      <c r="M21" s="74" t="s">
        <v>23</v>
      </c>
      <c r="N21" s="74" t="s">
        <v>23</v>
      </c>
      <c r="O21" s="74" t="s">
        <v>23</v>
      </c>
      <c r="P21" s="74" t="s">
        <v>23</v>
      </c>
      <c r="Q21" s="28" t="s">
        <v>22</v>
      </c>
      <c r="R21" s="28" t="s">
        <v>22</v>
      </c>
      <c r="S21" s="60" t="s">
        <v>21</v>
      </c>
      <c r="T21" s="60" t="s">
        <v>21</v>
      </c>
      <c r="U21" s="60" t="s">
        <v>21</v>
      </c>
      <c r="V21" s="60" t="s">
        <v>21</v>
      </c>
      <c r="W21" s="28" t="s">
        <v>22</v>
      </c>
      <c r="X21" s="28" t="s">
        <v>22</v>
      </c>
      <c r="Y21" s="74" t="s">
        <v>23</v>
      </c>
      <c r="Z21" s="74" t="s">
        <v>23</v>
      </c>
      <c r="AA21" s="74" t="s">
        <v>23</v>
      </c>
      <c r="AB21" s="74" t="s">
        <v>23</v>
      </c>
      <c r="AC21" s="28" t="s">
        <v>22</v>
      </c>
      <c r="AD21" s="28" t="s">
        <v>22</v>
      </c>
      <c r="AE21" s="60" t="s">
        <v>21</v>
      </c>
      <c r="AF21" s="60" t="s">
        <v>21</v>
      </c>
      <c r="AG21" s="60" t="s">
        <v>21</v>
      </c>
      <c r="AH21" s="90" t="s">
        <v>21</v>
      </c>
      <c r="AI21" s="19"/>
      <c r="AJ21" s="20">
        <f>MAR!AM21</f>
        <v>0</v>
      </c>
      <c r="AK21" s="21">
        <f t="shared" si="3"/>
        <v>0</v>
      </c>
      <c r="AL21" s="20">
        <f t="shared" si="4"/>
        <v>0</v>
      </c>
      <c r="AM21" s="19"/>
      <c r="AN21" s="20"/>
      <c r="AO21" s="21">
        <f t="shared" si="0"/>
        <v>0</v>
      </c>
      <c r="AP21" s="20">
        <f t="shared" si="1"/>
        <v>0</v>
      </c>
      <c r="AQ21" s="19"/>
      <c r="AR21" s="21">
        <f t="shared" si="2"/>
        <v>20</v>
      </c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</row>
    <row r="22" spans="2:59">
      <c r="B22" s="276"/>
      <c r="C22" s="86" t="s">
        <v>64</v>
      </c>
      <c r="D22" s="87" t="s">
        <v>65</v>
      </c>
      <c r="E22" s="74" t="s">
        <v>23</v>
      </c>
      <c r="F22" s="74" t="s">
        <v>23</v>
      </c>
      <c r="G22" s="74" t="s">
        <v>23</v>
      </c>
      <c r="H22" s="74" t="s">
        <v>23</v>
      </c>
      <c r="I22" s="28" t="s">
        <v>22</v>
      </c>
      <c r="J22" s="28" t="s">
        <v>22</v>
      </c>
      <c r="K22" s="78" t="s">
        <v>29</v>
      </c>
      <c r="L22" s="78" t="s">
        <v>29</v>
      </c>
      <c r="M22" s="78" t="s">
        <v>29</v>
      </c>
      <c r="N22" s="78" t="s">
        <v>29</v>
      </c>
      <c r="O22" s="28" t="s">
        <v>22</v>
      </c>
      <c r="P22" s="28" t="s">
        <v>22</v>
      </c>
      <c r="Q22" s="74" t="s">
        <v>23</v>
      </c>
      <c r="R22" s="74" t="s">
        <v>23</v>
      </c>
      <c r="S22" s="74" t="s">
        <v>23</v>
      </c>
      <c r="T22" s="74" t="s">
        <v>23</v>
      </c>
      <c r="U22" s="28" t="s">
        <v>22</v>
      </c>
      <c r="V22" s="28" t="s">
        <v>22</v>
      </c>
      <c r="W22" s="60" t="s">
        <v>21</v>
      </c>
      <c r="X22" s="60" t="s">
        <v>21</v>
      </c>
      <c r="Y22" s="60" t="s">
        <v>21</v>
      </c>
      <c r="Z22" s="60" t="s">
        <v>21</v>
      </c>
      <c r="AA22" s="28" t="s">
        <v>22</v>
      </c>
      <c r="AB22" s="28" t="s">
        <v>22</v>
      </c>
      <c r="AC22" s="60" t="s">
        <v>21</v>
      </c>
      <c r="AD22" s="60" t="s">
        <v>21</v>
      </c>
      <c r="AE22" s="60" t="s">
        <v>21</v>
      </c>
      <c r="AF22" s="60" t="s">
        <v>21</v>
      </c>
      <c r="AG22" s="28" t="s">
        <v>22</v>
      </c>
      <c r="AH22" s="91" t="s">
        <v>22</v>
      </c>
      <c r="AI22" s="19"/>
      <c r="AJ22" s="20">
        <f>MAR!AM22</f>
        <v>0</v>
      </c>
      <c r="AK22" s="21">
        <f t="shared" si="3"/>
        <v>0</v>
      </c>
      <c r="AL22" s="20">
        <f t="shared" si="4"/>
        <v>0</v>
      </c>
      <c r="AM22" s="19"/>
      <c r="AN22" s="20"/>
      <c r="AO22" s="21">
        <f t="shared" si="0"/>
        <v>0</v>
      </c>
      <c r="AP22" s="20">
        <f t="shared" si="1"/>
        <v>0</v>
      </c>
      <c r="AQ22" s="19"/>
      <c r="AR22" s="21">
        <f t="shared" si="2"/>
        <v>20</v>
      </c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</row>
    <row r="23" spans="2:59" ht="15" customHeight="1">
      <c r="B23" s="276"/>
      <c r="C23" s="20" t="s">
        <v>68</v>
      </c>
      <c r="D23" s="20" t="s">
        <v>69</v>
      </c>
      <c r="E23" s="78" t="s">
        <v>29</v>
      </c>
      <c r="F23" s="78" t="s">
        <v>29</v>
      </c>
      <c r="G23" s="28" t="s">
        <v>22</v>
      </c>
      <c r="H23" s="28" t="s">
        <v>22</v>
      </c>
      <c r="I23" s="74" t="s">
        <v>23</v>
      </c>
      <c r="J23" s="74" t="s">
        <v>23</v>
      </c>
      <c r="K23" s="74" t="s">
        <v>23</v>
      </c>
      <c r="L23" s="74" t="s">
        <v>23</v>
      </c>
      <c r="M23" s="28" t="s">
        <v>22</v>
      </c>
      <c r="N23" s="28" t="s">
        <v>22</v>
      </c>
      <c r="O23" s="60" t="s">
        <v>21</v>
      </c>
      <c r="P23" s="60" t="s">
        <v>21</v>
      </c>
      <c r="Q23" s="60" t="s">
        <v>21</v>
      </c>
      <c r="R23" s="60" t="s">
        <v>21</v>
      </c>
      <c r="S23" s="28" t="s">
        <v>22</v>
      </c>
      <c r="T23" s="28" t="s">
        <v>22</v>
      </c>
      <c r="U23" s="74" t="s">
        <v>23</v>
      </c>
      <c r="V23" s="74" t="s">
        <v>23</v>
      </c>
      <c r="W23" s="74" t="s">
        <v>23</v>
      </c>
      <c r="X23" s="74" t="s">
        <v>23</v>
      </c>
      <c r="Y23" s="28" t="s">
        <v>22</v>
      </c>
      <c r="Z23" s="28" t="s">
        <v>22</v>
      </c>
      <c r="AA23" s="76" t="s">
        <v>33</v>
      </c>
      <c r="AB23" s="76" t="s">
        <v>33</v>
      </c>
      <c r="AC23" s="73" t="s">
        <v>20</v>
      </c>
      <c r="AD23" s="76" t="s">
        <v>33</v>
      </c>
      <c r="AE23" s="28" t="s">
        <v>22</v>
      </c>
      <c r="AF23" s="28" t="s">
        <v>22</v>
      </c>
      <c r="AG23" s="60" t="s">
        <v>21</v>
      </c>
      <c r="AH23" s="90" t="s">
        <v>21</v>
      </c>
      <c r="AI23" s="19"/>
      <c r="AJ23" s="20">
        <f>MAR!AM23</f>
        <v>3</v>
      </c>
      <c r="AK23" s="21">
        <f t="shared" si="3"/>
        <v>3</v>
      </c>
      <c r="AL23" s="20">
        <f t="shared" si="4"/>
        <v>0</v>
      </c>
      <c r="AM23" s="19"/>
      <c r="AN23" s="20"/>
      <c r="AO23" s="21">
        <f t="shared" si="0"/>
        <v>0</v>
      </c>
      <c r="AP23" s="20">
        <f t="shared" si="1"/>
        <v>0</v>
      </c>
      <c r="AQ23" s="19"/>
      <c r="AR23" s="21">
        <f t="shared" si="2"/>
        <v>16</v>
      </c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</row>
    <row r="24" spans="2:59">
      <c r="B24" s="276"/>
      <c r="C24" s="108" t="s">
        <v>70</v>
      </c>
      <c r="D24" s="109" t="s">
        <v>71</v>
      </c>
      <c r="E24" s="110" t="s">
        <v>22</v>
      </c>
      <c r="F24" s="110" t="s">
        <v>22</v>
      </c>
      <c r="G24" s="116" t="s">
        <v>29</v>
      </c>
      <c r="H24" s="116" t="s">
        <v>29</v>
      </c>
      <c r="I24" s="116" t="s">
        <v>29</v>
      </c>
      <c r="J24" s="116" t="s">
        <v>29</v>
      </c>
      <c r="K24" s="110" t="s">
        <v>22</v>
      </c>
      <c r="L24" s="110" t="s">
        <v>22</v>
      </c>
      <c r="M24" s="112" t="s">
        <v>23</v>
      </c>
      <c r="N24" s="112" t="s">
        <v>23</v>
      </c>
      <c r="O24" s="112" t="s">
        <v>23</v>
      </c>
      <c r="P24" s="112" t="s">
        <v>23</v>
      </c>
      <c r="Q24" s="110" t="s">
        <v>22</v>
      </c>
      <c r="R24" s="110" t="s">
        <v>22</v>
      </c>
      <c r="S24" s="111" t="s">
        <v>21</v>
      </c>
      <c r="T24" s="111" t="s">
        <v>21</v>
      </c>
      <c r="U24" s="111" t="s">
        <v>21</v>
      </c>
      <c r="V24" s="111" t="s">
        <v>21</v>
      </c>
      <c r="W24" s="110" t="s">
        <v>22</v>
      </c>
      <c r="X24" s="110" t="s">
        <v>22</v>
      </c>
      <c r="Y24" s="112" t="s">
        <v>23</v>
      </c>
      <c r="Z24" s="112" t="s">
        <v>23</v>
      </c>
      <c r="AA24" s="112" t="s">
        <v>23</v>
      </c>
      <c r="AB24" s="112" t="s">
        <v>23</v>
      </c>
      <c r="AC24" s="110" t="s">
        <v>22</v>
      </c>
      <c r="AD24" s="110" t="s">
        <v>22</v>
      </c>
      <c r="AE24" s="111" t="s">
        <v>21</v>
      </c>
      <c r="AF24" s="111" t="s">
        <v>21</v>
      </c>
      <c r="AG24" s="111" t="s">
        <v>21</v>
      </c>
      <c r="AH24" s="127" t="s">
        <v>21</v>
      </c>
      <c r="AI24" s="19"/>
      <c r="AJ24" s="20">
        <f>MAR!AM24</f>
        <v>0</v>
      </c>
      <c r="AK24" s="21">
        <f t="shared" si="3"/>
        <v>0</v>
      </c>
      <c r="AL24" s="20">
        <f t="shared" si="4"/>
        <v>0</v>
      </c>
      <c r="AM24" s="19"/>
      <c r="AN24" s="20"/>
      <c r="AO24" s="21">
        <f t="shared" si="0"/>
        <v>0</v>
      </c>
      <c r="AP24" s="20">
        <f t="shared" si="1"/>
        <v>0</v>
      </c>
      <c r="AQ24" s="19"/>
      <c r="AR24" s="21">
        <f t="shared" si="2"/>
        <v>20</v>
      </c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</row>
    <row r="25" spans="2:59" ht="15" customHeight="1">
      <c r="B25" s="280" t="s">
        <v>72</v>
      </c>
      <c r="C25" s="88" t="s">
        <v>73</v>
      </c>
      <c r="D25" s="88" t="s">
        <v>74</v>
      </c>
      <c r="E25" s="102" t="s">
        <v>23</v>
      </c>
      <c r="F25" s="102" t="s">
        <v>23</v>
      </c>
      <c r="G25" s="102" t="s">
        <v>23</v>
      </c>
      <c r="H25" s="102" t="s">
        <v>23</v>
      </c>
      <c r="I25" s="103" t="s">
        <v>22</v>
      </c>
      <c r="J25" s="103" t="s">
        <v>22</v>
      </c>
      <c r="K25" s="104" t="s">
        <v>21</v>
      </c>
      <c r="L25" s="104" t="s">
        <v>21</v>
      </c>
      <c r="M25" s="104" t="s">
        <v>21</v>
      </c>
      <c r="N25" s="104" t="s">
        <v>21</v>
      </c>
      <c r="O25" s="103" t="s">
        <v>22</v>
      </c>
      <c r="P25" s="103" t="s">
        <v>22</v>
      </c>
      <c r="Q25" s="102" t="s">
        <v>23</v>
      </c>
      <c r="R25" s="102" t="s">
        <v>23</v>
      </c>
      <c r="S25" s="102" t="s">
        <v>23</v>
      </c>
      <c r="T25" s="102" t="s">
        <v>23</v>
      </c>
      <c r="U25" s="103" t="s">
        <v>22</v>
      </c>
      <c r="V25" s="103" t="s">
        <v>22</v>
      </c>
      <c r="W25" s="104" t="s">
        <v>21</v>
      </c>
      <c r="X25" s="104" t="s">
        <v>21</v>
      </c>
      <c r="Y25" s="104" t="s">
        <v>21</v>
      </c>
      <c r="Z25" s="104" t="s">
        <v>21</v>
      </c>
      <c r="AA25" s="103" t="s">
        <v>22</v>
      </c>
      <c r="AB25" s="103" t="s">
        <v>22</v>
      </c>
      <c r="AC25" s="102" t="s">
        <v>23</v>
      </c>
      <c r="AD25" s="102" t="s">
        <v>23</v>
      </c>
      <c r="AE25" s="102" t="s">
        <v>23</v>
      </c>
      <c r="AF25" s="102" t="s">
        <v>23</v>
      </c>
      <c r="AG25" s="103" t="s">
        <v>22</v>
      </c>
      <c r="AH25" s="120" t="s">
        <v>22</v>
      </c>
      <c r="AI25" s="19"/>
      <c r="AJ25" s="20">
        <f>MAR!AM25</f>
        <v>0</v>
      </c>
      <c r="AK25" s="21">
        <f t="shared" si="3"/>
        <v>0</v>
      </c>
      <c r="AL25" s="20">
        <f t="shared" si="4"/>
        <v>0</v>
      </c>
      <c r="AM25" s="19"/>
      <c r="AN25" s="20"/>
      <c r="AO25" s="21">
        <f t="shared" si="0"/>
        <v>0</v>
      </c>
      <c r="AP25" s="20">
        <f t="shared" si="1"/>
        <v>0</v>
      </c>
      <c r="AQ25" s="19"/>
      <c r="AR25" s="21">
        <f t="shared" si="2"/>
        <v>20</v>
      </c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</row>
    <row r="26" spans="2:59">
      <c r="B26" s="276"/>
      <c r="C26" s="22" t="s">
        <v>75</v>
      </c>
      <c r="D26" s="20" t="s">
        <v>76</v>
      </c>
      <c r="E26" s="78" t="s">
        <v>29</v>
      </c>
      <c r="F26" s="78" t="s">
        <v>29</v>
      </c>
      <c r="G26" s="28" t="s">
        <v>22</v>
      </c>
      <c r="H26" s="28" t="s">
        <v>22</v>
      </c>
      <c r="I26" s="74" t="s">
        <v>23</v>
      </c>
      <c r="J26" s="74" t="s">
        <v>23</v>
      </c>
      <c r="K26" s="74" t="s">
        <v>23</v>
      </c>
      <c r="L26" s="74" t="s">
        <v>23</v>
      </c>
      <c r="M26" s="28" t="s">
        <v>22</v>
      </c>
      <c r="N26" s="28" t="s">
        <v>22</v>
      </c>
      <c r="O26" s="60" t="s">
        <v>21</v>
      </c>
      <c r="P26" s="60" t="s">
        <v>21</v>
      </c>
      <c r="Q26" s="60" t="s">
        <v>21</v>
      </c>
      <c r="R26" s="60" t="s">
        <v>21</v>
      </c>
      <c r="S26" s="28" t="s">
        <v>22</v>
      </c>
      <c r="T26" s="28" t="s">
        <v>22</v>
      </c>
      <c r="U26" s="74" t="s">
        <v>23</v>
      </c>
      <c r="V26" s="74" t="s">
        <v>23</v>
      </c>
      <c r="W26" s="74" t="s">
        <v>23</v>
      </c>
      <c r="X26" s="74" t="s">
        <v>23</v>
      </c>
      <c r="Y26" s="28" t="s">
        <v>22</v>
      </c>
      <c r="Z26" s="28" t="s">
        <v>22</v>
      </c>
      <c r="AA26" s="60" t="s">
        <v>21</v>
      </c>
      <c r="AB26" s="60" t="s">
        <v>21</v>
      </c>
      <c r="AC26" s="60" t="s">
        <v>21</v>
      </c>
      <c r="AD26" s="60" t="s">
        <v>21</v>
      </c>
      <c r="AE26" s="28" t="s">
        <v>22</v>
      </c>
      <c r="AF26" s="28" t="s">
        <v>22</v>
      </c>
      <c r="AG26" s="60" t="s">
        <v>21</v>
      </c>
      <c r="AH26" s="90" t="s">
        <v>21</v>
      </c>
      <c r="AI26" s="19"/>
      <c r="AJ26" s="20">
        <f>MAR!AM26</f>
        <v>0</v>
      </c>
      <c r="AK26" s="21">
        <f t="shared" si="3"/>
        <v>0</v>
      </c>
      <c r="AL26" s="20">
        <f t="shared" si="4"/>
        <v>0</v>
      </c>
      <c r="AM26" s="19"/>
      <c r="AN26" s="20"/>
      <c r="AO26" s="21">
        <f t="shared" si="0"/>
        <v>0</v>
      </c>
      <c r="AP26" s="20">
        <f t="shared" si="1"/>
        <v>0</v>
      </c>
      <c r="AQ26" s="19"/>
      <c r="AR26" s="21">
        <f t="shared" si="2"/>
        <v>20</v>
      </c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</row>
    <row r="27" spans="2:59">
      <c r="B27" s="276"/>
      <c r="C27" s="22" t="s">
        <v>77</v>
      </c>
      <c r="D27" s="20" t="s">
        <v>78</v>
      </c>
      <c r="E27" s="76" t="s">
        <v>33</v>
      </c>
      <c r="F27" s="76" t="s">
        <v>33</v>
      </c>
      <c r="G27" s="73" t="s">
        <v>20</v>
      </c>
      <c r="H27" s="76" t="s">
        <v>33</v>
      </c>
      <c r="I27" s="28" t="s">
        <v>22</v>
      </c>
      <c r="J27" s="28" t="s">
        <v>22</v>
      </c>
      <c r="K27" s="76" t="s">
        <v>33</v>
      </c>
      <c r="L27" s="76" t="s">
        <v>33</v>
      </c>
      <c r="M27" s="76" t="s">
        <v>33</v>
      </c>
      <c r="N27" s="76" t="s">
        <v>33</v>
      </c>
      <c r="O27" s="28" t="s">
        <v>22</v>
      </c>
      <c r="P27" s="28" t="s">
        <v>22</v>
      </c>
      <c r="Q27" s="76" t="s">
        <v>33</v>
      </c>
      <c r="R27" s="76" t="s">
        <v>33</v>
      </c>
      <c r="S27" s="76" t="s">
        <v>33</v>
      </c>
      <c r="T27" s="76" t="s">
        <v>33</v>
      </c>
      <c r="U27" s="28" t="s">
        <v>22</v>
      </c>
      <c r="V27" s="28" t="s">
        <v>22</v>
      </c>
      <c r="W27" s="74" t="s">
        <v>23</v>
      </c>
      <c r="X27" s="74" t="s">
        <v>23</v>
      </c>
      <c r="Y27" s="74" t="s">
        <v>23</v>
      </c>
      <c r="Z27" s="74" t="s">
        <v>23</v>
      </c>
      <c r="AA27" s="28" t="s">
        <v>22</v>
      </c>
      <c r="AB27" s="28" t="s">
        <v>22</v>
      </c>
      <c r="AC27" s="74" t="s">
        <v>23</v>
      </c>
      <c r="AD27" s="74" t="s">
        <v>23</v>
      </c>
      <c r="AE27" s="74" t="s">
        <v>23</v>
      </c>
      <c r="AF27" s="74" t="s">
        <v>23</v>
      </c>
      <c r="AG27" s="28" t="s">
        <v>22</v>
      </c>
      <c r="AH27" s="91" t="s">
        <v>22</v>
      </c>
      <c r="AI27" s="19"/>
      <c r="AJ27" s="20">
        <f>MAR!AM27</f>
        <v>11</v>
      </c>
      <c r="AK27" s="21">
        <f t="shared" si="3"/>
        <v>11</v>
      </c>
      <c r="AL27" s="20">
        <f t="shared" si="4"/>
        <v>0</v>
      </c>
      <c r="AM27" s="19"/>
      <c r="AN27" s="20"/>
      <c r="AO27" s="21">
        <f t="shared" si="0"/>
        <v>0</v>
      </c>
      <c r="AP27" s="20">
        <f t="shared" si="1"/>
        <v>0</v>
      </c>
      <c r="AQ27" s="19"/>
      <c r="AR27" s="21">
        <f t="shared" si="2"/>
        <v>8</v>
      </c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</row>
    <row r="28" spans="2:59" ht="15" customHeight="1">
      <c r="B28" s="276"/>
      <c r="C28" s="20" t="s">
        <v>79</v>
      </c>
      <c r="D28" s="20" t="s">
        <v>80</v>
      </c>
      <c r="E28" s="60" t="s">
        <v>21</v>
      </c>
      <c r="F28" s="75" t="s">
        <v>26</v>
      </c>
      <c r="G28" s="28" t="s">
        <v>22</v>
      </c>
      <c r="H28" s="28" t="s">
        <v>22</v>
      </c>
      <c r="I28" s="60" t="s">
        <v>21</v>
      </c>
      <c r="J28" s="60" t="s">
        <v>21</v>
      </c>
      <c r="K28" s="60" t="s">
        <v>21</v>
      </c>
      <c r="L28" s="60" t="s">
        <v>21</v>
      </c>
      <c r="M28" s="28" t="s">
        <v>22</v>
      </c>
      <c r="N28" s="28" t="s">
        <v>22</v>
      </c>
      <c r="O28" s="78" t="s">
        <v>29</v>
      </c>
      <c r="P28" s="78" t="s">
        <v>29</v>
      </c>
      <c r="Q28" s="78" t="s">
        <v>29</v>
      </c>
      <c r="R28" s="78" t="s">
        <v>29</v>
      </c>
      <c r="S28" s="28" t="s">
        <v>22</v>
      </c>
      <c r="T28" s="28" t="s">
        <v>22</v>
      </c>
      <c r="U28" s="74" t="s">
        <v>23</v>
      </c>
      <c r="V28" s="74" t="s">
        <v>23</v>
      </c>
      <c r="W28" s="74" t="s">
        <v>23</v>
      </c>
      <c r="X28" s="74" t="s">
        <v>23</v>
      </c>
      <c r="Y28" s="28" t="s">
        <v>22</v>
      </c>
      <c r="Z28" s="28" t="s">
        <v>22</v>
      </c>
      <c r="AA28" s="60" t="s">
        <v>21</v>
      </c>
      <c r="AB28" s="60" t="s">
        <v>21</v>
      </c>
      <c r="AC28" s="60" t="s">
        <v>21</v>
      </c>
      <c r="AD28" s="60" t="s">
        <v>21</v>
      </c>
      <c r="AE28" s="28" t="s">
        <v>22</v>
      </c>
      <c r="AF28" s="28" t="s">
        <v>22</v>
      </c>
      <c r="AG28" s="74" t="s">
        <v>23</v>
      </c>
      <c r="AH28" s="89" t="s">
        <v>23</v>
      </c>
      <c r="AI28" s="19"/>
      <c r="AJ28" s="20">
        <f>MAR!AM28</f>
        <v>0</v>
      </c>
      <c r="AK28" s="21">
        <f t="shared" si="3"/>
        <v>0</v>
      </c>
      <c r="AL28" s="20">
        <f t="shared" si="4"/>
        <v>0</v>
      </c>
      <c r="AM28" s="19"/>
      <c r="AN28" s="20"/>
      <c r="AO28" s="21">
        <f t="shared" si="0"/>
        <v>0</v>
      </c>
      <c r="AP28" s="20">
        <f t="shared" si="1"/>
        <v>0</v>
      </c>
      <c r="AQ28" s="19"/>
      <c r="AR28" s="21">
        <f t="shared" si="2"/>
        <v>19</v>
      </c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</row>
    <row r="29" spans="2:59">
      <c r="B29" s="276"/>
      <c r="C29" s="22" t="s">
        <v>82</v>
      </c>
      <c r="D29" s="20" t="s">
        <v>83</v>
      </c>
      <c r="E29" s="28" t="s">
        <v>22</v>
      </c>
      <c r="F29" s="28" t="s">
        <v>22</v>
      </c>
      <c r="G29" s="60" t="s">
        <v>21</v>
      </c>
      <c r="H29" s="60" t="s">
        <v>21</v>
      </c>
      <c r="I29" s="60" t="s">
        <v>21</v>
      </c>
      <c r="J29" s="60" t="s">
        <v>21</v>
      </c>
      <c r="K29" s="28" t="s">
        <v>22</v>
      </c>
      <c r="L29" s="28" t="s">
        <v>22</v>
      </c>
      <c r="M29" s="60" t="s">
        <v>21</v>
      </c>
      <c r="N29" s="60" t="s">
        <v>21</v>
      </c>
      <c r="O29" s="60" t="s">
        <v>21</v>
      </c>
      <c r="P29" s="60" t="s">
        <v>21</v>
      </c>
      <c r="Q29" s="28" t="s">
        <v>22</v>
      </c>
      <c r="R29" s="28" t="s">
        <v>22</v>
      </c>
      <c r="S29" s="78" t="s">
        <v>29</v>
      </c>
      <c r="T29" s="78" t="s">
        <v>29</v>
      </c>
      <c r="U29" s="78" t="s">
        <v>29</v>
      </c>
      <c r="V29" s="78" t="s">
        <v>29</v>
      </c>
      <c r="W29" s="28" t="s">
        <v>22</v>
      </c>
      <c r="X29" s="28" t="s">
        <v>22</v>
      </c>
      <c r="Y29" s="74" t="s">
        <v>23</v>
      </c>
      <c r="Z29" s="74" t="s">
        <v>23</v>
      </c>
      <c r="AA29" s="74" t="s">
        <v>23</v>
      </c>
      <c r="AB29" s="74" t="s">
        <v>23</v>
      </c>
      <c r="AC29" s="28" t="s">
        <v>22</v>
      </c>
      <c r="AD29" s="28" t="s">
        <v>22</v>
      </c>
      <c r="AE29" s="60" t="s">
        <v>21</v>
      </c>
      <c r="AF29" s="60" t="s">
        <v>21</v>
      </c>
      <c r="AG29" s="60" t="s">
        <v>21</v>
      </c>
      <c r="AH29" s="90" t="s">
        <v>21</v>
      </c>
      <c r="AI29" s="19"/>
      <c r="AJ29" s="20">
        <f>MAR!AM29</f>
        <v>0</v>
      </c>
      <c r="AK29" s="21">
        <f t="shared" si="3"/>
        <v>0</v>
      </c>
      <c r="AL29" s="20">
        <f t="shared" si="4"/>
        <v>0</v>
      </c>
      <c r="AM29" s="19"/>
      <c r="AN29" s="20"/>
      <c r="AO29" s="21">
        <f t="shared" si="0"/>
        <v>0</v>
      </c>
      <c r="AP29" s="20">
        <f t="shared" si="1"/>
        <v>0</v>
      </c>
      <c r="AQ29" s="19"/>
      <c r="AR29" s="21">
        <f t="shared" si="2"/>
        <v>20</v>
      </c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</row>
    <row r="30" spans="2:59">
      <c r="B30" s="276"/>
      <c r="C30" s="20" t="s">
        <v>85</v>
      </c>
      <c r="D30" s="20" t="s">
        <v>86</v>
      </c>
      <c r="E30" s="74" t="s">
        <v>23</v>
      </c>
      <c r="F30" s="74" t="s">
        <v>23</v>
      </c>
      <c r="G30" s="74" t="s">
        <v>23</v>
      </c>
      <c r="H30" s="74" t="s">
        <v>23</v>
      </c>
      <c r="I30" s="28" t="s">
        <v>22</v>
      </c>
      <c r="J30" s="28" t="s">
        <v>22</v>
      </c>
      <c r="K30" s="74" t="s">
        <v>23</v>
      </c>
      <c r="L30" s="74" t="s">
        <v>23</v>
      </c>
      <c r="M30" s="74" t="s">
        <v>23</v>
      </c>
      <c r="N30" s="74" t="s">
        <v>23</v>
      </c>
      <c r="O30" s="28" t="s">
        <v>22</v>
      </c>
      <c r="P30" s="28" t="s">
        <v>22</v>
      </c>
      <c r="Q30" s="60" t="s">
        <v>21</v>
      </c>
      <c r="R30" s="60" t="s">
        <v>21</v>
      </c>
      <c r="S30" s="60" t="s">
        <v>21</v>
      </c>
      <c r="T30" s="60" t="s">
        <v>21</v>
      </c>
      <c r="U30" s="28" t="s">
        <v>22</v>
      </c>
      <c r="V30" s="28" t="s">
        <v>22</v>
      </c>
      <c r="W30" s="78" t="s">
        <v>29</v>
      </c>
      <c r="X30" s="78" t="s">
        <v>29</v>
      </c>
      <c r="Y30" s="78" t="s">
        <v>29</v>
      </c>
      <c r="Z30" s="78" t="s">
        <v>29</v>
      </c>
      <c r="AA30" s="28" t="s">
        <v>22</v>
      </c>
      <c r="AB30" s="28" t="s">
        <v>22</v>
      </c>
      <c r="AC30" s="74" t="s">
        <v>23</v>
      </c>
      <c r="AD30" s="74" t="s">
        <v>23</v>
      </c>
      <c r="AE30" s="74" t="s">
        <v>23</v>
      </c>
      <c r="AF30" s="74" t="s">
        <v>23</v>
      </c>
      <c r="AG30" s="28" t="s">
        <v>22</v>
      </c>
      <c r="AH30" s="91" t="s">
        <v>22</v>
      </c>
      <c r="AI30" s="19"/>
      <c r="AJ30" s="20">
        <f>MAR!AM30</f>
        <v>0</v>
      </c>
      <c r="AK30" s="21">
        <f t="shared" si="3"/>
        <v>0</v>
      </c>
      <c r="AL30" s="20">
        <f t="shared" si="4"/>
        <v>0</v>
      </c>
      <c r="AM30" s="19"/>
      <c r="AN30" s="26"/>
      <c r="AO30" s="21">
        <f t="shared" si="0"/>
        <v>0</v>
      </c>
      <c r="AP30" s="44">
        <f t="shared" si="1"/>
        <v>0</v>
      </c>
      <c r="AQ30" s="19"/>
      <c r="AR30" s="21">
        <f t="shared" si="2"/>
        <v>20</v>
      </c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</row>
    <row r="31" spans="2:59">
      <c r="B31" s="276"/>
      <c r="C31" s="22" t="s">
        <v>87</v>
      </c>
      <c r="D31" s="20" t="s">
        <v>88</v>
      </c>
      <c r="E31" s="60" t="s">
        <v>21</v>
      </c>
      <c r="F31" s="60" t="s">
        <v>21</v>
      </c>
      <c r="G31" s="28" t="s">
        <v>22</v>
      </c>
      <c r="H31" s="28" t="s">
        <v>22</v>
      </c>
      <c r="I31" s="74" t="s">
        <v>23</v>
      </c>
      <c r="J31" s="74" t="s">
        <v>23</v>
      </c>
      <c r="K31" s="74" t="s">
        <v>23</v>
      </c>
      <c r="L31" s="74" t="s">
        <v>23</v>
      </c>
      <c r="M31" s="28" t="s">
        <v>22</v>
      </c>
      <c r="N31" s="28" t="s">
        <v>22</v>
      </c>
      <c r="O31" s="60" t="s">
        <v>21</v>
      </c>
      <c r="P31" s="60" t="s">
        <v>21</v>
      </c>
      <c r="Q31" s="60" t="s">
        <v>21</v>
      </c>
      <c r="R31" s="60" t="s">
        <v>21</v>
      </c>
      <c r="S31" s="28" t="s">
        <v>22</v>
      </c>
      <c r="T31" s="28" t="s">
        <v>22</v>
      </c>
      <c r="U31" s="60" t="s">
        <v>21</v>
      </c>
      <c r="V31" s="60" t="s">
        <v>21</v>
      </c>
      <c r="W31" s="60" t="s">
        <v>21</v>
      </c>
      <c r="X31" s="60" t="s">
        <v>21</v>
      </c>
      <c r="Y31" s="28" t="s">
        <v>22</v>
      </c>
      <c r="Z31" s="28" t="s">
        <v>22</v>
      </c>
      <c r="AA31" s="78" t="s">
        <v>29</v>
      </c>
      <c r="AB31" s="78" t="s">
        <v>29</v>
      </c>
      <c r="AC31" s="78" t="s">
        <v>29</v>
      </c>
      <c r="AD31" s="78" t="s">
        <v>29</v>
      </c>
      <c r="AE31" s="28" t="s">
        <v>22</v>
      </c>
      <c r="AF31" s="28" t="s">
        <v>22</v>
      </c>
      <c r="AG31" s="74" t="s">
        <v>23</v>
      </c>
      <c r="AH31" s="89" t="s">
        <v>23</v>
      </c>
      <c r="AI31" s="19"/>
      <c r="AJ31" s="20">
        <f>MAR!AM31</f>
        <v>0</v>
      </c>
      <c r="AK31" s="21">
        <f t="shared" si="3"/>
        <v>0</v>
      </c>
      <c r="AL31" s="20">
        <f t="shared" si="4"/>
        <v>0</v>
      </c>
      <c r="AM31" s="19"/>
      <c r="AN31" s="20"/>
      <c r="AO31" s="21">
        <f t="shared" si="0"/>
        <v>0</v>
      </c>
      <c r="AP31" s="20">
        <f t="shared" si="1"/>
        <v>0</v>
      </c>
      <c r="AQ31" s="19"/>
      <c r="AR31" s="21">
        <f t="shared" si="2"/>
        <v>20</v>
      </c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</row>
    <row r="32" spans="2:59">
      <c r="B32" s="276"/>
      <c r="C32" s="20" t="s">
        <v>89</v>
      </c>
      <c r="D32" s="20" t="s">
        <v>90</v>
      </c>
      <c r="E32" s="28" t="s">
        <v>22</v>
      </c>
      <c r="F32" s="28" t="s">
        <v>22</v>
      </c>
      <c r="G32" s="78" t="s">
        <v>29</v>
      </c>
      <c r="H32" s="78" t="s">
        <v>29</v>
      </c>
      <c r="I32" s="78" t="s">
        <v>29</v>
      </c>
      <c r="J32" s="78" t="s">
        <v>29</v>
      </c>
      <c r="K32" s="28" t="s">
        <v>22</v>
      </c>
      <c r="L32" s="28" t="s">
        <v>22</v>
      </c>
      <c r="M32" s="74" t="s">
        <v>23</v>
      </c>
      <c r="N32" s="74" t="s">
        <v>23</v>
      </c>
      <c r="O32" s="74" t="s">
        <v>23</v>
      </c>
      <c r="P32" s="74" t="s">
        <v>23</v>
      </c>
      <c r="Q32" s="28" t="s">
        <v>22</v>
      </c>
      <c r="R32" s="28" t="s">
        <v>22</v>
      </c>
      <c r="S32" s="60" t="s">
        <v>21</v>
      </c>
      <c r="T32" s="60" t="s">
        <v>21</v>
      </c>
      <c r="U32" s="60" t="s">
        <v>21</v>
      </c>
      <c r="V32" s="60" t="s">
        <v>21</v>
      </c>
      <c r="W32" s="28" t="s">
        <v>22</v>
      </c>
      <c r="X32" s="28" t="s">
        <v>22</v>
      </c>
      <c r="Y32" s="60" t="s">
        <v>21</v>
      </c>
      <c r="Z32" s="60" t="s">
        <v>21</v>
      </c>
      <c r="AA32" s="60" t="s">
        <v>21</v>
      </c>
      <c r="AB32" s="60" t="s">
        <v>21</v>
      </c>
      <c r="AC32" s="28" t="s">
        <v>22</v>
      </c>
      <c r="AD32" s="28" t="s">
        <v>22</v>
      </c>
      <c r="AE32" s="78" t="s">
        <v>29</v>
      </c>
      <c r="AF32" s="78" t="s">
        <v>29</v>
      </c>
      <c r="AG32" s="78" t="s">
        <v>29</v>
      </c>
      <c r="AH32" s="107" t="s">
        <v>29</v>
      </c>
      <c r="AI32" s="19"/>
      <c r="AJ32" s="20">
        <f>MAR!AM32</f>
        <v>0</v>
      </c>
      <c r="AK32" s="21">
        <f t="shared" si="3"/>
        <v>0</v>
      </c>
      <c r="AL32" s="20">
        <f t="shared" si="4"/>
        <v>0</v>
      </c>
      <c r="AM32" s="19"/>
      <c r="AN32" s="20"/>
      <c r="AO32" s="21">
        <f t="shared" si="0"/>
        <v>0</v>
      </c>
      <c r="AP32" s="20">
        <f t="shared" si="1"/>
        <v>0</v>
      </c>
      <c r="AQ32" s="19"/>
      <c r="AR32" s="21">
        <f t="shared" si="2"/>
        <v>20</v>
      </c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</row>
    <row r="33" spans="2:60">
      <c r="B33" s="276"/>
      <c r="C33" s="22" t="s">
        <v>91</v>
      </c>
      <c r="D33" s="20" t="s">
        <v>92</v>
      </c>
      <c r="E33" s="74" t="s">
        <v>23</v>
      </c>
      <c r="F33" s="74" t="s">
        <v>23</v>
      </c>
      <c r="G33" s="74" t="s">
        <v>23</v>
      </c>
      <c r="H33" s="28" t="s">
        <v>22</v>
      </c>
      <c r="I33" s="28" t="s">
        <v>22</v>
      </c>
      <c r="J33" s="60" t="s">
        <v>21</v>
      </c>
      <c r="K33" s="60" t="s">
        <v>21</v>
      </c>
      <c r="L33" s="60" t="s">
        <v>21</v>
      </c>
      <c r="M33" s="60" t="s">
        <v>21</v>
      </c>
      <c r="N33" s="28" t="s">
        <v>22</v>
      </c>
      <c r="O33" s="28" t="s">
        <v>22</v>
      </c>
      <c r="P33" s="76" t="s">
        <v>33</v>
      </c>
      <c r="Q33" s="76" t="s">
        <v>33</v>
      </c>
      <c r="R33" s="76" t="s">
        <v>33</v>
      </c>
      <c r="S33" s="161" t="s">
        <v>36</v>
      </c>
      <c r="T33" s="28" t="s">
        <v>22</v>
      </c>
      <c r="U33" s="28" t="s">
        <v>22</v>
      </c>
      <c r="V33" s="60" t="s">
        <v>21</v>
      </c>
      <c r="W33" s="60" t="s">
        <v>21</v>
      </c>
      <c r="X33" s="60" t="s">
        <v>21</v>
      </c>
      <c r="Y33" s="60" t="s">
        <v>21</v>
      </c>
      <c r="Z33" s="28" t="s">
        <v>22</v>
      </c>
      <c r="AA33" s="28" t="s">
        <v>22</v>
      </c>
      <c r="AB33" s="74" t="s">
        <v>23</v>
      </c>
      <c r="AC33" s="74" t="s">
        <v>23</v>
      </c>
      <c r="AD33" s="74" t="s">
        <v>23</v>
      </c>
      <c r="AE33" s="74" t="s">
        <v>23</v>
      </c>
      <c r="AF33" s="28" t="s">
        <v>22</v>
      </c>
      <c r="AG33" s="28" t="s">
        <v>22</v>
      </c>
      <c r="AH33" s="90" t="s">
        <v>21</v>
      </c>
      <c r="AI33" s="19"/>
      <c r="AJ33" s="20">
        <f>MAR!AM33</f>
        <v>3</v>
      </c>
      <c r="AK33" s="21">
        <f t="shared" si="3"/>
        <v>3</v>
      </c>
      <c r="AL33" s="20">
        <f t="shared" si="4"/>
        <v>0</v>
      </c>
      <c r="AM33" s="19"/>
      <c r="AN33" s="20"/>
      <c r="AO33" s="21">
        <f t="shared" si="0"/>
        <v>1</v>
      </c>
      <c r="AP33" s="20">
        <f t="shared" si="1"/>
        <v>-1</v>
      </c>
      <c r="AQ33" s="19"/>
      <c r="AR33" s="21">
        <f t="shared" si="2"/>
        <v>16</v>
      </c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</row>
    <row r="34" spans="2:60" ht="15" customHeight="1">
      <c r="B34" s="276"/>
      <c r="C34" s="20" t="s">
        <v>93</v>
      </c>
      <c r="D34" s="20" t="s">
        <v>94</v>
      </c>
      <c r="E34" s="60" t="s">
        <v>21</v>
      </c>
      <c r="F34" s="28" t="s">
        <v>22</v>
      </c>
      <c r="G34" s="28" t="s">
        <v>22</v>
      </c>
      <c r="H34" s="74" t="s">
        <v>23</v>
      </c>
      <c r="I34" s="74" t="s">
        <v>23</v>
      </c>
      <c r="J34" s="74" t="s">
        <v>23</v>
      </c>
      <c r="K34" s="74" t="s">
        <v>23</v>
      </c>
      <c r="L34" s="28" t="s">
        <v>22</v>
      </c>
      <c r="M34" s="28" t="s">
        <v>22</v>
      </c>
      <c r="N34" s="60" t="s">
        <v>21</v>
      </c>
      <c r="O34" s="60" t="s">
        <v>21</v>
      </c>
      <c r="P34" s="60" t="s">
        <v>21</v>
      </c>
      <c r="Q34" s="60" t="s">
        <v>21</v>
      </c>
      <c r="R34" s="28" t="s">
        <v>22</v>
      </c>
      <c r="S34" s="28" t="s">
        <v>22</v>
      </c>
      <c r="T34" s="74" t="s">
        <v>23</v>
      </c>
      <c r="U34" s="74" t="s">
        <v>23</v>
      </c>
      <c r="V34" s="74" t="s">
        <v>23</v>
      </c>
      <c r="W34" s="74" t="s">
        <v>23</v>
      </c>
      <c r="X34" s="28" t="s">
        <v>22</v>
      </c>
      <c r="Y34" s="28" t="s">
        <v>22</v>
      </c>
      <c r="Z34" s="60" t="s">
        <v>21</v>
      </c>
      <c r="AA34" s="60" t="s">
        <v>21</v>
      </c>
      <c r="AB34" s="60" t="s">
        <v>21</v>
      </c>
      <c r="AC34" s="60" t="s">
        <v>21</v>
      </c>
      <c r="AD34" s="28" t="s">
        <v>22</v>
      </c>
      <c r="AE34" s="28" t="s">
        <v>22</v>
      </c>
      <c r="AF34" s="74" t="s">
        <v>23</v>
      </c>
      <c r="AG34" s="74" t="s">
        <v>23</v>
      </c>
      <c r="AH34" s="89" t="s">
        <v>23</v>
      </c>
      <c r="AI34" s="19"/>
      <c r="AJ34" s="20">
        <f>MAR!AM34</f>
        <v>0</v>
      </c>
      <c r="AK34" s="21">
        <f t="shared" si="3"/>
        <v>0</v>
      </c>
      <c r="AL34" s="20">
        <f t="shared" si="4"/>
        <v>0</v>
      </c>
      <c r="AM34" s="19"/>
      <c r="AN34" s="20"/>
      <c r="AO34" s="21">
        <f t="shared" si="0"/>
        <v>0</v>
      </c>
      <c r="AP34" s="20">
        <f t="shared" si="1"/>
        <v>0</v>
      </c>
      <c r="AQ34" s="19"/>
      <c r="AR34" s="21">
        <f t="shared" si="2"/>
        <v>20</v>
      </c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</row>
    <row r="35" spans="2:60">
      <c r="B35" s="276"/>
      <c r="C35" s="108" t="s">
        <v>95</v>
      </c>
      <c r="D35" s="109" t="s">
        <v>96</v>
      </c>
      <c r="E35" s="110" t="s">
        <v>22</v>
      </c>
      <c r="F35" s="111" t="s">
        <v>21</v>
      </c>
      <c r="G35" s="111" t="s">
        <v>21</v>
      </c>
      <c r="H35" s="111" t="s">
        <v>21</v>
      </c>
      <c r="I35" s="111" t="s">
        <v>21</v>
      </c>
      <c r="J35" s="110" t="s">
        <v>22</v>
      </c>
      <c r="K35" s="110" t="s">
        <v>22</v>
      </c>
      <c r="L35" s="112" t="s">
        <v>23</v>
      </c>
      <c r="M35" s="112" t="s">
        <v>23</v>
      </c>
      <c r="N35" s="112" t="s">
        <v>23</v>
      </c>
      <c r="O35" s="112" t="s">
        <v>23</v>
      </c>
      <c r="P35" s="110" t="s">
        <v>22</v>
      </c>
      <c r="Q35" s="110" t="s">
        <v>22</v>
      </c>
      <c r="R35" s="111" t="s">
        <v>21</v>
      </c>
      <c r="S35" s="111" t="s">
        <v>21</v>
      </c>
      <c r="T35" s="111" t="s">
        <v>21</v>
      </c>
      <c r="U35" s="111" t="s">
        <v>21</v>
      </c>
      <c r="V35" s="110" t="s">
        <v>22</v>
      </c>
      <c r="W35" s="110" t="s">
        <v>22</v>
      </c>
      <c r="X35" s="112" t="s">
        <v>23</v>
      </c>
      <c r="Y35" s="112" t="s">
        <v>23</v>
      </c>
      <c r="Z35" s="112" t="s">
        <v>23</v>
      </c>
      <c r="AA35" s="112" t="s">
        <v>23</v>
      </c>
      <c r="AB35" s="110" t="s">
        <v>22</v>
      </c>
      <c r="AC35" s="110" t="s">
        <v>22</v>
      </c>
      <c r="AD35" s="193" t="s">
        <v>33</v>
      </c>
      <c r="AE35" s="193" t="s">
        <v>33</v>
      </c>
      <c r="AF35" s="193" t="s">
        <v>33</v>
      </c>
      <c r="AG35" s="193" t="s">
        <v>33</v>
      </c>
      <c r="AH35" s="113" t="s">
        <v>22</v>
      </c>
      <c r="AI35" s="19"/>
      <c r="AJ35" s="20">
        <f>MAR!AM35</f>
        <v>4</v>
      </c>
      <c r="AK35" s="21">
        <f t="shared" si="3"/>
        <v>4</v>
      </c>
      <c r="AL35" s="20">
        <f t="shared" si="4"/>
        <v>0</v>
      </c>
      <c r="AM35" s="19"/>
      <c r="AN35" s="20"/>
      <c r="AO35" s="21">
        <f t="shared" si="0"/>
        <v>0</v>
      </c>
      <c r="AP35" s="20">
        <f t="shared" si="1"/>
        <v>0</v>
      </c>
      <c r="AQ35" s="19"/>
      <c r="AR35" s="21">
        <f t="shared" si="2"/>
        <v>16</v>
      </c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</row>
    <row r="36" spans="2:60">
      <c r="B36" s="285" t="s">
        <v>97</v>
      </c>
      <c r="C36" s="88" t="s">
        <v>98</v>
      </c>
      <c r="D36" s="88" t="s">
        <v>99</v>
      </c>
      <c r="E36" s="103" t="s">
        <v>22</v>
      </c>
      <c r="F36" s="119" t="s">
        <v>66</v>
      </c>
      <c r="G36" s="119" t="s">
        <v>66</v>
      </c>
      <c r="H36" s="119" t="s">
        <v>66</v>
      </c>
      <c r="I36" s="119" t="s">
        <v>66</v>
      </c>
      <c r="J36" s="103" t="s">
        <v>22</v>
      </c>
      <c r="K36" s="103" t="s">
        <v>22</v>
      </c>
      <c r="L36" s="118" t="s">
        <v>100</v>
      </c>
      <c r="M36" s="118" t="s">
        <v>100</v>
      </c>
      <c r="N36" s="118" t="s">
        <v>100</v>
      </c>
      <c r="O36" s="118" t="s">
        <v>100</v>
      </c>
      <c r="P36" s="103" t="s">
        <v>22</v>
      </c>
      <c r="Q36" s="103" t="s">
        <v>22</v>
      </c>
      <c r="R36" s="119" t="s">
        <v>66</v>
      </c>
      <c r="S36" s="119" t="s">
        <v>66</v>
      </c>
      <c r="T36" s="119" t="s">
        <v>66</v>
      </c>
      <c r="U36" s="119" t="s">
        <v>66</v>
      </c>
      <c r="V36" s="103" t="s">
        <v>22</v>
      </c>
      <c r="W36" s="103" t="s">
        <v>22</v>
      </c>
      <c r="X36" s="118" t="s">
        <v>100</v>
      </c>
      <c r="Y36" s="118" t="s">
        <v>100</v>
      </c>
      <c r="Z36" s="118" t="s">
        <v>100</v>
      </c>
      <c r="AA36" s="118" t="s">
        <v>100</v>
      </c>
      <c r="AB36" s="103" t="s">
        <v>22</v>
      </c>
      <c r="AC36" s="103" t="s">
        <v>22</v>
      </c>
      <c r="AD36" s="119" t="s">
        <v>66</v>
      </c>
      <c r="AE36" s="119" t="s">
        <v>66</v>
      </c>
      <c r="AF36" s="119" t="s">
        <v>66</v>
      </c>
      <c r="AG36" s="119" t="s">
        <v>66</v>
      </c>
      <c r="AH36" s="120" t="s">
        <v>22</v>
      </c>
      <c r="AI36" s="19"/>
      <c r="AJ36" s="20">
        <f>MAR!AM36</f>
        <v>0</v>
      </c>
      <c r="AK36" s="21">
        <f t="shared" si="3"/>
        <v>0</v>
      </c>
      <c r="AL36" s="20">
        <f t="shared" si="4"/>
        <v>0</v>
      </c>
      <c r="AM36" s="19"/>
      <c r="AN36" s="20"/>
      <c r="AO36" s="21">
        <f t="shared" si="0"/>
        <v>0</v>
      </c>
      <c r="AP36" s="20">
        <f t="shared" si="1"/>
        <v>0</v>
      </c>
      <c r="AQ36" s="19"/>
      <c r="AR36" s="21">
        <f t="shared" si="2"/>
        <v>20</v>
      </c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</row>
    <row r="37" spans="2:60">
      <c r="B37" s="278"/>
      <c r="C37" s="22" t="s">
        <v>101</v>
      </c>
      <c r="D37" s="20" t="s">
        <v>102</v>
      </c>
      <c r="E37" s="79" t="s">
        <v>66</v>
      </c>
      <c r="F37" s="28" t="s">
        <v>22</v>
      </c>
      <c r="G37" s="28" t="s">
        <v>22</v>
      </c>
      <c r="H37" s="85" t="s">
        <v>100</v>
      </c>
      <c r="I37" s="85" t="s">
        <v>100</v>
      </c>
      <c r="J37" s="85" t="s">
        <v>100</v>
      </c>
      <c r="K37" s="85" t="s">
        <v>100</v>
      </c>
      <c r="L37" s="28" t="s">
        <v>22</v>
      </c>
      <c r="M37" s="28" t="s">
        <v>22</v>
      </c>
      <c r="N37" s="79" t="s">
        <v>66</v>
      </c>
      <c r="O37" s="79" t="s">
        <v>66</v>
      </c>
      <c r="P37" s="79" t="s">
        <v>66</v>
      </c>
      <c r="Q37" s="79" t="s">
        <v>66</v>
      </c>
      <c r="R37" s="28" t="s">
        <v>22</v>
      </c>
      <c r="S37" s="28" t="s">
        <v>22</v>
      </c>
      <c r="T37" s="85" t="s">
        <v>100</v>
      </c>
      <c r="U37" s="85" t="s">
        <v>100</v>
      </c>
      <c r="V37" s="85" t="s">
        <v>100</v>
      </c>
      <c r="W37" s="85" t="s">
        <v>100</v>
      </c>
      <c r="X37" s="28" t="s">
        <v>22</v>
      </c>
      <c r="Y37" s="28" t="s">
        <v>22</v>
      </c>
      <c r="Z37" s="79" t="s">
        <v>66</v>
      </c>
      <c r="AA37" s="79" t="s">
        <v>66</v>
      </c>
      <c r="AB37" s="79" t="s">
        <v>66</v>
      </c>
      <c r="AC37" s="79" t="s">
        <v>66</v>
      </c>
      <c r="AD37" s="28" t="s">
        <v>22</v>
      </c>
      <c r="AE37" s="28" t="s">
        <v>22</v>
      </c>
      <c r="AF37" s="85" t="s">
        <v>100</v>
      </c>
      <c r="AG37" s="85" t="s">
        <v>100</v>
      </c>
      <c r="AH37" s="121" t="s">
        <v>100</v>
      </c>
      <c r="AI37" s="19"/>
      <c r="AJ37" s="20">
        <f>MAR!AM37</f>
        <v>0</v>
      </c>
      <c r="AK37" s="21">
        <f t="shared" si="3"/>
        <v>0</v>
      </c>
      <c r="AL37" s="20">
        <f t="shared" si="4"/>
        <v>0</v>
      </c>
      <c r="AM37" s="19"/>
      <c r="AN37" s="20"/>
      <c r="AO37" s="21">
        <f t="shared" si="0"/>
        <v>0</v>
      </c>
      <c r="AP37" s="20">
        <f t="shared" si="1"/>
        <v>0</v>
      </c>
      <c r="AQ37" s="19"/>
      <c r="AR37" s="21">
        <f t="shared" si="2"/>
        <v>20</v>
      </c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</row>
    <row r="38" spans="2:60">
      <c r="B38" s="278"/>
      <c r="C38" s="20" t="s">
        <v>103</v>
      </c>
      <c r="D38" s="20" t="s">
        <v>104</v>
      </c>
      <c r="E38" s="85" t="s">
        <v>100</v>
      </c>
      <c r="F38" s="85" t="s">
        <v>100</v>
      </c>
      <c r="G38" s="85" t="s">
        <v>100</v>
      </c>
      <c r="H38" s="28" t="s">
        <v>22</v>
      </c>
      <c r="I38" s="28" t="s">
        <v>22</v>
      </c>
      <c r="J38" s="79" t="s">
        <v>66</v>
      </c>
      <c r="K38" s="79" t="s">
        <v>66</v>
      </c>
      <c r="L38" s="79" t="s">
        <v>66</v>
      </c>
      <c r="M38" s="79" t="s">
        <v>66</v>
      </c>
      <c r="N38" s="28" t="s">
        <v>22</v>
      </c>
      <c r="O38" s="28" t="s">
        <v>22</v>
      </c>
      <c r="P38" s="85" t="s">
        <v>100</v>
      </c>
      <c r="Q38" s="85" t="s">
        <v>100</v>
      </c>
      <c r="R38" s="85" t="s">
        <v>100</v>
      </c>
      <c r="S38" s="85" t="s">
        <v>100</v>
      </c>
      <c r="T38" s="28" t="s">
        <v>22</v>
      </c>
      <c r="U38" s="28" t="s">
        <v>22</v>
      </c>
      <c r="V38" s="79" t="s">
        <v>66</v>
      </c>
      <c r="W38" s="79" t="s">
        <v>66</v>
      </c>
      <c r="X38" s="79" t="s">
        <v>66</v>
      </c>
      <c r="Y38" s="79" t="s">
        <v>66</v>
      </c>
      <c r="Z38" s="28" t="s">
        <v>22</v>
      </c>
      <c r="AA38" s="28" t="s">
        <v>22</v>
      </c>
      <c r="AB38" s="85" t="s">
        <v>100</v>
      </c>
      <c r="AC38" s="85" t="s">
        <v>100</v>
      </c>
      <c r="AD38" s="85" t="s">
        <v>100</v>
      </c>
      <c r="AE38" s="85" t="s">
        <v>100</v>
      </c>
      <c r="AF38" s="28" t="s">
        <v>22</v>
      </c>
      <c r="AG38" s="28" t="s">
        <v>22</v>
      </c>
      <c r="AH38" s="189" t="s">
        <v>66</v>
      </c>
      <c r="AI38" s="19"/>
      <c r="AJ38" s="20">
        <f>MAR!AM38</f>
        <v>0</v>
      </c>
      <c r="AK38" s="21">
        <f t="shared" si="3"/>
        <v>0</v>
      </c>
      <c r="AL38" s="20">
        <f t="shared" si="4"/>
        <v>0</v>
      </c>
      <c r="AM38" s="19"/>
      <c r="AN38" s="20"/>
      <c r="AO38" s="21">
        <f t="shared" si="0"/>
        <v>0</v>
      </c>
      <c r="AP38" s="20">
        <f t="shared" si="1"/>
        <v>0</v>
      </c>
      <c r="AQ38" s="19"/>
      <c r="AR38" s="21">
        <f t="shared" si="2"/>
        <v>20</v>
      </c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</row>
    <row r="39" spans="2:60">
      <c r="B39" s="279"/>
      <c r="C39" s="108" t="s">
        <v>105</v>
      </c>
      <c r="D39" s="109" t="s">
        <v>106</v>
      </c>
      <c r="E39" s="193" t="s">
        <v>33</v>
      </c>
      <c r="F39" s="193" t="s">
        <v>33</v>
      </c>
      <c r="G39" s="193" t="s">
        <v>33</v>
      </c>
      <c r="H39" s="110" t="s">
        <v>22</v>
      </c>
      <c r="I39" s="110" t="s">
        <v>22</v>
      </c>
      <c r="J39" s="193" t="s">
        <v>33</v>
      </c>
      <c r="K39" s="193" t="s">
        <v>33</v>
      </c>
      <c r="L39" s="193" t="s">
        <v>33</v>
      </c>
      <c r="M39" s="193" t="s">
        <v>33</v>
      </c>
      <c r="N39" s="110" t="s">
        <v>22</v>
      </c>
      <c r="O39" s="110" t="s">
        <v>22</v>
      </c>
      <c r="P39" s="193" t="s">
        <v>33</v>
      </c>
      <c r="Q39" s="193" t="s">
        <v>33</v>
      </c>
      <c r="R39" s="193" t="s">
        <v>33</v>
      </c>
      <c r="S39" s="193" t="s">
        <v>33</v>
      </c>
      <c r="T39" s="110" t="s">
        <v>22</v>
      </c>
      <c r="U39" s="110" t="s">
        <v>22</v>
      </c>
      <c r="V39" s="193" t="s">
        <v>33</v>
      </c>
      <c r="W39" s="193" t="s">
        <v>33</v>
      </c>
      <c r="X39" s="193" t="s">
        <v>33</v>
      </c>
      <c r="Y39" s="193" t="s">
        <v>33</v>
      </c>
      <c r="Z39" s="110" t="s">
        <v>22</v>
      </c>
      <c r="AA39" s="110" t="s">
        <v>22</v>
      </c>
      <c r="AB39" s="193" t="s">
        <v>33</v>
      </c>
      <c r="AC39" s="193" t="s">
        <v>33</v>
      </c>
      <c r="AD39" s="193" t="s">
        <v>33</v>
      </c>
      <c r="AE39" s="193" t="s">
        <v>33</v>
      </c>
      <c r="AF39" s="110" t="s">
        <v>22</v>
      </c>
      <c r="AG39" s="110" t="s">
        <v>22</v>
      </c>
      <c r="AH39" s="197" t="s">
        <v>66</v>
      </c>
      <c r="AI39" s="19"/>
      <c r="AJ39" s="20">
        <f>MAR!AM39</f>
        <v>19</v>
      </c>
      <c r="AK39" s="21">
        <f t="shared" si="3"/>
        <v>19</v>
      </c>
      <c r="AL39" s="20">
        <f t="shared" si="4"/>
        <v>0</v>
      </c>
      <c r="AM39" s="19"/>
      <c r="AN39" s="20"/>
      <c r="AO39" s="21">
        <f t="shared" si="0"/>
        <v>0</v>
      </c>
      <c r="AP39" s="20">
        <f t="shared" si="1"/>
        <v>0</v>
      </c>
      <c r="AQ39" s="19"/>
      <c r="AR39" s="21">
        <f t="shared" si="2"/>
        <v>1</v>
      </c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</row>
    <row r="40" spans="2:60" ht="15" customHeight="1">
      <c r="B40" s="280" t="s">
        <v>108</v>
      </c>
      <c r="C40" s="88" t="s">
        <v>109</v>
      </c>
      <c r="D40" s="88" t="s">
        <v>110</v>
      </c>
      <c r="E40" s="238" t="s">
        <v>107</v>
      </c>
      <c r="F40" s="238" t="s">
        <v>107</v>
      </c>
      <c r="G40" s="238" t="s">
        <v>107</v>
      </c>
      <c r="H40" s="238" t="s">
        <v>107</v>
      </c>
      <c r="I40" s="238" t="s">
        <v>107</v>
      </c>
      <c r="J40" s="238" t="s">
        <v>107</v>
      </c>
      <c r="K40" s="238" t="s">
        <v>107</v>
      </c>
      <c r="L40" s="238" t="s">
        <v>107</v>
      </c>
      <c r="M40" s="238" t="s">
        <v>107</v>
      </c>
      <c r="N40" s="238" t="s">
        <v>107</v>
      </c>
      <c r="O40" s="238" t="s">
        <v>107</v>
      </c>
      <c r="P40" s="238" t="s">
        <v>107</v>
      </c>
      <c r="Q40" s="238" t="s">
        <v>107</v>
      </c>
      <c r="R40" s="238" t="s">
        <v>107</v>
      </c>
      <c r="S40" s="238" t="s">
        <v>107</v>
      </c>
      <c r="T40" s="238" t="s">
        <v>107</v>
      </c>
      <c r="U40" s="238" t="s">
        <v>107</v>
      </c>
      <c r="V40" s="238" t="s">
        <v>107</v>
      </c>
      <c r="W40" s="238" t="s">
        <v>107</v>
      </c>
      <c r="X40" s="238" t="s">
        <v>107</v>
      </c>
      <c r="Y40" s="238" t="s">
        <v>107</v>
      </c>
      <c r="Z40" s="238" t="s">
        <v>107</v>
      </c>
      <c r="AA40" s="238" t="s">
        <v>107</v>
      </c>
      <c r="AB40" s="238" t="s">
        <v>107</v>
      </c>
      <c r="AC40" s="238" t="s">
        <v>107</v>
      </c>
      <c r="AD40" s="238" t="s">
        <v>107</v>
      </c>
      <c r="AE40" s="238" t="s">
        <v>107</v>
      </c>
      <c r="AF40" s="238" t="s">
        <v>107</v>
      </c>
      <c r="AG40" s="238" t="s">
        <v>107</v>
      </c>
      <c r="AH40" s="162" t="s">
        <v>107</v>
      </c>
      <c r="AI40" s="19"/>
      <c r="AJ40" s="20">
        <f>MAR!AM40</f>
        <v>14</v>
      </c>
      <c r="AK40" s="21">
        <f t="shared" si="3"/>
        <v>0</v>
      </c>
      <c r="AL40" s="20">
        <f t="shared" si="4"/>
        <v>14</v>
      </c>
      <c r="AM40" s="19"/>
      <c r="AN40" s="20"/>
      <c r="AO40" s="21">
        <f t="shared" si="0"/>
        <v>0</v>
      </c>
      <c r="AP40" s="20">
        <f t="shared" si="1"/>
        <v>0</v>
      </c>
      <c r="AQ40" s="19"/>
      <c r="AR40" s="21">
        <f t="shared" si="2"/>
        <v>0</v>
      </c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</row>
    <row r="41" spans="2:60">
      <c r="B41" s="276"/>
      <c r="C41" s="22" t="s">
        <v>111</v>
      </c>
      <c r="D41" s="20" t="s">
        <v>112</v>
      </c>
      <c r="E41" s="80" t="s">
        <v>113</v>
      </c>
      <c r="F41" s="80" t="s">
        <v>113</v>
      </c>
      <c r="G41" s="80" t="s">
        <v>113</v>
      </c>
      <c r="H41" s="28" t="s">
        <v>22</v>
      </c>
      <c r="I41" s="28" t="s">
        <v>22</v>
      </c>
      <c r="J41" s="80" t="s">
        <v>113</v>
      </c>
      <c r="K41" s="80" t="s">
        <v>113</v>
      </c>
      <c r="L41" s="80" t="s">
        <v>113</v>
      </c>
      <c r="M41" s="80" t="s">
        <v>113</v>
      </c>
      <c r="N41" s="80" t="s">
        <v>113</v>
      </c>
      <c r="O41" s="28" t="s">
        <v>22</v>
      </c>
      <c r="P41" s="28" t="s">
        <v>22</v>
      </c>
      <c r="Q41" s="80" t="s">
        <v>113</v>
      </c>
      <c r="R41" s="80" t="s">
        <v>113</v>
      </c>
      <c r="S41" s="80" t="s">
        <v>113</v>
      </c>
      <c r="T41" s="80" t="s">
        <v>113</v>
      </c>
      <c r="U41" s="80" t="s">
        <v>113</v>
      </c>
      <c r="V41" s="28" t="s">
        <v>22</v>
      </c>
      <c r="W41" s="28" t="s">
        <v>22</v>
      </c>
      <c r="X41" s="80" t="s">
        <v>113</v>
      </c>
      <c r="Y41" s="80" t="s">
        <v>113</v>
      </c>
      <c r="Z41" s="80" t="s">
        <v>113</v>
      </c>
      <c r="AA41" s="80" t="s">
        <v>113</v>
      </c>
      <c r="AB41" s="80" t="s">
        <v>113</v>
      </c>
      <c r="AC41" s="28" t="s">
        <v>22</v>
      </c>
      <c r="AD41" s="28" t="s">
        <v>22</v>
      </c>
      <c r="AE41" s="80" t="s">
        <v>113</v>
      </c>
      <c r="AF41" s="80" t="s">
        <v>113</v>
      </c>
      <c r="AG41" s="80" t="s">
        <v>113</v>
      </c>
      <c r="AH41" s="190" t="s">
        <v>113</v>
      </c>
      <c r="AI41" s="19"/>
      <c r="AJ41" s="20">
        <f>MAR!AM41</f>
        <v>0</v>
      </c>
      <c r="AK41" s="21">
        <f t="shared" si="3"/>
        <v>0</v>
      </c>
      <c r="AL41" s="20">
        <f t="shared" si="4"/>
        <v>0</v>
      </c>
      <c r="AM41" s="19"/>
      <c r="AN41" s="20"/>
      <c r="AO41" s="21">
        <f t="shared" si="0"/>
        <v>0</v>
      </c>
      <c r="AP41" s="20">
        <f t="shared" si="1"/>
        <v>0</v>
      </c>
      <c r="AQ41" s="19"/>
      <c r="AR41" s="21">
        <f t="shared" si="2"/>
        <v>22</v>
      </c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</row>
    <row r="42" spans="2:60">
      <c r="B42" s="276"/>
      <c r="C42" s="20" t="s">
        <v>114</v>
      </c>
      <c r="D42" s="20" t="s">
        <v>115</v>
      </c>
      <c r="E42" s="81" t="s">
        <v>116</v>
      </c>
      <c r="F42" s="81" t="s">
        <v>116</v>
      </c>
      <c r="G42" s="81" t="s">
        <v>116</v>
      </c>
      <c r="H42" s="28" t="s">
        <v>22</v>
      </c>
      <c r="I42" s="28" t="s">
        <v>22</v>
      </c>
      <c r="J42" s="81" t="s">
        <v>116</v>
      </c>
      <c r="K42" s="81" t="s">
        <v>116</v>
      </c>
      <c r="L42" s="81" t="s">
        <v>116</v>
      </c>
      <c r="M42" s="81" t="s">
        <v>116</v>
      </c>
      <c r="N42" s="81" t="s">
        <v>116</v>
      </c>
      <c r="O42" s="28" t="s">
        <v>22</v>
      </c>
      <c r="P42" s="28" t="s">
        <v>22</v>
      </c>
      <c r="Q42" s="81" t="s">
        <v>116</v>
      </c>
      <c r="R42" s="81" t="s">
        <v>116</v>
      </c>
      <c r="S42" s="81" t="s">
        <v>116</v>
      </c>
      <c r="T42" s="81" t="s">
        <v>116</v>
      </c>
      <c r="U42" s="81" t="s">
        <v>116</v>
      </c>
      <c r="V42" s="28" t="s">
        <v>22</v>
      </c>
      <c r="W42" s="28" t="s">
        <v>22</v>
      </c>
      <c r="X42" s="81" t="s">
        <v>116</v>
      </c>
      <c r="Y42" s="81" t="s">
        <v>116</v>
      </c>
      <c r="Z42" s="81" t="s">
        <v>116</v>
      </c>
      <c r="AA42" s="81" t="s">
        <v>116</v>
      </c>
      <c r="AB42" s="81" t="s">
        <v>116</v>
      </c>
      <c r="AC42" s="28" t="s">
        <v>22</v>
      </c>
      <c r="AD42" s="28" t="s">
        <v>22</v>
      </c>
      <c r="AE42" s="81" t="s">
        <v>116</v>
      </c>
      <c r="AF42" s="81" t="s">
        <v>116</v>
      </c>
      <c r="AG42" s="81" t="s">
        <v>116</v>
      </c>
      <c r="AH42" s="191" t="s">
        <v>116</v>
      </c>
      <c r="AI42" s="19"/>
      <c r="AJ42" s="20">
        <f>MAR!AM42</f>
        <v>0</v>
      </c>
      <c r="AK42" s="21">
        <f t="shared" si="3"/>
        <v>0</v>
      </c>
      <c r="AL42" s="20">
        <f t="shared" si="4"/>
        <v>0</v>
      </c>
      <c r="AM42" s="19"/>
      <c r="AN42" s="26"/>
      <c r="AO42" s="21">
        <f t="shared" si="0"/>
        <v>0</v>
      </c>
      <c r="AP42" s="44">
        <f t="shared" si="1"/>
        <v>0</v>
      </c>
      <c r="AQ42" s="19"/>
      <c r="AR42" s="21">
        <f t="shared" si="2"/>
        <v>22</v>
      </c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</row>
    <row r="43" spans="2:60">
      <c r="B43" s="276"/>
      <c r="C43" s="22" t="s">
        <v>117</v>
      </c>
      <c r="D43" s="20" t="s">
        <v>118</v>
      </c>
      <c r="E43" s="74" t="s">
        <v>23</v>
      </c>
      <c r="F43" s="28" t="s">
        <v>22</v>
      </c>
      <c r="G43" s="28" t="s">
        <v>22</v>
      </c>
      <c r="H43" s="60" t="s">
        <v>21</v>
      </c>
      <c r="I43" s="60" t="s">
        <v>21</v>
      </c>
      <c r="J43" s="60" t="s">
        <v>21</v>
      </c>
      <c r="K43" s="60" t="s">
        <v>21</v>
      </c>
      <c r="L43" s="28" t="s">
        <v>22</v>
      </c>
      <c r="M43" s="28" t="s">
        <v>22</v>
      </c>
      <c r="N43" s="74" t="s">
        <v>23</v>
      </c>
      <c r="O43" s="74" t="s">
        <v>23</v>
      </c>
      <c r="P43" s="74" t="s">
        <v>23</v>
      </c>
      <c r="Q43" s="74" t="s">
        <v>23</v>
      </c>
      <c r="R43" s="28" t="s">
        <v>22</v>
      </c>
      <c r="S43" s="28" t="s">
        <v>22</v>
      </c>
      <c r="T43" s="60" t="s">
        <v>21</v>
      </c>
      <c r="U43" s="60" t="s">
        <v>21</v>
      </c>
      <c r="V43" s="60" t="s">
        <v>21</v>
      </c>
      <c r="W43" s="60" t="s">
        <v>21</v>
      </c>
      <c r="X43" s="28" t="s">
        <v>22</v>
      </c>
      <c r="Y43" s="28" t="s">
        <v>22</v>
      </c>
      <c r="Z43" s="74" t="s">
        <v>23</v>
      </c>
      <c r="AA43" s="74" t="s">
        <v>23</v>
      </c>
      <c r="AB43" s="74" t="s">
        <v>23</v>
      </c>
      <c r="AC43" s="74" t="s">
        <v>23</v>
      </c>
      <c r="AD43" s="28" t="s">
        <v>22</v>
      </c>
      <c r="AE43" s="28" t="s">
        <v>22</v>
      </c>
      <c r="AF43" s="60" t="s">
        <v>21</v>
      </c>
      <c r="AG43" s="60" t="s">
        <v>21</v>
      </c>
      <c r="AH43" s="90" t="s">
        <v>21</v>
      </c>
      <c r="AI43" s="19"/>
      <c r="AJ43" s="20">
        <f>MAR!AM43</f>
        <v>0</v>
      </c>
      <c r="AK43" s="21">
        <f t="shared" si="3"/>
        <v>0</v>
      </c>
      <c r="AL43" s="20">
        <f t="shared" si="4"/>
        <v>0</v>
      </c>
      <c r="AM43" s="19"/>
      <c r="AN43" s="20"/>
      <c r="AO43" s="21">
        <f t="shared" si="0"/>
        <v>0</v>
      </c>
      <c r="AP43" s="20">
        <f t="shared" si="1"/>
        <v>0</v>
      </c>
      <c r="AQ43" s="19"/>
      <c r="AR43" s="21">
        <f t="shared" si="2"/>
        <v>20</v>
      </c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</row>
    <row r="44" spans="2:60">
      <c r="B44" s="276"/>
      <c r="C44" s="20" t="s">
        <v>119</v>
      </c>
      <c r="D44" s="20" t="s">
        <v>120</v>
      </c>
      <c r="E44" s="74" t="s">
        <v>23</v>
      </c>
      <c r="F44" s="28" t="s">
        <v>22</v>
      </c>
      <c r="G44" s="28" t="s">
        <v>22</v>
      </c>
      <c r="H44" s="60" t="s">
        <v>21</v>
      </c>
      <c r="I44" s="60" t="s">
        <v>21</v>
      </c>
      <c r="J44" s="60" t="s">
        <v>21</v>
      </c>
      <c r="K44" s="60" t="s">
        <v>21</v>
      </c>
      <c r="L44" s="28" t="s">
        <v>22</v>
      </c>
      <c r="M44" s="28" t="s">
        <v>22</v>
      </c>
      <c r="N44" s="74" t="s">
        <v>23</v>
      </c>
      <c r="O44" s="74" t="s">
        <v>23</v>
      </c>
      <c r="P44" s="74" t="s">
        <v>23</v>
      </c>
      <c r="Q44" s="74" t="s">
        <v>23</v>
      </c>
      <c r="R44" s="28" t="s">
        <v>22</v>
      </c>
      <c r="S44" s="28" t="s">
        <v>22</v>
      </c>
      <c r="T44" s="60" t="s">
        <v>21</v>
      </c>
      <c r="U44" s="60" t="s">
        <v>21</v>
      </c>
      <c r="V44" s="60" t="s">
        <v>21</v>
      </c>
      <c r="W44" s="60" t="s">
        <v>21</v>
      </c>
      <c r="X44" s="28" t="s">
        <v>22</v>
      </c>
      <c r="Y44" s="28" t="s">
        <v>22</v>
      </c>
      <c r="Z44" s="74" t="s">
        <v>23</v>
      </c>
      <c r="AA44" s="74" t="s">
        <v>23</v>
      </c>
      <c r="AB44" s="74" t="s">
        <v>23</v>
      </c>
      <c r="AC44" s="74" t="s">
        <v>23</v>
      </c>
      <c r="AD44" s="28" t="s">
        <v>22</v>
      </c>
      <c r="AE44" s="28" t="s">
        <v>22</v>
      </c>
      <c r="AF44" s="60" t="s">
        <v>21</v>
      </c>
      <c r="AG44" s="60" t="s">
        <v>21</v>
      </c>
      <c r="AH44" s="90" t="s">
        <v>21</v>
      </c>
      <c r="AI44" s="19"/>
      <c r="AJ44" s="20">
        <f>MAR!AM44</f>
        <v>2</v>
      </c>
      <c r="AK44" s="21">
        <f t="shared" si="3"/>
        <v>0</v>
      </c>
      <c r="AL44" s="20">
        <f t="shared" si="4"/>
        <v>2</v>
      </c>
      <c r="AM44" s="19"/>
      <c r="AN44" s="20"/>
      <c r="AO44" s="21">
        <f t="shared" si="0"/>
        <v>0</v>
      </c>
      <c r="AP44" s="20">
        <f t="shared" si="1"/>
        <v>0</v>
      </c>
      <c r="AQ44" s="19"/>
      <c r="AR44" s="21">
        <f t="shared" si="2"/>
        <v>20</v>
      </c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</row>
    <row r="45" spans="2:60">
      <c r="B45" s="276"/>
      <c r="C45" s="22" t="s">
        <v>121</v>
      </c>
      <c r="D45" s="20" t="s">
        <v>122</v>
      </c>
      <c r="E45" s="28" t="s">
        <v>22</v>
      </c>
      <c r="F45" s="74" t="s">
        <v>23</v>
      </c>
      <c r="G45" s="74" t="s">
        <v>23</v>
      </c>
      <c r="H45" s="74" t="s">
        <v>23</v>
      </c>
      <c r="I45" s="74" t="s">
        <v>23</v>
      </c>
      <c r="J45" s="28" t="s">
        <v>22</v>
      </c>
      <c r="K45" s="28" t="s">
        <v>22</v>
      </c>
      <c r="L45" s="60" t="s">
        <v>21</v>
      </c>
      <c r="M45" s="60" t="s">
        <v>21</v>
      </c>
      <c r="N45" s="75" t="s">
        <v>26</v>
      </c>
      <c r="O45" s="60" t="s">
        <v>21</v>
      </c>
      <c r="P45" s="28" t="s">
        <v>22</v>
      </c>
      <c r="Q45" s="28" t="s">
        <v>22</v>
      </c>
      <c r="R45" s="74" t="s">
        <v>23</v>
      </c>
      <c r="S45" s="74" t="s">
        <v>23</v>
      </c>
      <c r="T45" s="74" t="s">
        <v>23</v>
      </c>
      <c r="U45" s="74" t="s">
        <v>23</v>
      </c>
      <c r="V45" s="28" t="s">
        <v>22</v>
      </c>
      <c r="W45" s="28" t="s">
        <v>22</v>
      </c>
      <c r="X45" s="60" t="s">
        <v>21</v>
      </c>
      <c r="Y45" s="60" t="s">
        <v>21</v>
      </c>
      <c r="Z45" s="60" t="s">
        <v>21</v>
      </c>
      <c r="AA45" s="60" t="s">
        <v>21</v>
      </c>
      <c r="AB45" s="28" t="s">
        <v>22</v>
      </c>
      <c r="AC45" s="28" t="s">
        <v>22</v>
      </c>
      <c r="AD45" s="74" t="s">
        <v>23</v>
      </c>
      <c r="AE45" s="74" t="s">
        <v>23</v>
      </c>
      <c r="AF45" s="74" t="s">
        <v>23</v>
      </c>
      <c r="AG45" s="74" t="s">
        <v>23</v>
      </c>
      <c r="AH45" s="91" t="s">
        <v>22</v>
      </c>
      <c r="AI45" s="19"/>
      <c r="AJ45" s="20">
        <f>MAR!AM45</f>
        <v>0</v>
      </c>
      <c r="AK45" s="21">
        <f t="shared" si="3"/>
        <v>0</v>
      </c>
      <c r="AL45" s="20">
        <f t="shared" si="4"/>
        <v>0</v>
      </c>
      <c r="AM45" s="19"/>
      <c r="AN45" s="20"/>
      <c r="AO45" s="21">
        <f t="shared" si="0"/>
        <v>0</v>
      </c>
      <c r="AP45" s="20">
        <f t="shared" si="1"/>
        <v>0</v>
      </c>
      <c r="AQ45" s="19"/>
      <c r="AR45" s="21">
        <f t="shared" si="2"/>
        <v>19</v>
      </c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</row>
    <row r="46" spans="2:60" ht="15" customHeight="1">
      <c r="B46" s="276"/>
      <c r="C46" s="20" t="s">
        <v>124</v>
      </c>
      <c r="D46" s="20" t="s">
        <v>125</v>
      </c>
      <c r="E46" s="28" t="s">
        <v>22</v>
      </c>
      <c r="F46" s="74" t="s">
        <v>23</v>
      </c>
      <c r="G46" s="74" t="s">
        <v>23</v>
      </c>
      <c r="H46" s="74" t="s">
        <v>23</v>
      </c>
      <c r="I46" s="74" t="s">
        <v>23</v>
      </c>
      <c r="J46" s="28" t="s">
        <v>22</v>
      </c>
      <c r="K46" s="28" t="s">
        <v>22</v>
      </c>
      <c r="L46" s="60" t="s">
        <v>21</v>
      </c>
      <c r="M46" s="60" t="s">
        <v>21</v>
      </c>
      <c r="N46" s="60" t="s">
        <v>21</v>
      </c>
      <c r="O46" s="60" t="s">
        <v>21</v>
      </c>
      <c r="P46" s="28" t="s">
        <v>22</v>
      </c>
      <c r="Q46" s="28" t="s">
        <v>22</v>
      </c>
      <c r="R46" s="74" t="s">
        <v>23</v>
      </c>
      <c r="S46" s="74" t="s">
        <v>23</v>
      </c>
      <c r="T46" s="74" t="s">
        <v>23</v>
      </c>
      <c r="U46" s="74" t="s">
        <v>23</v>
      </c>
      <c r="V46" s="28" t="s">
        <v>22</v>
      </c>
      <c r="W46" s="28" t="s">
        <v>22</v>
      </c>
      <c r="X46" s="60" t="s">
        <v>21</v>
      </c>
      <c r="Y46" s="60" t="s">
        <v>21</v>
      </c>
      <c r="Z46" s="60" t="s">
        <v>21</v>
      </c>
      <c r="AA46" s="60" t="s">
        <v>21</v>
      </c>
      <c r="AB46" s="28" t="s">
        <v>22</v>
      </c>
      <c r="AC46" s="28" t="s">
        <v>22</v>
      </c>
      <c r="AD46" s="74" t="s">
        <v>23</v>
      </c>
      <c r="AE46" s="74" t="s">
        <v>23</v>
      </c>
      <c r="AF46" s="74" t="s">
        <v>23</v>
      </c>
      <c r="AG46" s="74" t="s">
        <v>23</v>
      </c>
      <c r="AH46" s="91" t="s">
        <v>22</v>
      </c>
      <c r="AI46" s="19"/>
      <c r="AJ46" s="20">
        <f>MAR!AM46</f>
        <v>1</v>
      </c>
      <c r="AK46" s="21">
        <f t="shared" si="3"/>
        <v>0</v>
      </c>
      <c r="AL46" s="20">
        <f t="shared" si="4"/>
        <v>1</v>
      </c>
      <c r="AM46" s="19"/>
      <c r="AN46" s="20"/>
      <c r="AO46" s="21">
        <f t="shared" si="0"/>
        <v>0</v>
      </c>
      <c r="AP46" s="20">
        <f t="shared" si="1"/>
        <v>0</v>
      </c>
      <c r="AQ46" s="19"/>
      <c r="AR46" s="21">
        <f t="shared" si="2"/>
        <v>20</v>
      </c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</row>
    <row r="47" spans="2:60">
      <c r="B47" s="277"/>
      <c r="C47" s="22" t="s">
        <v>126</v>
      </c>
      <c r="D47" s="20" t="s">
        <v>127</v>
      </c>
      <c r="E47" s="60" t="s">
        <v>21</v>
      </c>
      <c r="F47" s="60" t="s">
        <v>21</v>
      </c>
      <c r="G47" s="60" t="s">
        <v>21</v>
      </c>
      <c r="H47" s="28" t="s">
        <v>22</v>
      </c>
      <c r="I47" s="28" t="s">
        <v>22</v>
      </c>
      <c r="J47" s="74" t="s">
        <v>23</v>
      </c>
      <c r="K47" s="74" t="s">
        <v>23</v>
      </c>
      <c r="L47" s="74" t="s">
        <v>23</v>
      </c>
      <c r="M47" s="74" t="s">
        <v>23</v>
      </c>
      <c r="N47" s="28" t="s">
        <v>22</v>
      </c>
      <c r="O47" s="28" t="s">
        <v>22</v>
      </c>
      <c r="P47" s="60" t="s">
        <v>21</v>
      </c>
      <c r="Q47" s="60" t="s">
        <v>21</v>
      </c>
      <c r="R47" s="60" t="s">
        <v>21</v>
      </c>
      <c r="S47" s="60" t="s">
        <v>21</v>
      </c>
      <c r="T47" s="28" t="s">
        <v>22</v>
      </c>
      <c r="U47" s="28" t="s">
        <v>22</v>
      </c>
      <c r="V47" s="74" t="s">
        <v>23</v>
      </c>
      <c r="W47" s="74" t="s">
        <v>23</v>
      </c>
      <c r="X47" s="74" t="s">
        <v>23</v>
      </c>
      <c r="Y47" s="74" t="s">
        <v>23</v>
      </c>
      <c r="Z47" s="28" t="s">
        <v>22</v>
      </c>
      <c r="AA47" s="28" t="s">
        <v>22</v>
      </c>
      <c r="AB47" s="60" t="s">
        <v>21</v>
      </c>
      <c r="AC47" s="60" t="s">
        <v>21</v>
      </c>
      <c r="AD47" s="60" t="s">
        <v>21</v>
      </c>
      <c r="AE47" s="60" t="s">
        <v>21</v>
      </c>
      <c r="AF47" s="28" t="s">
        <v>22</v>
      </c>
      <c r="AG47" s="28" t="s">
        <v>22</v>
      </c>
      <c r="AH47" s="89" t="s">
        <v>23</v>
      </c>
      <c r="AI47" s="19"/>
      <c r="AJ47" s="20">
        <f>MAR!AM47</f>
        <v>2</v>
      </c>
      <c r="AK47" s="21">
        <f t="shared" si="3"/>
        <v>0</v>
      </c>
      <c r="AL47" s="20">
        <f t="shared" si="4"/>
        <v>2</v>
      </c>
      <c r="AM47" s="19"/>
      <c r="AN47" s="20"/>
      <c r="AO47" s="21">
        <f t="shared" si="0"/>
        <v>0</v>
      </c>
      <c r="AP47" s="20">
        <f t="shared" si="1"/>
        <v>0</v>
      </c>
      <c r="AQ47" s="19"/>
      <c r="AR47" s="21">
        <f t="shared" si="2"/>
        <v>20</v>
      </c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</row>
    <row r="48" spans="2:60">
      <c r="B48" s="194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6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</row>
    <row r="49" spans="2:60">
      <c r="B49" s="290" t="s">
        <v>252</v>
      </c>
      <c r="C49" s="289" t="s">
        <v>253</v>
      </c>
      <c r="D49" s="289"/>
      <c r="E49" s="198">
        <f>COUNTIF(C5:C47,$C$49)</f>
        <v>0</v>
      </c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  <c r="AA49" s="198"/>
      <c r="AB49" s="198"/>
      <c r="AC49" s="198"/>
      <c r="AD49" s="198"/>
      <c r="AE49" s="198"/>
      <c r="AF49" s="198"/>
      <c r="AG49" s="198"/>
      <c r="AH49" s="198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</row>
    <row r="50" spans="2:60">
      <c r="B50" s="282"/>
      <c r="C50" s="286" t="s">
        <v>253</v>
      </c>
      <c r="D50" s="286"/>
      <c r="E50" s="21">
        <f>COUNTIF(C5:C47,$C$50)</f>
        <v>0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</row>
    <row r="51" spans="2:60">
      <c r="C51" s="286" t="s">
        <v>128</v>
      </c>
      <c r="D51" s="286"/>
      <c r="E51" s="21">
        <f>E49+E50</f>
        <v>0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</row>
    <row r="52" spans="2:60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</row>
    <row r="53" spans="2:60"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</row>
    <row r="54" spans="2:60">
      <c r="C54" s="19"/>
      <c r="D54" s="19"/>
      <c r="E54" s="28" t="s">
        <v>22</v>
      </c>
      <c r="F54" s="250" t="s">
        <v>129</v>
      </c>
      <c r="G54" s="251"/>
      <c r="H54" s="251"/>
      <c r="I54" s="252"/>
      <c r="J54" s="19"/>
      <c r="K54" s="29" t="s">
        <v>130</v>
      </c>
      <c r="L54" s="250" t="s">
        <v>131</v>
      </c>
      <c r="M54" s="251"/>
      <c r="N54" s="251"/>
      <c r="O54" s="252"/>
      <c r="P54" s="19"/>
      <c r="Q54" s="256" t="s">
        <v>132</v>
      </c>
      <c r="R54" s="256"/>
      <c r="S54" s="256"/>
      <c r="T54" s="25"/>
      <c r="V54" s="258" t="s">
        <v>133</v>
      </c>
      <c r="W54" s="258"/>
      <c r="X54" s="258"/>
      <c r="Y54" s="258" t="s">
        <v>134</v>
      </c>
      <c r="Z54" s="258"/>
      <c r="AA54" s="258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</row>
    <row r="55" spans="2:60">
      <c r="C55" s="19"/>
      <c r="D55" s="19"/>
      <c r="E55" s="28" t="s">
        <v>135</v>
      </c>
      <c r="F55" s="250" t="s">
        <v>136</v>
      </c>
      <c r="G55" s="251"/>
      <c r="H55" s="251"/>
      <c r="I55" s="252"/>
      <c r="J55" s="19"/>
      <c r="K55" s="29" t="s">
        <v>123</v>
      </c>
      <c r="L55" s="250" t="s">
        <v>137</v>
      </c>
      <c r="M55" s="251"/>
      <c r="N55" s="251"/>
      <c r="O55" s="252"/>
      <c r="P55" s="19"/>
      <c r="Q55" s="21" t="s">
        <v>20</v>
      </c>
      <c r="R55" s="283" t="s">
        <v>138</v>
      </c>
      <c r="S55" s="284"/>
      <c r="U55" s="57" t="s">
        <v>29</v>
      </c>
      <c r="V55" s="240" t="s">
        <v>139</v>
      </c>
      <c r="W55" s="240"/>
      <c r="X55" s="240"/>
      <c r="Y55" s="240" t="s">
        <v>140</v>
      </c>
      <c r="Z55" s="240"/>
      <c r="AA55" s="240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</row>
    <row r="56" spans="2:60">
      <c r="C56" s="19"/>
      <c r="D56" s="19"/>
      <c r="E56" s="30" t="s">
        <v>20</v>
      </c>
      <c r="F56" s="250" t="s">
        <v>141</v>
      </c>
      <c r="G56" s="251"/>
      <c r="H56" s="251"/>
      <c r="I56" s="252"/>
      <c r="J56" s="19"/>
      <c r="K56" s="28" t="s">
        <v>107</v>
      </c>
      <c r="L56" s="250" t="s">
        <v>142</v>
      </c>
      <c r="M56" s="251"/>
      <c r="N56" s="251"/>
      <c r="O56" s="252"/>
      <c r="P56" s="19"/>
      <c r="Q56" s="21" t="s">
        <v>143</v>
      </c>
      <c r="R56" s="283" t="s">
        <v>144</v>
      </c>
      <c r="S56" s="284"/>
      <c r="U56" s="46" t="s">
        <v>145</v>
      </c>
      <c r="V56" s="240" t="s">
        <v>146</v>
      </c>
      <c r="W56" s="240"/>
      <c r="X56" s="240"/>
      <c r="Y56" s="240" t="s">
        <v>147</v>
      </c>
      <c r="Z56" s="240"/>
      <c r="AA56" s="240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</row>
    <row r="57" spans="2:60">
      <c r="C57" s="19"/>
      <c r="D57" s="19"/>
      <c r="E57" s="31" t="s">
        <v>36</v>
      </c>
      <c r="F57" s="250" t="s">
        <v>148</v>
      </c>
      <c r="G57" s="251"/>
      <c r="H57" s="251"/>
      <c r="I57" s="252"/>
      <c r="J57" s="19"/>
      <c r="K57" s="28" t="s">
        <v>143</v>
      </c>
      <c r="L57" s="250" t="s">
        <v>142</v>
      </c>
      <c r="M57" s="251"/>
      <c r="N57" s="251"/>
      <c r="O57" s="252"/>
      <c r="P57" s="19"/>
      <c r="Q57" s="21" t="s">
        <v>149</v>
      </c>
      <c r="R57" s="259" t="s">
        <v>150</v>
      </c>
      <c r="S57" s="260"/>
      <c r="U57" s="47" t="s">
        <v>151</v>
      </c>
      <c r="V57" s="240" t="s">
        <v>152</v>
      </c>
      <c r="W57" s="240"/>
      <c r="X57" s="240"/>
      <c r="Y57" s="240" t="s">
        <v>153</v>
      </c>
      <c r="Z57" s="240"/>
      <c r="AA57" s="240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</row>
    <row r="58" spans="2:60">
      <c r="C58" s="19"/>
      <c r="D58" s="19"/>
      <c r="E58" s="31" t="s">
        <v>33</v>
      </c>
      <c r="F58" s="250" t="s">
        <v>154</v>
      </c>
      <c r="G58" s="251"/>
      <c r="H58" s="251"/>
      <c r="I58" s="252"/>
      <c r="J58" s="19"/>
      <c r="K58" s="28" t="s">
        <v>155</v>
      </c>
      <c r="L58" s="250" t="s">
        <v>142</v>
      </c>
      <c r="M58" s="251"/>
      <c r="N58" s="251"/>
      <c r="O58" s="252"/>
      <c r="P58" s="19"/>
      <c r="Q58" s="21" t="s">
        <v>156</v>
      </c>
      <c r="R58" s="282" t="s">
        <v>157</v>
      </c>
      <c r="S58" s="282"/>
      <c r="U58" s="58" t="s">
        <v>100</v>
      </c>
      <c r="V58" s="240" t="s">
        <v>158</v>
      </c>
      <c r="W58" s="240"/>
      <c r="X58" s="240"/>
      <c r="Y58" s="240" t="s">
        <v>159</v>
      </c>
      <c r="Z58" s="240"/>
      <c r="AA58" s="240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</row>
    <row r="59" spans="2:60">
      <c r="C59" s="19"/>
      <c r="D59" s="19"/>
      <c r="E59" s="32" t="s">
        <v>20</v>
      </c>
      <c r="F59" s="250" t="s">
        <v>160</v>
      </c>
      <c r="G59" s="251"/>
      <c r="H59" s="251"/>
      <c r="I59" s="252"/>
      <c r="J59" s="19"/>
      <c r="K59" s="33" t="s">
        <v>81</v>
      </c>
      <c r="L59" s="250" t="s">
        <v>161</v>
      </c>
      <c r="M59" s="251"/>
      <c r="N59" s="251"/>
      <c r="O59" s="252"/>
      <c r="P59" s="19"/>
      <c r="Q59" s="21" t="s">
        <v>162</v>
      </c>
      <c r="R59" s="282" t="s">
        <v>163</v>
      </c>
      <c r="S59" s="282"/>
      <c r="U59" s="59" t="s">
        <v>164</v>
      </c>
      <c r="V59" s="240" t="s">
        <v>165</v>
      </c>
      <c r="W59" s="240"/>
      <c r="X59" s="240"/>
      <c r="Y59" s="240" t="s">
        <v>166</v>
      </c>
      <c r="Z59" s="240"/>
      <c r="AA59" s="240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</row>
    <row r="60" spans="2:60">
      <c r="C60" s="19"/>
      <c r="D60" s="19"/>
      <c r="E60" s="32" t="s">
        <v>36</v>
      </c>
      <c r="F60" s="250" t="s">
        <v>167</v>
      </c>
      <c r="G60" s="251"/>
      <c r="H60" s="251"/>
      <c r="I60" s="252"/>
      <c r="J60" s="19"/>
      <c r="K60" s="28" t="s">
        <v>168</v>
      </c>
      <c r="L60" s="250" t="s">
        <v>161</v>
      </c>
      <c r="M60" s="251"/>
      <c r="N60" s="251"/>
      <c r="O60" s="252"/>
      <c r="T60" s="19"/>
      <c r="U60" s="72" t="s">
        <v>169</v>
      </c>
      <c r="V60" s="240" t="s">
        <v>170</v>
      </c>
      <c r="W60" s="240"/>
      <c r="X60" s="240"/>
      <c r="Y60" s="240" t="s">
        <v>171</v>
      </c>
      <c r="Z60" s="240"/>
      <c r="AA60" s="240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</row>
    <row r="61" spans="2:60">
      <c r="C61" s="19"/>
      <c r="D61" s="19"/>
      <c r="E61" s="34" t="s">
        <v>26</v>
      </c>
      <c r="F61" s="250" t="s">
        <v>172</v>
      </c>
      <c r="G61" s="251"/>
      <c r="H61" s="251"/>
      <c r="I61" s="252"/>
      <c r="J61" s="19"/>
      <c r="K61" s="28" t="s">
        <v>173</v>
      </c>
      <c r="L61" s="250" t="s">
        <v>161</v>
      </c>
      <c r="M61" s="251"/>
      <c r="N61" s="251"/>
      <c r="O61" s="252"/>
      <c r="T61" s="19"/>
      <c r="U61" s="60" t="s">
        <v>21</v>
      </c>
      <c r="V61" s="240" t="s">
        <v>174</v>
      </c>
      <c r="W61" s="240"/>
      <c r="X61" s="240"/>
      <c r="Y61" s="240" t="s">
        <v>175</v>
      </c>
      <c r="Z61" s="240"/>
      <c r="AA61" s="240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</row>
    <row r="62" spans="2:60">
      <c r="C62" s="19"/>
      <c r="D62" s="19"/>
      <c r="E62" s="34" t="s">
        <v>176</v>
      </c>
      <c r="F62" s="250" t="s">
        <v>177</v>
      </c>
      <c r="G62" s="251"/>
      <c r="H62" s="251"/>
      <c r="I62" s="252"/>
      <c r="J62" s="19"/>
      <c r="K62" s="28" t="s">
        <v>178</v>
      </c>
      <c r="L62" s="250" t="s">
        <v>161</v>
      </c>
      <c r="M62" s="251"/>
      <c r="N62" s="251"/>
      <c r="O62" s="252"/>
      <c r="T62" s="19"/>
      <c r="U62" s="61" t="s">
        <v>179</v>
      </c>
      <c r="V62" s="240" t="s">
        <v>180</v>
      </c>
      <c r="W62" s="240"/>
      <c r="X62" s="240"/>
      <c r="Y62" s="240" t="s">
        <v>181</v>
      </c>
      <c r="Z62" s="240"/>
      <c r="AA62" s="240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</row>
    <row r="63" spans="2:60">
      <c r="C63" s="19"/>
      <c r="D63" s="19"/>
      <c r="E63" s="32" t="s">
        <v>182</v>
      </c>
      <c r="F63" s="250" t="s">
        <v>183</v>
      </c>
      <c r="G63" s="251"/>
      <c r="H63" s="251"/>
      <c r="I63" s="252"/>
      <c r="J63" s="19"/>
      <c r="K63" s="27" t="s">
        <v>67</v>
      </c>
      <c r="L63" s="250" t="s">
        <v>161</v>
      </c>
      <c r="M63" s="251"/>
      <c r="N63" s="251"/>
      <c r="O63" s="252"/>
      <c r="P63" s="19"/>
      <c r="Q63" s="19"/>
      <c r="R63" s="19"/>
      <c r="S63" s="19"/>
      <c r="T63" s="19"/>
      <c r="U63" s="62" t="s">
        <v>184</v>
      </c>
      <c r="V63" s="240" t="s">
        <v>185</v>
      </c>
      <c r="W63" s="240"/>
      <c r="X63" s="240"/>
      <c r="Y63" s="240" t="s">
        <v>186</v>
      </c>
      <c r="Z63" s="240"/>
      <c r="AA63" s="240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</row>
    <row r="64" spans="2:60">
      <c r="C64" s="19"/>
      <c r="D64" s="19"/>
      <c r="E64" s="33" t="s">
        <v>30</v>
      </c>
      <c r="F64" s="250" t="s">
        <v>187</v>
      </c>
      <c r="G64" s="251"/>
      <c r="H64" s="251"/>
      <c r="I64" s="252"/>
      <c r="J64" s="19"/>
      <c r="K64" s="28" t="s">
        <v>188</v>
      </c>
      <c r="L64" s="250" t="s">
        <v>161</v>
      </c>
      <c r="M64" s="251"/>
      <c r="N64" s="251"/>
      <c r="O64" s="252"/>
      <c r="P64" s="19"/>
      <c r="Q64" s="19"/>
      <c r="R64" s="19"/>
      <c r="S64" s="19"/>
      <c r="T64" s="19"/>
      <c r="U64" s="50" t="s">
        <v>42</v>
      </c>
      <c r="V64" s="240" t="s">
        <v>189</v>
      </c>
      <c r="W64" s="240"/>
      <c r="X64" s="240"/>
      <c r="Y64" s="240" t="s">
        <v>190</v>
      </c>
      <c r="Z64" s="240"/>
      <c r="AA64" s="240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</row>
    <row r="65" spans="3:60">
      <c r="C65" s="19"/>
      <c r="D65" s="19"/>
      <c r="E65" s="35" t="s">
        <v>191</v>
      </c>
      <c r="F65" s="250" t="s">
        <v>192</v>
      </c>
      <c r="G65" s="251"/>
      <c r="H65" s="251"/>
      <c r="I65" s="252"/>
      <c r="J65" s="19"/>
      <c r="K65" s="28" t="s">
        <v>193</v>
      </c>
      <c r="L65" s="250" t="s">
        <v>161</v>
      </c>
      <c r="M65" s="251"/>
      <c r="N65" s="251"/>
      <c r="O65" s="252"/>
      <c r="P65" s="19"/>
      <c r="Q65" s="19"/>
      <c r="R65" s="19"/>
      <c r="S65" s="19"/>
      <c r="T65" s="19"/>
      <c r="U65" s="51" t="s">
        <v>194</v>
      </c>
      <c r="V65" s="240" t="s">
        <v>195</v>
      </c>
      <c r="W65" s="240"/>
      <c r="X65" s="240"/>
      <c r="Y65" s="240" t="s">
        <v>196</v>
      </c>
      <c r="Z65" s="240"/>
      <c r="AA65" s="240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</row>
    <row r="66" spans="3:60">
      <c r="C66" s="19"/>
      <c r="D66" s="19"/>
      <c r="E66" s="36" t="s">
        <v>197</v>
      </c>
      <c r="F66" s="250" t="s">
        <v>198</v>
      </c>
      <c r="G66" s="251"/>
      <c r="H66" s="251"/>
      <c r="I66" s="252"/>
      <c r="J66" s="19"/>
      <c r="K66" s="37" t="s">
        <v>199</v>
      </c>
      <c r="L66" s="250" t="s">
        <v>161</v>
      </c>
      <c r="M66" s="251"/>
      <c r="N66" s="251"/>
      <c r="O66" s="252"/>
      <c r="P66" s="19"/>
      <c r="Q66" s="19"/>
      <c r="R66" s="19"/>
      <c r="S66" s="19"/>
      <c r="T66" s="19"/>
      <c r="U66" s="49" t="s">
        <v>200</v>
      </c>
      <c r="V66" s="240" t="s">
        <v>201</v>
      </c>
      <c r="W66" s="240"/>
      <c r="X66" s="240"/>
      <c r="Y66" s="240" t="s">
        <v>202</v>
      </c>
      <c r="Z66" s="240"/>
      <c r="AA66" s="240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</row>
    <row r="67" spans="3:60">
      <c r="C67" s="19"/>
      <c r="D67" s="19"/>
      <c r="E67" s="27" t="s">
        <v>203</v>
      </c>
      <c r="F67" s="250" t="s">
        <v>204</v>
      </c>
      <c r="G67" s="251"/>
      <c r="H67" s="251"/>
      <c r="I67" s="252"/>
      <c r="J67" s="19"/>
      <c r="K67" s="28" t="s">
        <v>205</v>
      </c>
      <c r="L67" s="250" t="s">
        <v>161</v>
      </c>
      <c r="M67" s="251"/>
      <c r="N67" s="251"/>
      <c r="O67" s="252"/>
      <c r="P67" s="19"/>
      <c r="Q67" s="19"/>
      <c r="R67" s="19"/>
      <c r="S67" s="19"/>
      <c r="T67" s="19"/>
      <c r="U67" s="63" t="s">
        <v>206</v>
      </c>
      <c r="V67" s="240" t="s">
        <v>207</v>
      </c>
      <c r="W67" s="240"/>
      <c r="X67" s="240"/>
      <c r="Y67" s="240" t="s">
        <v>208</v>
      </c>
      <c r="Z67" s="240"/>
      <c r="AA67" s="240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</row>
    <row r="68" spans="3:60">
      <c r="C68" s="19"/>
      <c r="D68" s="19"/>
      <c r="E68" s="36" t="s">
        <v>209</v>
      </c>
      <c r="F68" s="250" t="s">
        <v>210</v>
      </c>
      <c r="G68" s="251"/>
      <c r="H68" s="251"/>
      <c r="I68" s="252"/>
      <c r="J68" s="19"/>
      <c r="K68" s="38" t="s">
        <v>211</v>
      </c>
      <c r="L68" s="250" t="s">
        <v>212</v>
      </c>
      <c r="M68" s="251"/>
      <c r="N68" s="251"/>
      <c r="O68" s="252"/>
      <c r="P68" s="19"/>
      <c r="Q68" s="19"/>
      <c r="R68" s="19"/>
      <c r="S68" s="19"/>
      <c r="T68" s="19"/>
      <c r="U68" s="56" t="s">
        <v>116</v>
      </c>
      <c r="V68" s="240" t="s">
        <v>213</v>
      </c>
      <c r="W68" s="240"/>
      <c r="X68" s="240"/>
      <c r="Y68" s="240" t="s">
        <v>214</v>
      </c>
      <c r="Z68" s="240"/>
      <c r="AA68" s="240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</row>
    <row r="69" spans="3:60">
      <c r="C69" s="19"/>
      <c r="D69" s="19"/>
      <c r="U69" s="54" t="s">
        <v>215</v>
      </c>
      <c r="V69" s="240" t="s">
        <v>216</v>
      </c>
      <c r="W69" s="240"/>
      <c r="X69" s="240"/>
      <c r="Y69" s="240" t="s">
        <v>217</v>
      </c>
      <c r="Z69" s="240"/>
      <c r="AA69" s="240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</row>
    <row r="70" spans="3:60"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55" t="s">
        <v>113</v>
      </c>
      <c r="V70" s="240" t="s">
        <v>218</v>
      </c>
      <c r="W70" s="240"/>
      <c r="X70" s="240"/>
      <c r="Y70" s="240" t="s">
        <v>219</v>
      </c>
      <c r="Z70" s="240"/>
      <c r="AA70" s="240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</row>
    <row r="71" spans="3:60"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64" t="s">
        <v>220</v>
      </c>
      <c r="V71" s="240" t="s">
        <v>221</v>
      </c>
      <c r="W71" s="240"/>
      <c r="X71" s="240"/>
      <c r="Y71" s="240" t="s">
        <v>222</v>
      </c>
      <c r="Z71" s="240"/>
      <c r="AA71" s="240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</row>
    <row r="72" spans="3:60"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65" t="s">
        <v>223</v>
      </c>
      <c r="V72" s="240" t="s">
        <v>224</v>
      </c>
      <c r="W72" s="240"/>
      <c r="X72" s="240"/>
      <c r="Y72" s="240" t="s">
        <v>225</v>
      </c>
      <c r="Z72" s="240"/>
      <c r="AA72" s="240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</row>
    <row r="73" spans="3:60"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66" t="s">
        <v>226</v>
      </c>
      <c r="V73" s="240" t="s">
        <v>227</v>
      </c>
      <c r="W73" s="240"/>
      <c r="X73" s="240"/>
      <c r="Y73" s="240" t="s">
        <v>228</v>
      </c>
      <c r="Z73" s="240"/>
      <c r="AA73" s="240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</row>
    <row r="74" spans="3:60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67" t="s">
        <v>84</v>
      </c>
      <c r="V74" s="240" t="s">
        <v>229</v>
      </c>
      <c r="W74" s="240"/>
      <c r="X74" s="240"/>
      <c r="Y74" s="240" t="s">
        <v>230</v>
      </c>
      <c r="Z74" s="240"/>
      <c r="AA74" s="240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</row>
    <row r="75" spans="3:60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68" t="s">
        <v>41</v>
      </c>
      <c r="V75" s="240" t="s">
        <v>231</v>
      </c>
      <c r="W75" s="240"/>
      <c r="X75" s="240"/>
      <c r="Y75" s="240" t="s">
        <v>232</v>
      </c>
      <c r="Z75" s="240"/>
      <c r="AA75" s="240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</row>
    <row r="76" spans="3:60"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69" t="s">
        <v>233</v>
      </c>
      <c r="V76" s="240" t="s">
        <v>234</v>
      </c>
      <c r="W76" s="240"/>
      <c r="X76" s="240"/>
      <c r="Y76" s="240" t="s">
        <v>235</v>
      </c>
      <c r="Z76" s="240"/>
      <c r="AA76" s="240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</row>
    <row r="77" spans="3:60"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70" t="s">
        <v>66</v>
      </c>
      <c r="V77" s="240" t="s">
        <v>236</v>
      </c>
      <c r="W77" s="240"/>
      <c r="X77" s="240"/>
      <c r="Y77" s="240" t="s">
        <v>237</v>
      </c>
      <c r="Z77" s="240"/>
      <c r="AA77" s="240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</row>
    <row r="78" spans="3:60"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52" t="s">
        <v>23</v>
      </c>
      <c r="V78" s="240" t="s">
        <v>238</v>
      </c>
      <c r="W78" s="240"/>
      <c r="X78" s="240"/>
      <c r="Y78" s="240" t="s">
        <v>239</v>
      </c>
      <c r="Z78" s="240"/>
      <c r="AA78" s="240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</row>
    <row r="79" spans="3:60"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53" t="s">
        <v>240</v>
      </c>
      <c r="V79" s="240" t="s">
        <v>241</v>
      </c>
      <c r="W79" s="240"/>
      <c r="X79" s="240"/>
      <c r="Y79" s="240" t="s">
        <v>242</v>
      </c>
      <c r="Z79" s="240"/>
      <c r="AA79" s="240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</row>
    <row r="80" spans="3:60"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71" t="s">
        <v>243</v>
      </c>
      <c r="V80" s="240" t="s">
        <v>244</v>
      </c>
      <c r="W80" s="240"/>
      <c r="X80" s="240"/>
      <c r="Y80" s="240" t="s">
        <v>245</v>
      </c>
      <c r="Z80" s="240"/>
      <c r="AA80" s="240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</row>
    <row r="81" spans="3:60"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48" t="s">
        <v>246</v>
      </c>
      <c r="V81" s="240" t="s">
        <v>247</v>
      </c>
      <c r="W81" s="240"/>
      <c r="X81" s="240"/>
      <c r="Y81" s="240" t="s">
        <v>248</v>
      </c>
      <c r="Z81" s="240"/>
      <c r="AA81" s="240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</row>
    <row r="82" spans="3:60"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</row>
    <row r="83" spans="3:60"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</row>
    <row r="84" spans="3:60"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</row>
    <row r="85" spans="3:60"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</row>
    <row r="86" spans="3:60"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</row>
    <row r="87" spans="3:60"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</row>
    <row r="88" spans="3:60"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</row>
    <row r="89" spans="3:60"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</row>
    <row r="90" spans="3:60"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</row>
    <row r="91" spans="3:60"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</row>
    <row r="92" spans="3:60"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</row>
    <row r="93" spans="3:60"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</row>
    <row r="94" spans="3:60"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</row>
    <row r="95" spans="3:60"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</row>
    <row r="96" spans="3:60"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</row>
    <row r="97" spans="3:60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</row>
    <row r="98" spans="3:60"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</row>
    <row r="99" spans="3:60"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</row>
    <row r="100" spans="3:60"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</row>
    <row r="101" spans="3:60"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</row>
    <row r="102" spans="3:60"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</row>
    <row r="103" spans="3:60"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</row>
    <row r="104" spans="3:60"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</row>
    <row r="105" spans="3:60"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</row>
    <row r="106" spans="3:60"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</row>
    <row r="107" spans="3:60"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</row>
    <row r="108" spans="3:60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</row>
    <row r="109" spans="3:60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</row>
    <row r="110" spans="3:60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</row>
    <row r="111" spans="3:60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</row>
    <row r="112" spans="3:60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</row>
    <row r="113" spans="3:60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</row>
    <row r="114" spans="3:60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</row>
    <row r="115" spans="3:60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</row>
    <row r="116" spans="3:60"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</row>
    <row r="117" spans="3:60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</row>
    <row r="118" spans="3:60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</row>
    <row r="119" spans="3:60"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</row>
    <row r="120" spans="3:60"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</row>
    <row r="121" spans="3:60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</row>
    <row r="122" spans="3:60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</row>
    <row r="123" spans="3:60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</row>
    <row r="124" spans="3:60"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</row>
    <row r="125" spans="3:60"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</row>
    <row r="126" spans="3:60"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</row>
    <row r="127" spans="3:60"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</row>
    <row r="128" spans="3:60"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</row>
    <row r="129" spans="3:60"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</row>
    <row r="130" spans="3:60"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</row>
    <row r="131" spans="3:60"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</row>
    <row r="132" spans="3:60"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</row>
    <row r="133" spans="3:60"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</row>
    <row r="134" spans="3:60"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</row>
    <row r="135" spans="3:60"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</row>
    <row r="136" spans="3:60"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</row>
    <row r="137" spans="3:60"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</row>
    <row r="138" spans="3:60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</row>
    <row r="139" spans="3:60"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</row>
    <row r="140" spans="3:60"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</row>
    <row r="141" spans="3:60"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</row>
    <row r="142" spans="3:60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</row>
    <row r="143" spans="3:60"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</row>
    <row r="144" spans="3:60"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</row>
    <row r="145" spans="3:60"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</row>
    <row r="146" spans="3:60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</row>
    <row r="147" spans="3:60"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</row>
    <row r="148" spans="3:60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</row>
    <row r="149" spans="3:60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</row>
    <row r="150" spans="3:60"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</row>
    <row r="151" spans="3:60"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</row>
    <row r="152" spans="3:60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</row>
    <row r="153" spans="3:60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</row>
    <row r="154" spans="3:60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</row>
    <row r="155" spans="3:60"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</row>
    <row r="156" spans="3:60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</row>
    <row r="157" spans="3:60"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</row>
    <row r="158" spans="3:60"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</row>
    <row r="159" spans="3:60"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</row>
    <row r="160" spans="3:60"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</row>
    <row r="161" spans="3:60"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</row>
    <row r="162" spans="3:60"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</row>
    <row r="163" spans="3:60"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</row>
    <row r="164" spans="3:60"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</row>
    <row r="165" spans="3:60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</row>
    <row r="166" spans="3:60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</row>
    <row r="167" spans="3:60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</row>
    <row r="168" spans="3:60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</row>
    <row r="169" spans="3:60"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</row>
    <row r="170" spans="3:60"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</row>
    <row r="171" spans="3:60"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</row>
    <row r="172" spans="3:60"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</row>
    <row r="173" spans="3:60"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</row>
    <row r="174" spans="3:60"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</row>
    <row r="175" spans="3:60"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</row>
    <row r="176" spans="3:60"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</row>
    <row r="177" spans="3:60"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</row>
    <row r="178" spans="3:60"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</row>
    <row r="179" spans="3:60"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</row>
    <row r="180" spans="3:60"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</row>
    <row r="181" spans="3:60"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</row>
    <row r="182" spans="3:60"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</row>
    <row r="183" spans="3:60"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</row>
    <row r="184" spans="3:60"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</row>
    <row r="185" spans="3:60"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</row>
    <row r="186" spans="3:60"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</row>
    <row r="187" spans="3:60"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</row>
    <row r="188" spans="3:60"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</row>
    <row r="189" spans="3:60"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</row>
    <row r="190" spans="3:60"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</row>
    <row r="191" spans="3:60"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</row>
    <row r="192" spans="3:60"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</row>
    <row r="193" spans="3:60"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</row>
    <row r="194" spans="3:60"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</row>
    <row r="195" spans="3:60"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</row>
    <row r="196" spans="3:60"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</row>
    <row r="197" spans="3:60"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</row>
    <row r="198" spans="3:60"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</row>
    <row r="199" spans="3:60"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</row>
    <row r="200" spans="3:60"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</row>
    <row r="201" spans="3:60"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</row>
    <row r="202" spans="3:60"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</row>
    <row r="203" spans="3:60"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</row>
    <row r="204" spans="3:60"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</row>
    <row r="205" spans="3:60"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</row>
    <row r="206" spans="3:60"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</row>
    <row r="207" spans="3:60"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</row>
    <row r="208" spans="3:60"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</row>
    <row r="209" spans="3:60"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</row>
    <row r="210" spans="3:60"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</row>
    <row r="211" spans="3:60"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</row>
    <row r="212" spans="3:60"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</row>
    <row r="213" spans="3:60"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</row>
    <row r="214" spans="3:60"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</row>
    <row r="215" spans="3:60"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</row>
    <row r="216" spans="3:60"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</row>
    <row r="217" spans="3:60"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</row>
    <row r="218" spans="3:60"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</row>
    <row r="219" spans="3:60"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</row>
    <row r="220" spans="3:60"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</row>
    <row r="221" spans="3:60"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</row>
    <row r="222" spans="3:60"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</row>
    <row r="223" spans="3:60"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</row>
    <row r="224" spans="3:60"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</row>
    <row r="225" spans="3:60"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</row>
    <row r="226" spans="3:60"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</row>
    <row r="227" spans="3:60"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</row>
    <row r="228" spans="3:60"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</row>
    <row r="229" spans="3:60"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</row>
    <row r="230" spans="3:60"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</row>
    <row r="231" spans="3:60"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</row>
    <row r="232" spans="3:60"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</row>
    <row r="233" spans="3:60"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</row>
    <row r="234" spans="3:60"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</row>
    <row r="235" spans="3:60"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</row>
    <row r="236" spans="3:60"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</row>
    <row r="237" spans="3:60"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</row>
    <row r="238" spans="3:60"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</row>
    <row r="239" spans="3:60"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</row>
    <row r="240" spans="3:60"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</row>
    <row r="241" spans="3:60"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</row>
    <row r="242" spans="3:60"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</row>
    <row r="243" spans="3:60"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</row>
    <row r="244" spans="3:60"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</row>
    <row r="245" spans="3:60"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</row>
    <row r="246" spans="3:60"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</row>
    <row r="247" spans="3:60"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</row>
    <row r="248" spans="3:60"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</row>
    <row r="249" spans="3:60"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</row>
    <row r="250" spans="3:60"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</row>
    <row r="251" spans="3:60"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</row>
    <row r="252" spans="3:60"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</row>
    <row r="253" spans="3:60"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</row>
    <row r="254" spans="3:60"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</row>
    <row r="255" spans="3:60"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</row>
    <row r="256" spans="3:60"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</row>
    <row r="257" spans="3:60"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</row>
    <row r="258" spans="3:60"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</row>
    <row r="259" spans="3:60"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</row>
    <row r="260" spans="3:60"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</row>
    <row r="261" spans="3:60"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</row>
    <row r="262" spans="3:60"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</row>
    <row r="263" spans="3:60"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</row>
    <row r="264" spans="3:60"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</row>
    <row r="265" spans="3:60"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</row>
    <row r="266" spans="3:60"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</row>
    <row r="267" spans="3:60"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</row>
    <row r="268" spans="3:60"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</row>
    <row r="269" spans="3:60"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</row>
    <row r="270" spans="3:60"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</row>
    <row r="271" spans="3:60"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</row>
    <row r="272" spans="3:60"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</row>
    <row r="273" spans="3:60"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</row>
    <row r="274" spans="3:60"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</row>
    <row r="275" spans="3:60"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</row>
    <row r="276" spans="3:60"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</row>
    <row r="277" spans="3:60"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</row>
    <row r="278" spans="3:60"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</row>
    <row r="279" spans="3:60"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</row>
    <row r="280" spans="3:60"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</row>
    <row r="281" spans="3:60"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</row>
    <row r="282" spans="3:60"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</row>
    <row r="283" spans="3:60"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</row>
    <row r="284" spans="3:60"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</row>
    <row r="285" spans="3:60"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</row>
    <row r="286" spans="3:60"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</row>
    <row r="287" spans="3:60"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</row>
    <row r="288" spans="3:60"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</row>
    <row r="289" spans="3:60"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</row>
    <row r="290" spans="3:60"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</row>
    <row r="291" spans="3:60"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</row>
    <row r="292" spans="3:60"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</row>
    <row r="293" spans="3:60"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</row>
    <row r="294" spans="3:60"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</row>
    <row r="295" spans="3:60"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</row>
    <row r="296" spans="3:60"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</row>
    <row r="297" spans="3:60"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</row>
    <row r="298" spans="3:60"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</row>
    <row r="299" spans="3:60"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</row>
    <row r="300" spans="3:60"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</row>
    <row r="301" spans="3:60"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</row>
    <row r="302" spans="3:60"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</row>
    <row r="303" spans="3:60"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</row>
    <row r="304" spans="3:60"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</row>
    <row r="305" spans="3:60"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</row>
    <row r="306" spans="3:60"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</row>
    <row r="307" spans="3:60"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</row>
    <row r="308" spans="3:60"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</row>
    <row r="309" spans="3:60"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</row>
    <row r="310" spans="3:60"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</row>
    <row r="311" spans="3:60"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</row>
    <row r="312" spans="3:60"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</row>
    <row r="313" spans="3:60"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</row>
    <row r="314" spans="3:60"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</row>
    <row r="315" spans="3:60"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</row>
    <row r="316" spans="3:60"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</row>
    <row r="317" spans="3:60"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</row>
    <row r="318" spans="3:60"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</row>
    <row r="319" spans="3:60"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</row>
    <row r="320" spans="3:60"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</row>
    <row r="321" spans="3:60"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</row>
    <row r="322" spans="3:60"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</row>
    <row r="323" spans="3:60"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</row>
    <row r="324" spans="3:60"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</row>
    <row r="325" spans="3:60"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</row>
    <row r="326" spans="3:60"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</row>
    <row r="327" spans="3:60"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</row>
  </sheetData>
  <mergeCells count="108">
    <mergeCell ref="V79:X79"/>
    <mergeCell ref="Y79:AA79"/>
    <mergeCell ref="V80:X80"/>
    <mergeCell ref="Y80:AA80"/>
    <mergeCell ref="V76:X76"/>
    <mergeCell ref="Y76:AA76"/>
    <mergeCell ref="V77:X77"/>
    <mergeCell ref="Y77:AA77"/>
    <mergeCell ref="V78:X78"/>
    <mergeCell ref="Y78:AA78"/>
    <mergeCell ref="F61:I61"/>
    <mergeCell ref="L61:O61"/>
    <mergeCell ref="F62:I62"/>
    <mergeCell ref="L62:O62"/>
    <mergeCell ref="F63:I63"/>
    <mergeCell ref="L63:O63"/>
    <mergeCell ref="V56:X56"/>
    <mergeCell ref="Y56:AA56"/>
    <mergeCell ref="V57:X57"/>
    <mergeCell ref="Y57:AA57"/>
    <mergeCell ref="F56:I56"/>
    <mergeCell ref="L56:O56"/>
    <mergeCell ref="F57:I57"/>
    <mergeCell ref="L57:O57"/>
    <mergeCell ref="R57:S57"/>
    <mergeCell ref="R56:S56"/>
    <mergeCell ref="V63:X63"/>
    <mergeCell ref="Y63:AA63"/>
    <mergeCell ref="V58:X58"/>
    <mergeCell ref="Y58:AA58"/>
    <mergeCell ref="V59:X59"/>
    <mergeCell ref="Y59:AA59"/>
    <mergeCell ref="V60:X60"/>
    <mergeCell ref="Y60:AA60"/>
    <mergeCell ref="V61:X61"/>
    <mergeCell ref="Y61:AA61"/>
    <mergeCell ref="V62:X62"/>
    <mergeCell ref="Y62:AA62"/>
    <mergeCell ref="V68:X68"/>
    <mergeCell ref="Y68:AA68"/>
    <mergeCell ref="V69:X69"/>
    <mergeCell ref="Y69:AA69"/>
    <mergeCell ref="V64:X64"/>
    <mergeCell ref="Y64:AA64"/>
    <mergeCell ref="V65:X65"/>
    <mergeCell ref="Y65:AA65"/>
    <mergeCell ref="V66:X66"/>
    <mergeCell ref="Y66:AA66"/>
    <mergeCell ref="V67:X67"/>
    <mergeCell ref="Y67:AA67"/>
    <mergeCell ref="C50:D50"/>
    <mergeCell ref="C51:D51"/>
    <mergeCell ref="B2:B4"/>
    <mergeCell ref="C2:D2"/>
    <mergeCell ref="C3:D4"/>
    <mergeCell ref="AJ2:AL3"/>
    <mergeCell ref="AN2:AP3"/>
    <mergeCell ref="C49:D49"/>
    <mergeCell ref="B49:B50"/>
    <mergeCell ref="B5:B12"/>
    <mergeCell ref="B13:B24"/>
    <mergeCell ref="B36:B39"/>
    <mergeCell ref="B40:B47"/>
    <mergeCell ref="B25:B35"/>
    <mergeCell ref="AR2:AR4"/>
    <mergeCell ref="E2:AH2"/>
    <mergeCell ref="F58:I58"/>
    <mergeCell ref="L58:O58"/>
    <mergeCell ref="F59:I59"/>
    <mergeCell ref="L59:O59"/>
    <mergeCell ref="R59:S59"/>
    <mergeCell ref="R58:S58"/>
    <mergeCell ref="F60:I60"/>
    <mergeCell ref="L60:O60"/>
    <mergeCell ref="F54:I54"/>
    <mergeCell ref="L54:O54"/>
    <mergeCell ref="Q54:S54"/>
    <mergeCell ref="V54:X54"/>
    <mergeCell ref="Y54:AA54"/>
    <mergeCell ref="F55:I55"/>
    <mergeCell ref="L55:O55"/>
    <mergeCell ref="R55:S55"/>
    <mergeCell ref="V55:X55"/>
    <mergeCell ref="Y55:AA55"/>
    <mergeCell ref="V81:X81"/>
    <mergeCell ref="Y81:AA81"/>
    <mergeCell ref="F67:I67"/>
    <mergeCell ref="L67:O67"/>
    <mergeCell ref="F68:I68"/>
    <mergeCell ref="L68:O68"/>
    <mergeCell ref="F64:I64"/>
    <mergeCell ref="L64:O64"/>
    <mergeCell ref="F65:I65"/>
    <mergeCell ref="L65:O65"/>
    <mergeCell ref="F66:I66"/>
    <mergeCell ref="L66:O66"/>
    <mergeCell ref="V73:X73"/>
    <mergeCell ref="Y73:AA73"/>
    <mergeCell ref="V74:X74"/>
    <mergeCell ref="Y74:AA74"/>
    <mergeCell ref="V75:X75"/>
    <mergeCell ref="Y75:AA75"/>
    <mergeCell ref="V70:X70"/>
    <mergeCell ref="Y70:AA70"/>
    <mergeCell ref="V71:X71"/>
    <mergeCell ref="Y71:AA71"/>
    <mergeCell ref="V72:X72"/>
    <mergeCell ref="Y72:AA72"/>
  </mergeCells>
  <conditionalFormatting sqref="AL5:AL47">
    <cfRule type="cellIs" dxfId="53" priority="2" operator="greaterThan">
      <formula>1</formula>
    </cfRule>
    <cfRule type="cellIs" dxfId="52" priority="3" operator="equal">
      <formula>1</formula>
    </cfRule>
    <cfRule type="cellIs" dxfId="51" priority="4" operator="greaterThan">
      <formula>0</formula>
    </cfRule>
  </conditionalFormatting>
  <conditionalFormatting sqref="AP5:AP47">
    <cfRule type="cellIs" dxfId="50" priority="1" operator="lessThan">
      <formula>0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equal" id="{29BDAF0F-2E4B-4F25-953C-01956781F3FA}">
            <xm:f>Sheet1!$B$3</xm:f>
            <x14:dxf>
              <fill>
                <patternFill>
                  <bgColor theme="6" tint="0.79998168889431442"/>
                </patternFill>
              </fill>
            </x14:dxf>
          </x14:cfRule>
          <x14:cfRule type="cellIs" priority="8" operator="equal" id="{7CBA82B3-955B-41B3-BEFF-077C5701AEDB}">
            <xm:f>Sheet1!$B$2</xm:f>
            <x14:dxf>
              <fill>
                <patternFill>
                  <bgColor rgb="FFFFFF99"/>
                </patternFill>
              </fill>
            </x14:dxf>
          </x14:cfRule>
          <xm:sqref>B2:B4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C60B04-9B64-4B1E-9F73-F775AB918973}">
          <x14:formula1>
            <xm:f>Sheet1!$B$2:$B$3</xm:f>
          </x14:formula1>
          <xm:sqref>B2:B4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B55D-398A-4BF3-A504-5230C3A0FEB7}">
  <dimension ref="B2:BH328"/>
  <sheetViews>
    <sheetView showGridLines="0" zoomScaleNormal="100" workbookViewId="0">
      <pane xSplit="4" ySplit="4" topLeftCell="E5" activePane="bottomRight" state="frozen"/>
      <selection pane="bottomRight" activeCell="E16" sqref="E16:H16"/>
      <selection pane="bottomLeft"/>
      <selection pane="topRight"/>
    </sheetView>
  </sheetViews>
  <sheetFormatPr defaultRowHeight="15"/>
  <cols>
    <col min="1" max="2" width="9.140625" style="18"/>
    <col min="3" max="3" width="20.7109375" style="18" customWidth="1"/>
    <col min="4" max="4" width="30.28515625" style="18" bestFit="1" customWidth="1"/>
    <col min="5" max="35" width="6" style="18" customWidth="1"/>
    <col min="36" max="40" width="9.140625" style="18"/>
    <col min="41" max="41" width="10.7109375" style="18" customWidth="1"/>
    <col min="42" max="44" width="9.140625" style="18"/>
    <col min="45" max="45" width="10" style="18" customWidth="1"/>
    <col min="46" max="16384" width="9.140625" style="18"/>
  </cols>
  <sheetData>
    <row r="2" spans="2:60" ht="15.75" customHeight="1">
      <c r="B2" s="270" t="s">
        <v>0</v>
      </c>
      <c r="C2" s="267" t="s">
        <v>2</v>
      </c>
      <c r="D2" s="267"/>
      <c r="E2" s="253" t="s">
        <v>3</v>
      </c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5"/>
      <c r="AK2" s="241" t="s">
        <v>4</v>
      </c>
      <c r="AL2" s="242"/>
      <c r="AM2" s="243"/>
      <c r="AO2" s="241" t="s">
        <v>5</v>
      </c>
      <c r="AP2" s="242"/>
      <c r="AQ2" s="243"/>
      <c r="AS2" s="247" t="s">
        <v>6</v>
      </c>
    </row>
    <row r="3" spans="2:60" ht="15.75" customHeight="1">
      <c r="B3" s="271"/>
      <c r="C3" s="268" t="s">
        <v>255</v>
      </c>
      <c r="D3" s="268"/>
      <c r="E3" s="13" t="s">
        <v>9</v>
      </c>
      <c r="F3" s="2" t="s">
        <v>10</v>
      </c>
      <c r="G3" s="2" t="s">
        <v>11</v>
      </c>
      <c r="H3" s="1" t="s">
        <v>12</v>
      </c>
      <c r="I3" s="1" t="s">
        <v>13</v>
      </c>
      <c r="J3" s="1" t="s">
        <v>14</v>
      </c>
      <c r="K3" s="1" t="s">
        <v>8</v>
      </c>
      <c r="L3" s="1" t="s">
        <v>9</v>
      </c>
      <c r="M3" s="2" t="s">
        <v>10</v>
      </c>
      <c r="N3" s="2" t="s">
        <v>11</v>
      </c>
      <c r="O3" s="1" t="s">
        <v>12</v>
      </c>
      <c r="P3" s="1" t="s">
        <v>13</v>
      </c>
      <c r="Q3" s="1" t="s">
        <v>14</v>
      </c>
      <c r="R3" s="1" t="s">
        <v>8</v>
      </c>
      <c r="S3" s="1" t="s">
        <v>9</v>
      </c>
      <c r="T3" s="2" t="s">
        <v>10</v>
      </c>
      <c r="U3" s="2" t="s">
        <v>11</v>
      </c>
      <c r="V3" s="1" t="s">
        <v>12</v>
      </c>
      <c r="W3" s="1" t="s">
        <v>13</v>
      </c>
      <c r="X3" s="1" t="s">
        <v>14</v>
      </c>
      <c r="Y3" s="1" t="s">
        <v>8</v>
      </c>
      <c r="Z3" s="1" t="s">
        <v>9</v>
      </c>
      <c r="AA3" s="2" t="s">
        <v>10</v>
      </c>
      <c r="AB3" s="2" t="s">
        <v>11</v>
      </c>
      <c r="AC3" s="1" t="s">
        <v>12</v>
      </c>
      <c r="AD3" s="1" t="s">
        <v>13</v>
      </c>
      <c r="AE3" s="1" t="s">
        <v>14</v>
      </c>
      <c r="AF3" s="1" t="s">
        <v>8</v>
      </c>
      <c r="AG3" s="1" t="s">
        <v>9</v>
      </c>
      <c r="AH3" s="2" t="s">
        <v>10</v>
      </c>
      <c r="AI3" s="3" t="s">
        <v>11</v>
      </c>
      <c r="AK3" s="244"/>
      <c r="AL3" s="245"/>
      <c r="AM3" s="246"/>
      <c r="AO3" s="244"/>
      <c r="AP3" s="245"/>
      <c r="AQ3" s="246"/>
      <c r="AS3" s="248"/>
    </row>
    <row r="4" spans="2:60" ht="15.75">
      <c r="B4" s="272"/>
      <c r="C4" s="269"/>
      <c r="D4" s="269"/>
      <c r="E4" s="123">
        <v>1</v>
      </c>
      <c r="F4" s="100">
        <v>2</v>
      </c>
      <c r="G4" s="100">
        <v>3</v>
      </c>
      <c r="H4" s="99">
        <v>4</v>
      </c>
      <c r="I4" s="99">
        <v>5</v>
      </c>
      <c r="J4" s="99">
        <v>6</v>
      </c>
      <c r="K4" s="99">
        <v>7</v>
      </c>
      <c r="L4" s="99">
        <v>8</v>
      </c>
      <c r="M4" s="100">
        <v>9</v>
      </c>
      <c r="N4" s="100">
        <v>10</v>
      </c>
      <c r="O4" s="99">
        <v>11</v>
      </c>
      <c r="P4" s="99">
        <v>12</v>
      </c>
      <c r="Q4" s="99">
        <v>13</v>
      </c>
      <c r="R4" s="99">
        <v>14</v>
      </c>
      <c r="S4" s="99">
        <v>15</v>
      </c>
      <c r="T4" s="100">
        <v>16</v>
      </c>
      <c r="U4" s="100">
        <v>17</v>
      </c>
      <c r="V4" s="99">
        <v>18</v>
      </c>
      <c r="W4" s="99">
        <v>19</v>
      </c>
      <c r="X4" s="99">
        <v>20</v>
      </c>
      <c r="Y4" s="99">
        <v>21</v>
      </c>
      <c r="Z4" s="99">
        <v>22</v>
      </c>
      <c r="AA4" s="100">
        <v>23</v>
      </c>
      <c r="AB4" s="100">
        <v>24</v>
      </c>
      <c r="AC4" s="99">
        <v>25</v>
      </c>
      <c r="AD4" s="99">
        <v>26</v>
      </c>
      <c r="AE4" s="99">
        <v>27</v>
      </c>
      <c r="AF4" s="99">
        <v>28</v>
      </c>
      <c r="AG4" s="99">
        <v>29</v>
      </c>
      <c r="AH4" s="100">
        <v>30</v>
      </c>
      <c r="AI4" s="101">
        <v>31</v>
      </c>
      <c r="AK4" s="23">
        <v>2025</v>
      </c>
      <c r="AL4" s="24" t="s">
        <v>15</v>
      </c>
      <c r="AM4" s="23" t="s">
        <v>16</v>
      </c>
      <c r="AN4" s="25"/>
      <c r="AO4" s="23">
        <v>2026</v>
      </c>
      <c r="AP4" s="24" t="s">
        <v>15</v>
      </c>
      <c r="AQ4" s="23" t="s">
        <v>16</v>
      </c>
      <c r="AS4" s="249"/>
    </row>
    <row r="5" spans="2:60" ht="15" customHeight="1">
      <c r="B5" s="287" t="s">
        <v>17</v>
      </c>
      <c r="C5" s="186" t="s">
        <v>18</v>
      </c>
      <c r="D5" s="88" t="s">
        <v>19</v>
      </c>
      <c r="E5" s="104" t="s">
        <v>21</v>
      </c>
      <c r="F5" s="103" t="s">
        <v>22</v>
      </c>
      <c r="G5" s="103" t="s">
        <v>22</v>
      </c>
      <c r="H5" s="102" t="s">
        <v>23</v>
      </c>
      <c r="I5" s="102" t="s">
        <v>23</v>
      </c>
      <c r="J5" s="102" t="s">
        <v>23</v>
      </c>
      <c r="K5" s="102" t="s">
        <v>23</v>
      </c>
      <c r="L5" s="103" t="s">
        <v>22</v>
      </c>
      <c r="M5" s="103" t="s">
        <v>22</v>
      </c>
      <c r="N5" s="104" t="s">
        <v>21</v>
      </c>
      <c r="O5" s="104" t="s">
        <v>21</v>
      </c>
      <c r="P5" s="104" t="s">
        <v>21</v>
      </c>
      <c r="Q5" s="104" t="s">
        <v>21</v>
      </c>
      <c r="R5" s="103" t="s">
        <v>22</v>
      </c>
      <c r="S5" s="103" t="s">
        <v>22</v>
      </c>
      <c r="T5" s="102" t="s">
        <v>23</v>
      </c>
      <c r="U5" s="102" t="s">
        <v>23</v>
      </c>
      <c r="V5" s="102" t="s">
        <v>23</v>
      </c>
      <c r="W5" s="102" t="s">
        <v>23</v>
      </c>
      <c r="X5" s="103" t="s">
        <v>22</v>
      </c>
      <c r="Y5" s="103" t="s">
        <v>22</v>
      </c>
      <c r="Z5" s="104" t="s">
        <v>21</v>
      </c>
      <c r="AA5" s="104" t="s">
        <v>21</v>
      </c>
      <c r="AB5" s="104" t="s">
        <v>21</v>
      </c>
      <c r="AC5" s="104" t="s">
        <v>21</v>
      </c>
      <c r="AD5" s="103" t="s">
        <v>22</v>
      </c>
      <c r="AE5" s="103" t="s">
        <v>22</v>
      </c>
      <c r="AF5" s="102" t="s">
        <v>23</v>
      </c>
      <c r="AG5" s="102" t="s">
        <v>23</v>
      </c>
      <c r="AH5" s="102" t="s">
        <v>23</v>
      </c>
      <c r="AI5" s="105" t="s">
        <v>23</v>
      </c>
      <c r="AJ5" s="19"/>
      <c r="AK5" s="20"/>
      <c r="AL5" s="21">
        <f t="shared" ref="AL5:AL47" si="0">COUNTIF(E5:AI5, "UA")</f>
        <v>0</v>
      </c>
      <c r="AM5" s="20">
        <f t="shared" ref="AM5:AM47" si="1">AK5-AL5</f>
        <v>0</v>
      </c>
      <c r="AN5" s="19"/>
      <c r="AO5" s="20"/>
      <c r="AP5" s="21">
        <f t="shared" ref="AP5:AP47" si="2">COUNTIF(E5:AI5, "U")</f>
        <v>0</v>
      </c>
      <c r="AQ5" s="20">
        <f t="shared" ref="AQ5:AQ47" si="3">AO5-AP5</f>
        <v>0</v>
      </c>
      <c r="AR5" s="19"/>
      <c r="AS5" s="21">
        <f t="shared" ref="AS5:AS47" si="4">COUNTIF(E5:AI5,"P*")+COUNTIF(E5:AI5,"H*")+COUNTIF(E5:AI5,"T*")-COUNTIF(E5:AI5,"H")-COUNTIF(E5:AI5,"P")</f>
        <v>21</v>
      </c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</row>
    <row r="6" spans="2:60">
      <c r="B6" s="288"/>
      <c r="C6" s="130" t="s">
        <v>24</v>
      </c>
      <c r="D6" s="20" t="s">
        <v>25</v>
      </c>
      <c r="E6" s="74" t="s">
        <v>23</v>
      </c>
      <c r="F6" s="74" t="s">
        <v>23</v>
      </c>
      <c r="G6" s="74" t="s">
        <v>23</v>
      </c>
      <c r="H6" s="28" t="s">
        <v>22</v>
      </c>
      <c r="I6" s="28" t="s">
        <v>22</v>
      </c>
      <c r="J6" s="60" t="s">
        <v>21</v>
      </c>
      <c r="K6" s="60" t="s">
        <v>21</v>
      </c>
      <c r="L6" s="60" t="s">
        <v>21</v>
      </c>
      <c r="M6" s="60" t="s">
        <v>21</v>
      </c>
      <c r="N6" s="28" t="s">
        <v>22</v>
      </c>
      <c r="O6" s="28" t="s">
        <v>22</v>
      </c>
      <c r="P6" s="74" t="s">
        <v>23</v>
      </c>
      <c r="Q6" s="74" t="s">
        <v>23</v>
      </c>
      <c r="R6" s="74" t="s">
        <v>23</v>
      </c>
      <c r="S6" s="74" t="s">
        <v>23</v>
      </c>
      <c r="T6" s="28" t="s">
        <v>22</v>
      </c>
      <c r="U6" s="28" t="s">
        <v>22</v>
      </c>
      <c r="V6" s="60" t="s">
        <v>21</v>
      </c>
      <c r="W6" s="60" t="s">
        <v>21</v>
      </c>
      <c r="X6" s="60" t="s">
        <v>21</v>
      </c>
      <c r="Y6" s="60" t="s">
        <v>21</v>
      </c>
      <c r="Z6" s="28" t="s">
        <v>22</v>
      </c>
      <c r="AA6" s="28" t="s">
        <v>22</v>
      </c>
      <c r="AB6" s="74" t="s">
        <v>23</v>
      </c>
      <c r="AC6" s="74" t="s">
        <v>23</v>
      </c>
      <c r="AD6" s="74" t="s">
        <v>23</v>
      </c>
      <c r="AE6" s="74" t="s">
        <v>23</v>
      </c>
      <c r="AF6" s="28" t="s">
        <v>22</v>
      </c>
      <c r="AG6" s="28" t="s">
        <v>22</v>
      </c>
      <c r="AH6" s="60" t="s">
        <v>21</v>
      </c>
      <c r="AI6" s="90" t="s">
        <v>21</v>
      </c>
      <c r="AJ6" s="19"/>
      <c r="AK6" s="20"/>
      <c r="AL6" s="21">
        <f t="shared" si="0"/>
        <v>0</v>
      </c>
      <c r="AM6" s="20">
        <f t="shared" si="1"/>
        <v>0</v>
      </c>
      <c r="AN6" s="19"/>
      <c r="AO6" s="20"/>
      <c r="AP6" s="21">
        <f t="shared" si="2"/>
        <v>0</v>
      </c>
      <c r="AQ6" s="20">
        <f t="shared" si="3"/>
        <v>0</v>
      </c>
      <c r="AR6" s="19"/>
      <c r="AS6" s="21">
        <f t="shared" si="4"/>
        <v>21</v>
      </c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</row>
    <row r="7" spans="2:60" ht="15" customHeight="1">
      <c r="B7" s="288"/>
      <c r="C7" s="20" t="s">
        <v>27</v>
      </c>
      <c r="D7" s="20" t="s">
        <v>28</v>
      </c>
      <c r="E7" s="28" t="s">
        <v>22</v>
      </c>
      <c r="F7" s="28" t="s">
        <v>22</v>
      </c>
      <c r="G7" s="74" t="s">
        <v>23</v>
      </c>
      <c r="H7" s="74" t="s">
        <v>23</v>
      </c>
      <c r="I7" s="74" t="s">
        <v>23</v>
      </c>
      <c r="J7" s="74" t="s">
        <v>23</v>
      </c>
      <c r="K7" s="28" t="s">
        <v>22</v>
      </c>
      <c r="L7" s="28" t="s">
        <v>22</v>
      </c>
      <c r="M7" s="60" t="s">
        <v>21</v>
      </c>
      <c r="N7" s="60" t="s">
        <v>21</v>
      </c>
      <c r="O7" s="60" t="s">
        <v>21</v>
      </c>
      <c r="P7" s="60" t="s">
        <v>21</v>
      </c>
      <c r="Q7" s="28" t="s">
        <v>22</v>
      </c>
      <c r="R7" s="28" t="s">
        <v>22</v>
      </c>
      <c r="S7" s="74" t="s">
        <v>23</v>
      </c>
      <c r="T7" s="74" t="s">
        <v>23</v>
      </c>
      <c r="U7" s="74" t="s">
        <v>23</v>
      </c>
      <c r="V7" s="74" t="s">
        <v>23</v>
      </c>
      <c r="W7" s="28" t="s">
        <v>22</v>
      </c>
      <c r="X7" s="28" t="s">
        <v>22</v>
      </c>
      <c r="Y7" s="60" t="s">
        <v>21</v>
      </c>
      <c r="Z7" s="60" t="s">
        <v>21</v>
      </c>
      <c r="AA7" s="60" t="s">
        <v>21</v>
      </c>
      <c r="AB7" s="60" t="s">
        <v>21</v>
      </c>
      <c r="AC7" s="28" t="s">
        <v>22</v>
      </c>
      <c r="AD7" s="28" t="s">
        <v>22</v>
      </c>
      <c r="AE7" s="74" t="s">
        <v>23</v>
      </c>
      <c r="AF7" s="74" t="s">
        <v>23</v>
      </c>
      <c r="AG7" s="74" t="s">
        <v>23</v>
      </c>
      <c r="AH7" s="74" t="s">
        <v>23</v>
      </c>
      <c r="AI7" s="91" t="s">
        <v>22</v>
      </c>
      <c r="AJ7" s="19"/>
      <c r="AK7" s="20"/>
      <c r="AL7" s="21">
        <f t="shared" si="0"/>
        <v>0</v>
      </c>
      <c r="AM7" s="20">
        <f t="shared" si="1"/>
        <v>0</v>
      </c>
      <c r="AN7" s="19"/>
      <c r="AO7" s="26"/>
      <c r="AP7" s="21">
        <f t="shared" si="2"/>
        <v>0</v>
      </c>
      <c r="AQ7" s="44">
        <f t="shared" si="3"/>
        <v>0</v>
      </c>
      <c r="AR7" s="19"/>
      <c r="AS7" s="21">
        <f t="shared" si="4"/>
        <v>20</v>
      </c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</row>
    <row r="8" spans="2:60" ht="15" customHeight="1">
      <c r="B8" s="288"/>
      <c r="C8" s="22" t="s">
        <v>31</v>
      </c>
      <c r="D8" s="20" t="s">
        <v>32</v>
      </c>
      <c r="E8" s="60" t="s">
        <v>21</v>
      </c>
      <c r="F8" s="60" t="s">
        <v>21</v>
      </c>
      <c r="G8" s="28" t="s">
        <v>22</v>
      </c>
      <c r="H8" s="28" t="s">
        <v>22</v>
      </c>
      <c r="I8" s="74" t="s">
        <v>23</v>
      </c>
      <c r="J8" s="74" t="s">
        <v>23</v>
      </c>
      <c r="K8" s="74" t="s">
        <v>23</v>
      </c>
      <c r="L8" s="74" t="s">
        <v>23</v>
      </c>
      <c r="M8" s="28" t="s">
        <v>22</v>
      </c>
      <c r="N8" s="28" t="s">
        <v>22</v>
      </c>
      <c r="O8" s="60" t="s">
        <v>21</v>
      </c>
      <c r="P8" s="60" t="s">
        <v>21</v>
      </c>
      <c r="Q8" s="60" t="s">
        <v>21</v>
      </c>
      <c r="R8" s="60" t="s">
        <v>21</v>
      </c>
      <c r="S8" s="28" t="s">
        <v>22</v>
      </c>
      <c r="T8" s="28" t="s">
        <v>22</v>
      </c>
      <c r="U8" s="74" t="s">
        <v>23</v>
      </c>
      <c r="V8" s="74" t="s">
        <v>23</v>
      </c>
      <c r="W8" s="74" t="s">
        <v>23</v>
      </c>
      <c r="X8" s="74" t="s">
        <v>23</v>
      </c>
      <c r="Y8" s="28" t="s">
        <v>22</v>
      </c>
      <c r="Z8" s="75" t="s">
        <v>26</v>
      </c>
      <c r="AA8" s="75" t="s">
        <v>176</v>
      </c>
      <c r="AB8" s="60" t="s">
        <v>21</v>
      </c>
      <c r="AC8" s="60" t="s">
        <v>21</v>
      </c>
      <c r="AD8" s="60" t="s">
        <v>21</v>
      </c>
      <c r="AE8" s="28" t="s">
        <v>22</v>
      </c>
      <c r="AF8" s="28" t="s">
        <v>22</v>
      </c>
      <c r="AG8" s="74" t="s">
        <v>23</v>
      </c>
      <c r="AH8" s="74" t="s">
        <v>23</v>
      </c>
      <c r="AI8" s="89" t="s">
        <v>23</v>
      </c>
      <c r="AJ8" s="19"/>
      <c r="AK8" s="20"/>
      <c r="AL8" s="21">
        <f t="shared" si="0"/>
        <v>0</v>
      </c>
      <c r="AM8" s="20">
        <f t="shared" si="1"/>
        <v>0</v>
      </c>
      <c r="AN8" s="19"/>
      <c r="AO8" s="20"/>
      <c r="AP8" s="21">
        <f t="shared" si="2"/>
        <v>0</v>
      </c>
      <c r="AQ8" s="20">
        <f t="shared" si="3"/>
        <v>0</v>
      </c>
      <c r="AR8" s="19"/>
      <c r="AS8" s="21">
        <f t="shared" si="4"/>
        <v>20</v>
      </c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</row>
    <row r="9" spans="2:60" ht="15" customHeight="1">
      <c r="B9" s="288"/>
      <c r="C9" s="20" t="s">
        <v>34</v>
      </c>
      <c r="D9" s="20" t="s">
        <v>35</v>
      </c>
      <c r="E9" s="74" t="s">
        <v>23</v>
      </c>
      <c r="F9" s="74" t="s">
        <v>23</v>
      </c>
      <c r="G9" s="74" t="s">
        <v>23</v>
      </c>
      <c r="H9" s="74" t="s">
        <v>23</v>
      </c>
      <c r="I9" s="28" t="s">
        <v>22</v>
      </c>
      <c r="J9" s="28" t="s">
        <v>22</v>
      </c>
      <c r="K9" s="60" t="s">
        <v>21</v>
      </c>
      <c r="L9" s="60" t="s">
        <v>21</v>
      </c>
      <c r="M9" s="60" t="s">
        <v>21</v>
      </c>
      <c r="N9" s="60" t="s">
        <v>21</v>
      </c>
      <c r="O9" s="28" t="s">
        <v>22</v>
      </c>
      <c r="P9" s="28" t="s">
        <v>22</v>
      </c>
      <c r="Q9" s="74" t="s">
        <v>23</v>
      </c>
      <c r="R9" s="74" t="s">
        <v>23</v>
      </c>
      <c r="S9" s="74" t="s">
        <v>23</v>
      </c>
      <c r="T9" s="74" t="s">
        <v>23</v>
      </c>
      <c r="U9" s="28" t="s">
        <v>22</v>
      </c>
      <c r="V9" s="28" t="s">
        <v>22</v>
      </c>
      <c r="W9" s="60" t="s">
        <v>21</v>
      </c>
      <c r="X9" s="60" t="s">
        <v>21</v>
      </c>
      <c r="Y9" s="60" t="s">
        <v>21</v>
      </c>
      <c r="Z9" s="60" t="s">
        <v>21</v>
      </c>
      <c r="AA9" s="28" t="s">
        <v>22</v>
      </c>
      <c r="AB9" s="28" t="s">
        <v>22</v>
      </c>
      <c r="AC9" s="74" t="s">
        <v>23</v>
      </c>
      <c r="AD9" s="74" t="s">
        <v>23</v>
      </c>
      <c r="AE9" s="74" t="s">
        <v>23</v>
      </c>
      <c r="AF9" s="74" t="s">
        <v>23</v>
      </c>
      <c r="AG9" s="28" t="s">
        <v>22</v>
      </c>
      <c r="AH9" s="28" t="s">
        <v>22</v>
      </c>
      <c r="AI9" s="90" t="s">
        <v>21</v>
      </c>
      <c r="AJ9" s="19"/>
      <c r="AK9" s="20"/>
      <c r="AL9" s="21">
        <f t="shared" si="0"/>
        <v>0</v>
      </c>
      <c r="AM9" s="20">
        <f t="shared" si="1"/>
        <v>0</v>
      </c>
      <c r="AN9" s="19"/>
      <c r="AO9" s="20"/>
      <c r="AP9" s="21">
        <f t="shared" si="2"/>
        <v>0</v>
      </c>
      <c r="AQ9" s="20">
        <f t="shared" si="3"/>
        <v>0</v>
      </c>
      <c r="AR9" s="19"/>
      <c r="AS9" s="21">
        <f t="shared" si="4"/>
        <v>21</v>
      </c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</row>
    <row r="10" spans="2:60" ht="15" customHeight="1">
      <c r="B10" s="288"/>
      <c r="C10" s="22" t="s">
        <v>37</v>
      </c>
      <c r="D10" s="20" t="s">
        <v>38</v>
      </c>
      <c r="E10" s="74" t="s">
        <v>23</v>
      </c>
      <c r="F10" s="74" t="s">
        <v>23</v>
      </c>
      <c r="G10" s="28" t="s">
        <v>22</v>
      </c>
      <c r="H10" s="28" t="s">
        <v>22</v>
      </c>
      <c r="I10" s="60" t="s">
        <v>21</v>
      </c>
      <c r="J10" s="60" t="s">
        <v>21</v>
      </c>
      <c r="K10" s="60" t="s">
        <v>21</v>
      </c>
      <c r="L10" s="60" t="s">
        <v>21</v>
      </c>
      <c r="M10" s="28" t="s">
        <v>22</v>
      </c>
      <c r="N10" s="28" t="s">
        <v>22</v>
      </c>
      <c r="O10" s="74" t="s">
        <v>23</v>
      </c>
      <c r="P10" s="74" t="s">
        <v>23</v>
      </c>
      <c r="Q10" s="74" t="s">
        <v>23</v>
      </c>
      <c r="R10" s="74" t="s">
        <v>23</v>
      </c>
      <c r="S10" s="28" t="s">
        <v>22</v>
      </c>
      <c r="T10" s="28" t="s">
        <v>22</v>
      </c>
      <c r="U10" s="60" t="s">
        <v>21</v>
      </c>
      <c r="V10" s="60" t="s">
        <v>21</v>
      </c>
      <c r="W10" s="60" t="s">
        <v>21</v>
      </c>
      <c r="X10" s="60" t="s">
        <v>21</v>
      </c>
      <c r="Y10" s="28" t="s">
        <v>22</v>
      </c>
      <c r="Z10" s="28" t="s">
        <v>22</v>
      </c>
      <c r="AA10" s="74" t="s">
        <v>23</v>
      </c>
      <c r="AB10" s="74" t="s">
        <v>23</v>
      </c>
      <c r="AC10" s="74" t="s">
        <v>23</v>
      </c>
      <c r="AD10" s="74" t="s">
        <v>23</v>
      </c>
      <c r="AE10" s="28" t="s">
        <v>22</v>
      </c>
      <c r="AF10" s="28" t="s">
        <v>22</v>
      </c>
      <c r="AG10" s="60" t="s">
        <v>21</v>
      </c>
      <c r="AH10" s="60" t="s">
        <v>21</v>
      </c>
      <c r="AI10" s="90" t="s">
        <v>21</v>
      </c>
      <c r="AJ10" s="19"/>
      <c r="AK10" s="20"/>
      <c r="AL10" s="21">
        <f t="shared" si="0"/>
        <v>0</v>
      </c>
      <c r="AM10" s="20">
        <f t="shared" si="1"/>
        <v>0</v>
      </c>
      <c r="AN10" s="19"/>
      <c r="AO10" s="20"/>
      <c r="AP10" s="21">
        <f t="shared" si="2"/>
        <v>0</v>
      </c>
      <c r="AQ10" s="20">
        <f t="shared" si="3"/>
        <v>0</v>
      </c>
      <c r="AR10" s="19"/>
      <c r="AS10" s="21">
        <f t="shared" si="4"/>
        <v>21</v>
      </c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</row>
    <row r="11" spans="2:60" ht="15" customHeight="1">
      <c r="B11" s="288"/>
      <c r="C11" s="20" t="s">
        <v>39</v>
      </c>
      <c r="D11" s="20" t="s">
        <v>40</v>
      </c>
      <c r="E11" s="60" t="s">
        <v>21</v>
      </c>
      <c r="F11" s="60" t="s">
        <v>21</v>
      </c>
      <c r="G11" s="60" t="s">
        <v>21</v>
      </c>
      <c r="H11" s="60" t="s">
        <v>21</v>
      </c>
      <c r="I11" s="28" t="s">
        <v>22</v>
      </c>
      <c r="J11" s="28" t="s">
        <v>22</v>
      </c>
      <c r="K11" s="74" t="s">
        <v>23</v>
      </c>
      <c r="L11" s="74" t="s">
        <v>23</v>
      </c>
      <c r="M11" s="74" t="s">
        <v>23</v>
      </c>
      <c r="N11" s="74" t="s">
        <v>23</v>
      </c>
      <c r="O11" s="28" t="s">
        <v>22</v>
      </c>
      <c r="P11" s="28" t="s">
        <v>22</v>
      </c>
      <c r="Q11" s="60" t="s">
        <v>21</v>
      </c>
      <c r="R11" s="60" t="s">
        <v>21</v>
      </c>
      <c r="S11" s="60" t="s">
        <v>21</v>
      </c>
      <c r="T11" s="60" t="s">
        <v>21</v>
      </c>
      <c r="U11" s="28" t="s">
        <v>22</v>
      </c>
      <c r="V11" s="28" t="s">
        <v>22</v>
      </c>
      <c r="W11" s="74" t="s">
        <v>23</v>
      </c>
      <c r="X11" s="74" t="s">
        <v>23</v>
      </c>
      <c r="Y11" s="74" t="s">
        <v>23</v>
      </c>
      <c r="Z11" s="74" t="s">
        <v>23</v>
      </c>
      <c r="AA11" s="28" t="s">
        <v>22</v>
      </c>
      <c r="AB11" s="28" t="s">
        <v>22</v>
      </c>
      <c r="AC11" s="60" t="s">
        <v>21</v>
      </c>
      <c r="AD11" s="60" t="s">
        <v>21</v>
      </c>
      <c r="AE11" s="60" t="s">
        <v>21</v>
      </c>
      <c r="AF11" s="60" t="s">
        <v>21</v>
      </c>
      <c r="AG11" s="28" t="s">
        <v>22</v>
      </c>
      <c r="AH11" s="28" t="s">
        <v>22</v>
      </c>
      <c r="AI11" s="89" t="s">
        <v>23</v>
      </c>
      <c r="AJ11" s="19"/>
      <c r="AK11" s="20"/>
      <c r="AL11" s="21">
        <f t="shared" si="0"/>
        <v>0</v>
      </c>
      <c r="AM11" s="20">
        <f t="shared" si="1"/>
        <v>0</v>
      </c>
      <c r="AN11" s="19"/>
      <c r="AO11" s="20"/>
      <c r="AP11" s="21">
        <f t="shared" si="2"/>
        <v>0</v>
      </c>
      <c r="AQ11" s="20">
        <f t="shared" si="3"/>
        <v>0</v>
      </c>
      <c r="AR11" s="19"/>
      <c r="AS11" s="21">
        <f t="shared" si="4"/>
        <v>21</v>
      </c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</row>
    <row r="12" spans="2:60" ht="15" customHeight="1">
      <c r="B12" s="288"/>
      <c r="C12" s="108" t="s">
        <v>43</v>
      </c>
      <c r="D12" s="109" t="s">
        <v>44</v>
      </c>
      <c r="E12" s="110" t="s">
        <v>22</v>
      </c>
      <c r="F12" s="110" t="s">
        <v>22</v>
      </c>
      <c r="G12" s="111" t="s">
        <v>21</v>
      </c>
      <c r="H12" s="111" t="s">
        <v>21</v>
      </c>
      <c r="I12" s="111" t="s">
        <v>21</v>
      </c>
      <c r="J12" s="111" t="s">
        <v>21</v>
      </c>
      <c r="K12" s="110" t="s">
        <v>22</v>
      </c>
      <c r="L12" s="110" t="s">
        <v>22</v>
      </c>
      <c r="M12" s="112" t="s">
        <v>23</v>
      </c>
      <c r="N12" s="112" t="s">
        <v>23</v>
      </c>
      <c r="O12" s="112" t="s">
        <v>23</v>
      </c>
      <c r="P12" s="112" t="s">
        <v>23</v>
      </c>
      <c r="Q12" s="110" t="s">
        <v>22</v>
      </c>
      <c r="R12" s="110" t="s">
        <v>22</v>
      </c>
      <c r="S12" s="111" t="s">
        <v>21</v>
      </c>
      <c r="T12" s="111" t="s">
        <v>21</v>
      </c>
      <c r="U12" s="111" t="s">
        <v>21</v>
      </c>
      <c r="V12" s="111" t="s">
        <v>21</v>
      </c>
      <c r="W12" s="110" t="s">
        <v>22</v>
      </c>
      <c r="X12" s="110" t="s">
        <v>22</v>
      </c>
      <c r="Y12" s="112" t="s">
        <v>23</v>
      </c>
      <c r="Z12" s="112" t="s">
        <v>23</v>
      </c>
      <c r="AA12" s="112" t="s">
        <v>23</v>
      </c>
      <c r="AB12" s="112" t="s">
        <v>23</v>
      </c>
      <c r="AC12" s="110" t="s">
        <v>22</v>
      </c>
      <c r="AD12" s="110" t="s">
        <v>22</v>
      </c>
      <c r="AE12" s="111" t="s">
        <v>21</v>
      </c>
      <c r="AF12" s="111" t="s">
        <v>21</v>
      </c>
      <c r="AG12" s="111" t="s">
        <v>21</v>
      </c>
      <c r="AH12" s="111" t="s">
        <v>21</v>
      </c>
      <c r="AI12" s="113" t="s">
        <v>22</v>
      </c>
      <c r="AJ12" s="19"/>
      <c r="AK12" s="20"/>
      <c r="AL12" s="21">
        <f t="shared" si="0"/>
        <v>0</v>
      </c>
      <c r="AM12" s="20">
        <f t="shared" si="1"/>
        <v>0</v>
      </c>
      <c r="AN12" s="19"/>
      <c r="AO12" s="20"/>
      <c r="AP12" s="21">
        <f t="shared" si="2"/>
        <v>0</v>
      </c>
      <c r="AQ12" s="20">
        <f t="shared" si="3"/>
        <v>0</v>
      </c>
      <c r="AR12" s="19"/>
      <c r="AS12" s="21">
        <f t="shared" si="4"/>
        <v>20</v>
      </c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</row>
    <row r="13" spans="2:60">
      <c r="B13" s="280" t="s">
        <v>45</v>
      </c>
      <c r="C13" s="88" t="s">
        <v>46</v>
      </c>
      <c r="D13" s="88" t="s">
        <v>47</v>
      </c>
      <c r="E13" s="104" t="s">
        <v>21</v>
      </c>
      <c r="F13" s="104" t="s">
        <v>21</v>
      </c>
      <c r="G13" s="104" t="s">
        <v>21</v>
      </c>
      <c r="H13" s="104" t="s">
        <v>21</v>
      </c>
      <c r="I13" s="103" t="s">
        <v>22</v>
      </c>
      <c r="J13" s="103" t="s">
        <v>22</v>
      </c>
      <c r="K13" s="102" t="s">
        <v>23</v>
      </c>
      <c r="L13" s="102" t="s">
        <v>23</v>
      </c>
      <c r="M13" s="102" t="s">
        <v>23</v>
      </c>
      <c r="N13" s="102" t="s">
        <v>23</v>
      </c>
      <c r="O13" s="103" t="s">
        <v>22</v>
      </c>
      <c r="P13" s="103" t="s">
        <v>22</v>
      </c>
      <c r="Q13" s="104" t="s">
        <v>21</v>
      </c>
      <c r="R13" s="104" t="s">
        <v>21</v>
      </c>
      <c r="S13" s="104" t="s">
        <v>21</v>
      </c>
      <c r="T13" s="104" t="s">
        <v>21</v>
      </c>
      <c r="U13" s="103" t="s">
        <v>22</v>
      </c>
      <c r="V13" s="103" t="s">
        <v>22</v>
      </c>
      <c r="W13" s="104" t="s">
        <v>21</v>
      </c>
      <c r="X13" s="104" t="s">
        <v>21</v>
      </c>
      <c r="Y13" s="104" t="s">
        <v>21</v>
      </c>
      <c r="Z13" s="104" t="s">
        <v>21</v>
      </c>
      <c r="AA13" s="103" t="s">
        <v>22</v>
      </c>
      <c r="AB13" s="103" t="s">
        <v>22</v>
      </c>
      <c r="AC13" s="115" t="s">
        <v>29</v>
      </c>
      <c r="AD13" s="115" t="s">
        <v>29</v>
      </c>
      <c r="AE13" s="115" t="s">
        <v>29</v>
      </c>
      <c r="AF13" s="115" t="s">
        <v>29</v>
      </c>
      <c r="AG13" s="103" t="s">
        <v>22</v>
      </c>
      <c r="AH13" s="103" t="s">
        <v>22</v>
      </c>
      <c r="AI13" s="105" t="s">
        <v>23</v>
      </c>
      <c r="AJ13" s="19"/>
      <c r="AK13" s="20"/>
      <c r="AL13" s="21">
        <f t="shared" si="0"/>
        <v>0</v>
      </c>
      <c r="AM13" s="20">
        <f t="shared" si="1"/>
        <v>0</v>
      </c>
      <c r="AN13" s="19"/>
      <c r="AO13" s="20"/>
      <c r="AP13" s="21">
        <f t="shared" si="2"/>
        <v>0</v>
      </c>
      <c r="AQ13" s="20">
        <f t="shared" si="3"/>
        <v>0</v>
      </c>
      <c r="AR13" s="19"/>
      <c r="AS13" s="21">
        <f t="shared" si="4"/>
        <v>21</v>
      </c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</row>
    <row r="14" spans="2:60">
      <c r="B14" s="276"/>
      <c r="C14" s="22" t="s">
        <v>48</v>
      </c>
      <c r="D14" s="20" t="s">
        <v>49</v>
      </c>
      <c r="E14" s="74" t="s">
        <v>23</v>
      </c>
      <c r="F14" s="74" t="s">
        <v>23</v>
      </c>
      <c r="G14" s="28" t="s">
        <v>22</v>
      </c>
      <c r="H14" s="28" t="s">
        <v>22</v>
      </c>
      <c r="I14" s="60" t="s">
        <v>21</v>
      </c>
      <c r="J14" s="60" t="s">
        <v>21</v>
      </c>
      <c r="K14" s="60" t="s">
        <v>21</v>
      </c>
      <c r="L14" s="60" t="s">
        <v>21</v>
      </c>
      <c r="M14" s="28" t="s">
        <v>22</v>
      </c>
      <c r="N14" s="28" t="s">
        <v>22</v>
      </c>
      <c r="O14" s="74" t="s">
        <v>23</v>
      </c>
      <c r="P14" s="74" t="s">
        <v>23</v>
      </c>
      <c r="Q14" s="74" t="s">
        <v>23</v>
      </c>
      <c r="R14" s="74" t="s">
        <v>23</v>
      </c>
      <c r="S14" s="28" t="s">
        <v>22</v>
      </c>
      <c r="T14" s="28" t="s">
        <v>22</v>
      </c>
      <c r="U14" s="74" t="s">
        <v>23</v>
      </c>
      <c r="V14" s="74" t="s">
        <v>23</v>
      </c>
      <c r="W14" s="74" t="s">
        <v>23</v>
      </c>
      <c r="X14" s="74" t="s">
        <v>23</v>
      </c>
      <c r="Y14" s="28" t="s">
        <v>22</v>
      </c>
      <c r="Z14" s="28" t="s">
        <v>22</v>
      </c>
      <c r="AA14" s="60" t="s">
        <v>21</v>
      </c>
      <c r="AB14" s="60" t="s">
        <v>21</v>
      </c>
      <c r="AC14" s="60" t="s">
        <v>21</v>
      </c>
      <c r="AD14" s="60" t="s">
        <v>21</v>
      </c>
      <c r="AE14" s="28" t="s">
        <v>22</v>
      </c>
      <c r="AF14" s="28" t="s">
        <v>22</v>
      </c>
      <c r="AG14" s="78" t="s">
        <v>29</v>
      </c>
      <c r="AH14" s="78" t="s">
        <v>29</v>
      </c>
      <c r="AI14" s="107" t="s">
        <v>29</v>
      </c>
      <c r="AJ14" s="19"/>
      <c r="AK14" s="20"/>
      <c r="AL14" s="21">
        <f t="shared" si="0"/>
        <v>0</v>
      </c>
      <c r="AM14" s="20">
        <f t="shared" si="1"/>
        <v>0</v>
      </c>
      <c r="AN14" s="19"/>
      <c r="AO14" s="20"/>
      <c r="AP14" s="21">
        <f t="shared" si="2"/>
        <v>0</v>
      </c>
      <c r="AQ14" s="20">
        <f t="shared" si="3"/>
        <v>0</v>
      </c>
      <c r="AR14" s="19"/>
      <c r="AS14" s="21">
        <f t="shared" si="4"/>
        <v>21</v>
      </c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</row>
    <row r="15" spans="2:60">
      <c r="B15" s="276"/>
      <c r="C15" s="20" t="s">
        <v>50</v>
      </c>
      <c r="D15" s="20" t="s">
        <v>51</v>
      </c>
      <c r="E15" s="28" t="s">
        <v>22</v>
      </c>
      <c r="F15" s="28" t="s">
        <v>22</v>
      </c>
      <c r="G15" s="74" t="s">
        <v>23</v>
      </c>
      <c r="H15" s="74" t="s">
        <v>23</v>
      </c>
      <c r="I15" s="74" t="s">
        <v>23</v>
      </c>
      <c r="J15" s="74" t="s">
        <v>23</v>
      </c>
      <c r="K15" s="28" t="s">
        <v>22</v>
      </c>
      <c r="L15" s="28" t="s">
        <v>22</v>
      </c>
      <c r="M15" s="60" t="s">
        <v>21</v>
      </c>
      <c r="N15" s="60" t="s">
        <v>21</v>
      </c>
      <c r="O15" s="60" t="s">
        <v>21</v>
      </c>
      <c r="P15" s="60" t="s">
        <v>21</v>
      </c>
      <c r="Q15" s="28" t="s">
        <v>22</v>
      </c>
      <c r="R15" s="75" t="s">
        <v>26</v>
      </c>
      <c r="S15" s="75" t="s">
        <v>176</v>
      </c>
      <c r="T15" s="74" t="s">
        <v>23</v>
      </c>
      <c r="U15" s="74" t="s">
        <v>23</v>
      </c>
      <c r="V15" s="74" t="s">
        <v>23</v>
      </c>
      <c r="W15" s="28" t="s">
        <v>22</v>
      </c>
      <c r="X15" s="28" t="s">
        <v>22</v>
      </c>
      <c r="Y15" s="60" t="s">
        <v>21</v>
      </c>
      <c r="Z15" s="60" t="s">
        <v>21</v>
      </c>
      <c r="AA15" s="60" t="s">
        <v>21</v>
      </c>
      <c r="AB15" s="60" t="s">
        <v>21</v>
      </c>
      <c r="AC15" s="28" t="s">
        <v>22</v>
      </c>
      <c r="AD15" s="28" t="s">
        <v>22</v>
      </c>
      <c r="AE15" s="74" t="s">
        <v>23</v>
      </c>
      <c r="AF15" s="74" t="s">
        <v>23</v>
      </c>
      <c r="AG15" s="74" t="s">
        <v>23</v>
      </c>
      <c r="AH15" s="74" t="s">
        <v>23</v>
      </c>
      <c r="AI15" s="91" t="s">
        <v>22</v>
      </c>
      <c r="AJ15" s="19"/>
      <c r="AK15" s="20"/>
      <c r="AL15" s="21">
        <f t="shared" si="0"/>
        <v>0</v>
      </c>
      <c r="AM15" s="20">
        <f t="shared" si="1"/>
        <v>0</v>
      </c>
      <c r="AN15" s="19"/>
      <c r="AO15" s="20"/>
      <c r="AP15" s="21">
        <f t="shared" si="2"/>
        <v>0</v>
      </c>
      <c r="AQ15" s="20">
        <f t="shared" si="3"/>
        <v>0</v>
      </c>
      <c r="AR15" s="19"/>
      <c r="AS15" s="21">
        <f t="shared" si="4"/>
        <v>19</v>
      </c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</row>
    <row r="16" spans="2:60" ht="14.25">
      <c r="B16" s="276"/>
      <c r="C16" s="22" t="s">
        <v>52</v>
      </c>
      <c r="D16" s="20" t="s">
        <v>53</v>
      </c>
      <c r="E16" s="60" t="s">
        <v>21</v>
      </c>
      <c r="F16" s="60" t="s">
        <v>21</v>
      </c>
      <c r="G16" s="60" t="s">
        <v>21</v>
      </c>
      <c r="H16" s="60" t="s">
        <v>21</v>
      </c>
      <c r="I16" s="28" t="s">
        <v>22</v>
      </c>
      <c r="J16" s="28" t="s">
        <v>22</v>
      </c>
      <c r="K16" s="74" t="s">
        <v>23</v>
      </c>
      <c r="L16" s="74" t="s">
        <v>23</v>
      </c>
      <c r="M16" s="74" t="s">
        <v>23</v>
      </c>
      <c r="N16" s="74" t="s">
        <v>23</v>
      </c>
      <c r="O16" s="28" t="s">
        <v>22</v>
      </c>
      <c r="P16" s="28" t="s">
        <v>22</v>
      </c>
      <c r="Q16" s="60" t="s">
        <v>21</v>
      </c>
      <c r="R16" s="60" t="s">
        <v>21</v>
      </c>
      <c r="S16" s="60" t="s">
        <v>21</v>
      </c>
      <c r="T16" s="60" t="s">
        <v>21</v>
      </c>
      <c r="U16" s="28" t="s">
        <v>22</v>
      </c>
      <c r="V16" s="28" t="s">
        <v>22</v>
      </c>
      <c r="W16" s="74" t="s">
        <v>23</v>
      </c>
      <c r="X16" s="74" t="s">
        <v>23</v>
      </c>
      <c r="Y16" s="74" t="s">
        <v>23</v>
      </c>
      <c r="Z16" s="74" t="s">
        <v>23</v>
      </c>
      <c r="AA16" s="28" t="s">
        <v>22</v>
      </c>
      <c r="AB16" s="28" t="s">
        <v>22</v>
      </c>
      <c r="AC16" s="60" t="s">
        <v>21</v>
      </c>
      <c r="AD16" s="60" t="s">
        <v>21</v>
      </c>
      <c r="AE16" s="60" t="s">
        <v>21</v>
      </c>
      <c r="AF16" s="60" t="s">
        <v>21</v>
      </c>
      <c r="AG16" s="28" t="s">
        <v>22</v>
      </c>
      <c r="AH16" s="28" t="s">
        <v>22</v>
      </c>
      <c r="AI16" s="89" t="s">
        <v>23</v>
      </c>
      <c r="AJ16" s="19"/>
      <c r="AK16" s="20"/>
      <c r="AL16" s="21">
        <f t="shared" si="0"/>
        <v>0</v>
      </c>
      <c r="AM16" s="20">
        <f t="shared" si="1"/>
        <v>0</v>
      </c>
      <c r="AN16" s="19"/>
      <c r="AO16" s="20"/>
      <c r="AP16" s="21">
        <f t="shared" si="2"/>
        <v>0</v>
      </c>
      <c r="AQ16" s="20">
        <f t="shared" si="3"/>
        <v>0</v>
      </c>
      <c r="AR16" s="19"/>
      <c r="AS16" s="21">
        <f t="shared" si="4"/>
        <v>21</v>
      </c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</row>
    <row r="17" spans="2:60" ht="15" customHeight="1">
      <c r="B17" s="276"/>
      <c r="C17" s="22" t="s">
        <v>54</v>
      </c>
      <c r="D17" s="20" t="s">
        <v>55</v>
      </c>
      <c r="E17" s="74" t="s">
        <v>23</v>
      </c>
      <c r="F17" s="74" t="s">
        <v>23</v>
      </c>
      <c r="G17" s="28" t="s">
        <v>22</v>
      </c>
      <c r="H17" s="28" t="s">
        <v>22</v>
      </c>
      <c r="I17" s="60" t="s">
        <v>21</v>
      </c>
      <c r="J17" s="60" t="s">
        <v>21</v>
      </c>
      <c r="K17" s="60" t="s">
        <v>21</v>
      </c>
      <c r="L17" s="60" t="s">
        <v>21</v>
      </c>
      <c r="M17" s="28" t="s">
        <v>22</v>
      </c>
      <c r="N17" s="28" t="s">
        <v>22</v>
      </c>
      <c r="O17" s="74" t="s">
        <v>23</v>
      </c>
      <c r="P17" s="74" t="s">
        <v>23</v>
      </c>
      <c r="Q17" s="74" t="s">
        <v>23</v>
      </c>
      <c r="R17" s="74" t="s">
        <v>23</v>
      </c>
      <c r="S17" s="28" t="s">
        <v>22</v>
      </c>
      <c r="T17" s="28" t="s">
        <v>22</v>
      </c>
      <c r="U17" s="60" t="s">
        <v>21</v>
      </c>
      <c r="V17" s="60" t="s">
        <v>21</v>
      </c>
      <c r="W17" s="60" t="s">
        <v>21</v>
      </c>
      <c r="X17" s="60" t="s">
        <v>21</v>
      </c>
      <c r="Y17" s="28" t="s">
        <v>22</v>
      </c>
      <c r="Z17" s="28" t="s">
        <v>22</v>
      </c>
      <c r="AA17" s="74" t="s">
        <v>23</v>
      </c>
      <c r="AB17" s="74" t="s">
        <v>23</v>
      </c>
      <c r="AC17" s="74" t="s">
        <v>23</v>
      </c>
      <c r="AD17" s="74" t="s">
        <v>23</v>
      </c>
      <c r="AE17" s="28" t="s">
        <v>22</v>
      </c>
      <c r="AF17" s="28" t="s">
        <v>22</v>
      </c>
      <c r="AG17" s="60" t="s">
        <v>21</v>
      </c>
      <c r="AH17" s="60" t="s">
        <v>21</v>
      </c>
      <c r="AI17" s="90" t="s">
        <v>21</v>
      </c>
      <c r="AJ17" s="19"/>
      <c r="AK17" s="20"/>
      <c r="AL17" s="21">
        <f t="shared" si="0"/>
        <v>0</v>
      </c>
      <c r="AM17" s="20">
        <f t="shared" si="1"/>
        <v>0</v>
      </c>
      <c r="AN17" s="19"/>
      <c r="AO17" s="20"/>
      <c r="AP17" s="21">
        <f t="shared" si="2"/>
        <v>0</v>
      </c>
      <c r="AQ17" s="20">
        <f t="shared" si="3"/>
        <v>0</v>
      </c>
      <c r="AR17" s="19"/>
      <c r="AS17" s="21">
        <f t="shared" si="4"/>
        <v>21</v>
      </c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</row>
    <row r="18" spans="2:60">
      <c r="B18" s="276"/>
      <c r="C18" s="22" t="s">
        <v>56</v>
      </c>
      <c r="D18" s="20" t="s">
        <v>57</v>
      </c>
      <c r="E18" s="28" t="s">
        <v>22</v>
      </c>
      <c r="F18" s="28" t="s">
        <v>22</v>
      </c>
      <c r="G18" s="74" t="s">
        <v>23</v>
      </c>
      <c r="H18" s="74" t="s">
        <v>23</v>
      </c>
      <c r="I18" s="74" t="s">
        <v>23</v>
      </c>
      <c r="J18" s="74" t="s">
        <v>23</v>
      </c>
      <c r="K18" s="28" t="s">
        <v>22</v>
      </c>
      <c r="L18" s="28" t="s">
        <v>22</v>
      </c>
      <c r="M18" s="60" t="s">
        <v>21</v>
      </c>
      <c r="N18" s="60" t="s">
        <v>21</v>
      </c>
      <c r="O18" s="60" t="s">
        <v>21</v>
      </c>
      <c r="P18" s="60" t="s">
        <v>21</v>
      </c>
      <c r="Q18" s="28" t="s">
        <v>22</v>
      </c>
      <c r="R18" s="28" t="s">
        <v>22</v>
      </c>
      <c r="S18" s="74" t="s">
        <v>23</v>
      </c>
      <c r="T18" s="74" t="s">
        <v>23</v>
      </c>
      <c r="U18" s="74" t="s">
        <v>23</v>
      </c>
      <c r="V18" s="74" t="s">
        <v>23</v>
      </c>
      <c r="W18" s="28" t="s">
        <v>22</v>
      </c>
      <c r="X18" s="28" t="s">
        <v>22</v>
      </c>
      <c r="Y18" s="60" t="s">
        <v>21</v>
      </c>
      <c r="Z18" s="60" t="s">
        <v>21</v>
      </c>
      <c r="AA18" s="60" t="s">
        <v>21</v>
      </c>
      <c r="AB18" s="60" t="s">
        <v>21</v>
      </c>
      <c r="AC18" s="28" t="s">
        <v>22</v>
      </c>
      <c r="AD18" s="28" t="s">
        <v>22</v>
      </c>
      <c r="AE18" s="74" t="s">
        <v>23</v>
      </c>
      <c r="AF18" s="74" t="s">
        <v>23</v>
      </c>
      <c r="AG18" s="74" t="s">
        <v>23</v>
      </c>
      <c r="AH18" s="74" t="s">
        <v>23</v>
      </c>
      <c r="AI18" s="91" t="s">
        <v>22</v>
      </c>
      <c r="AJ18" s="19"/>
      <c r="AK18" s="20"/>
      <c r="AL18" s="21">
        <f t="shared" si="0"/>
        <v>0</v>
      </c>
      <c r="AM18" s="20">
        <f t="shared" si="1"/>
        <v>0</v>
      </c>
      <c r="AN18" s="19"/>
      <c r="AO18" s="20"/>
      <c r="AP18" s="21">
        <f t="shared" si="2"/>
        <v>0</v>
      </c>
      <c r="AQ18" s="20">
        <f t="shared" si="3"/>
        <v>0</v>
      </c>
      <c r="AR18" s="19"/>
      <c r="AS18" s="21">
        <f t="shared" si="4"/>
        <v>20</v>
      </c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</row>
    <row r="19" spans="2:60">
      <c r="B19" s="276"/>
      <c r="C19" s="20" t="s">
        <v>58</v>
      </c>
      <c r="D19" s="20" t="s">
        <v>59</v>
      </c>
      <c r="E19" s="78" t="s">
        <v>29</v>
      </c>
      <c r="F19" s="78" t="s">
        <v>29</v>
      </c>
      <c r="G19" s="78" t="s">
        <v>29</v>
      </c>
      <c r="H19" s="78" t="s">
        <v>29</v>
      </c>
      <c r="I19" s="28" t="s">
        <v>22</v>
      </c>
      <c r="J19" s="28" t="s">
        <v>22</v>
      </c>
      <c r="K19" s="74" t="s">
        <v>23</v>
      </c>
      <c r="L19" s="74" t="s">
        <v>23</v>
      </c>
      <c r="M19" s="74" t="s">
        <v>23</v>
      </c>
      <c r="N19" s="74" t="s">
        <v>23</v>
      </c>
      <c r="O19" s="28" t="s">
        <v>22</v>
      </c>
      <c r="P19" s="28" t="s">
        <v>22</v>
      </c>
      <c r="Q19" s="60" t="s">
        <v>21</v>
      </c>
      <c r="R19" s="60" t="s">
        <v>21</v>
      </c>
      <c r="S19" s="60" t="s">
        <v>21</v>
      </c>
      <c r="T19" s="60" t="s">
        <v>21</v>
      </c>
      <c r="U19" s="28" t="s">
        <v>22</v>
      </c>
      <c r="V19" s="28" t="s">
        <v>22</v>
      </c>
      <c r="W19" s="74" t="s">
        <v>23</v>
      </c>
      <c r="X19" s="74" t="s">
        <v>23</v>
      </c>
      <c r="Y19" s="74" t="s">
        <v>23</v>
      </c>
      <c r="Z19" s="74" t="s">
        <v>23</v>
      </c>
      <c r="AA19" s="28" t="s">
        <v>22</v>
      </c>
      <c r="AB19" s="28" t="s">
        <v>22</v>
      </c>
      <c r="AC19" s="60" t="s">
        <v>21</v>
      </c>
      <c r="AD19" s="60" t="s">
        <v>21</v>
      </c>
      <c r="AE19" s="60" t="s">
        <v>21</v>
      </c>
      <c r="AF19" s="60" t="s">
        <v>21</v>
      </c>
      <c r="AG19" s="28" t="s">
        <v>22</v>
      </c>
      <c r="AH19" s="28" t="s">
        <v>22</v>
      </c>
      <c r="AI19" s="89" t="s">
        <v>23</v>
      </c>
      <c r="AJ19" s="19"/>
      <c r="AK19" s="20"/>
      <c r="AL19" s="21">
        <f t="shared" si="0"/>
        <v>0</v>
      </c>
      <c r="AM19" s="20">
        <f t="shared" si="1"/>
        <v>0</v>
      </c>
      <c r="AN19" s="19"/>
      <c r="AO19" s="26"/>
      <c r="AP19" s="21">
        <f t="shared" si="2"/>
        <v>0</v>
      </c>
      <c r="AQ19" s="44">
        <f t="shared" si="3"/>
        <v>0</v>
      </c>
      <c r="AR19" s="19"/>
      <c r="AS19" s="21">
        <f t="shared" si="4"/>
        <v>21</v>
      </c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</row>
    <row r="20" spans="2:60" ht="14.25">
      <c r="B20" s="276"/>
      <c r="C20" s="22" t="s">
        <v>60</v>
      </c>
      <c r="D20" s="20" t="s">
        <v>61</v>
      </c>
      <c r="E20" s="74" t="s">
        <v>23</v>
      </c>
      <c r="F20" s="74" t="s">
        <v>23</v>
      </c>
      <c r="G20" s="28" t="s">
        <v>22</v>
      </c>
      <c r="H20" s="28" t="s">
        <v>22</v>
      </c>
      <c r="I20" s="78" t="s">
        <v>29</v>
      </c>
      <c r="J20" s="78" t="s">
        <v>29</v>
      </c>
      <c r="K20" s="78" t="s">
        <v>29</v>
      </c>
      <c r="L20" s="78" t="s">
        <v>29</v>
      </c>
      <c r="M20" s="28" t="s">
        <v>22</v>
      </c>
      <c r="N20" s="28" t="s">
        <v>22</v>
      </c>
      <c r="O20" s="74" t="s">
        <v>23</v>
      </c>
      <c r="P20" s="74" t="s">
        <v>23</v>
      </c>
      <c r="Q20" s="74" t="s">
        <v>23</v>
      </c>
      <c r="R20" s="74" t="s">
        <v>23</v>
      </c>
      <c r="S20" s="28" t="s">
        <v>22</v>
      </c>
      <c r="T20" s="28" t="s">
        <v>22</v>
      </c>
      <c r="U20" s="60" t="s">
        <v>21</v>
      </c>
      <c r="V20" s="60" t="s">
        <v>21</v>
      </c>
      <c r="W20" s="60" t="s">
        <v>21</v>
      </c>
      <c r="X20" s="60" t="s">
        <v>21</v>
      </c>
      <c r="Y20" s="28" t="s">
        <v>22</v>
      </c>
      <c r="Z20" s="28" t="s">
        <v>22</v>
      </c>
      <c r="AA20" s="74" t="s">
        <v>23</v>
      </c>
      <c r="AB20" s="74" t="s">
        <v>23</v>
      </c>
      <c r="AC20" s="74" t="s">
        <v>23</v>
      </c>
      <c r="AD20" s="74" t="s">
        <v>23</v>
      </c>
      <c r="AE20" s="28" t="s">
        <v>22</v>
      </c>
      <c r="AF20" s="28" t="s">
        <v>22</v>
      </c>
      <c r="AG20" s="60" t="s">
        <v>21</v>
      </c>
      <c r="AH20" s="60" t="s">
        <v>21</v>
      </c>
      <c r="AI20" s="90" t="s">
        <v>21</v>
      </c>
      <c r="AJ20" s="19"/>
      <c r="AK20" s="20"/>
      <c r="AL20" s="21">
        <f t="shared" si="0"/>
        <v>0</v>
      </c>
      <c r="AM20" s="20">
        <f t="shared" si="1"/>
        <v>0</v>
      </c>
      <c r="AN20" s="19"/>
      <c r="AO20" s="20"/>
      <c r="AP20" s="21">
        <f t="shared" si="2"/>
        <v>0</v>
      </c>
      <c r="AQ20" s="20">
        <f t="shared" si="3"/>
        <v>0</v>
      </c>
      <c r="AR20" s="19"/>
      <c r="AS20" s="21">
        <f t="shared" si="4"/>
        <v>21</v>
      </c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</row>
    <row r="21" spans="2:60">
      <c r="B21" s="276"/>
      <c r="C21" s="20" t="s">
        <v>62</v>
      </c>
      <c r="D21" s="20" t="s">
        <v>63</v>
      </c>
      <c r="E21" s="28" t="s">
        <v>22</v>
      </c>
      <c r="F21" s="28" t="s">
        <v>22</v>
      </c>
      <c r="G21" s="60" t="s">
        <v>21</v>
      </c>
      <c r="H21" s="60" t="s">
        <v>21</v>
      </c>
      <c r="I21" s="60" t="s">
        <v>21</v>
      </c>
      <c r="J21" s="60" t="s">
        <v>21</v>
      </c>
      <c r="K21" s="28" t="s">
        <v>22</v>
      </c>
      <c r="L21" s="28" t="s">
        <v>22</v>
      </c>
      <c r="M21" s="78" t="s">
        <v>29</v>
      </c>
      <c r="N21" s="78" t="s">
        <v>29</v>
      </c>
      <c r="O21" s="78" t="s">
        <v>29</v>
      </c>
      <c r="P21" s="78" t="s">
        <v>29</v>
      </c>
      <c r="Q21" s="28" t="s">
        <v>22</v>
      </c>
      <c r="R21" s="28" t="s">
        <v>22</v>
      </c>
      <c r="S21" s="74" t="s">
        <v>23</v>
      </c>
      <c r="T21" s="74" t="s">
        <v>23</v>
      </c>
      <c r="U21" s="74" t="s">
        <v>23</v>
      </c>
      <c r="V21" s="74" t="s">
        <v>23</v>
      </c>
      <c r="W21" s="28" t="s">
        <v>22</v>
      </c>
      <c r="X21" s="28" t="s">
        <v>22</v>
      </c>
      <c r="Y21" s="60" t="s">
        <v>21</v>
      </c>
      <c r="Z21" s="60" t="s">
        <v>21</v>
      </c>
      <c r="AA21" s="60" t="s">
        <v>21</v>
      </c>
      <c r="AB21" s="60" t="s">
        <v>21</v>
      </c>
      <c r="AC21" s="28" t="s">
        <v>22</v>
      </c>
      <c r="AD21" s="28" t="s">
        <v>22</v>
      </c>
      <c r="AE21" s="74" t="s">
        <v>23</v>
      </c>
      <c r="AF21" s="74" t="s">
        <v>23</v>
      </c>
      <c r="AG21" s="74" t="s">
        <v>23</v>
      </c>
      <c r="AH21" s="74" t="s">
        <v>23</v>
      </c>
      <c r="AI21" s="91" t="s">
        <v>22</v>
      </c>
      <c r="AJ21" s="19"/>
      <c r="AK21" s="20"/>
      <c r="AL21" s="21">
        <f t="shared" si="0"/>
        <v>0</v>
      </c>
      <c r="AM21" s="20">
        <f t="shared" si="1"/>
        <v>0</v>
      </c>
      <c r="AN21" s="19"/>
      <c r="AO21" s="20"/>
      <c r="AP21" s="21">
        <f t="shared" si="2"/>
        <v>0</v>
      </c>
      <c r="AQ21" s="20">
        <f t="shared" si="3"/>
        <v>0</v>
      </c>
      <c r="AR21" s="19"/>
      <c r="AS21" s="21">
        <f t="shared" si="4"/>
        <v>20</v>
      </c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</row>
    <row r="22" spans="2:60">
      <c r="B22" s="276"/>
      <c r="C22" s="86" t="s">
        <v>64</v>
      </c>
      <c r="D22" s="87" t="s">
        <v>65</v>
      </c>
      <c r="E22" s="60" t="s">
        <v>21</v>
      </c>
      <c r="F22" s="60" t="s">
        <v>21</v>
      </c>
      <c r="G22" s="60" t="s">
        <v>21</v>
      </c>
      <c r="H22" s="60" t="s">
        <v>21</v>
      </c>
      <c r="I22" s="28" t="s">
        <v>22</v>
      </c>
      <c r="J22" s="28" t="s">
        <v>22</v>
      </c>
      <c r="K22" s="74" t="s">
        <v>23</v>
      </c>
      <c r="L22" s="74" t="s">
        <v>23</v>
      </c>
      <c r="M22" s="74" t="s">
        <v>23</v>
      </c>
      <c r="N22" s="74" t="s">
        <v>23</v>
      </c>
      <c r="O22" s="28" t="s">
        <v>22</v>
      </c>
      <c r="P22" s="28" t="s">
        <v>22</v>
      </c>
      <c r="Q22" s="78" t="s">
        <v>29</v>
      </c>
      <c r="R22" s="78" t="s">
        <v>29</v>
      </c>
      <c r="S22" s="78" t="s">
        <v>29</v>
      </c>
      <c r="T22" s="78" t="s">
        <v>29</v>
      </c>
      <c r="U22" s="28" t="s">
        <v>22</v>
      </c>
      <c r="V22" s="28" t="s">
        <v>22</v>
      </c>
      <c r="W22" s="74" t="s">
        <v>23</v>
      </c>
      <c r="X22" s="74" t="s">
        <v>23</v>
      </c>
      <c r="Y22" s="74" t="s">
        <v>23</v>
      </c>
      <c r="Z22" s="74" t="s">
        <v>23</v>
      </c>
      <c r="AA22" s="28" t="s">
        <v>22</v>
      </c>
      <c r="AB22" s="28" t="s">
        <v>22</v>
      </c>
      <c r="AC22" s="60" t="s">
        <v>21</v>
      </c>
      <c r="AD22" s="60" t="s">
        <v>21</v>
      </c>
      <c r="AE22" s="60" t="s">
        <v>21</v>
      </c>
      <c r="AF22" s="60" t="s">
        <v>21</v>
      </c>
      <c r="AG22" s="28" t="s">
        <v>22</v>
      </c>
      <c r="AH22" s="28" t="s">
        <v>22</v>
      </c>
      <c r="AI22" s="89" t="s">
        <v>23</v>
      </c>
      <c r="AJ22" s="19"/>
      <c r="AK22" s="20"/>
      <c r="AL22" s="21">
        <f t="shared" si="0"/>
        <v>0</v>
      </c>
      <c r="AM22" s="20">
        <f t="shared" si="1"/>
        <v>0</v>
      </c>
      <c r="AN22" s="19"/>
      <c r="AO22" s="20"/>
      <c r="AP22" s="21">
        <f t="shared" si="2"/>
        <v>0</v>
      </c>
      <c r="AQ22" s="20">
        <f t="shared" si="3"/>
        <v>0</v>
      </c>
      <c r="AR22" s="19"/>
      <c r="AS22" s="21">
        <f t="shared" si="4"/>
        <v>21</v>
      </c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</row>
    <row r="23" spans="2:60" ht="15" customHeight="1">
      <c r="B23" s="276"/>
      <c r="C23" s="20" t="s">
        <v>68</v>
      </c>
      <c r="D23" s="20" t="s">
        <v>69</v>
      </c>
      <c r="E23" s="60" t="s">
        <v>21</v>
      </c>
      <c r="F23" s="60" t="s">
        <v>21</v>
      </c>
      <c r="G23" s="28" t="s">
        <v>22</v>
      </c>
      <c r="H23" s="28" t="s">
        <v>22</v>
      </c>
      <c r="I23" s="74" t="s">
        <v>23</v>
      </c>
      <c r="J23" s="74" t="s">
        <v>23</v>
      </c>
      <c r="K23" s="74" t="s">
        <v>23</v>
      </c>
      <c r="L23" s="74" t="s">
        <v>23</v>
      </c>
      <c r="M23" s="28" t="s">
        <v>22</v>
      </c>
      <c r="N23" s="28" t="s">
        <v>22</v>
      </c>
      <c r="O23" s="60" t="s">
        <v>21</v>
      </c>
      <c r="P23" s="60" t="s">
        <v>21</v>
      </c>
      <c r="Q23" s="60" t="s">
        <v>21</v>
      </c>
      <c r="R23" s="60" t="s">
        <v>21</v>
      </c>
      <c r="S23" s="28" t="s">
        <v>22</v>
      </c>
      <c r="T23" s="28" t="s">
        <v>22</v>
      </c>
      <c r="U23" s="78" t="s">
        <v>29</v>
      </c>
      <c r="V23" s="78" t="s">
        <v>29</v>
      </c>
      <c r="W23" s="78" t="s">
        <v>29</v>
      </c>
      <c r="X23" s="78" t="s">
        <v>29</v>
      </c>
      <c r="Y23" s="28" t="s">
        <v>22</v>
      </c>
      <c r="Z23" s="28" t="s">
        <v>22</v>
      </c>
      <c r="AA23" s="74" t="s">
        <v>23</v>
      </c>
      <c r="AB23" s="74" t="s">
        <v>23</v>
      </c>
      <c r="AC23" s="74" t="s">
        <v>23</v>
      </c>
      <c r="AD23" s="74" t="s">
        <v>23</v>
      </c>
      <c r="AE23" s="28" t="s">
        <v>22</v>
      </c>
      <c r="AF23" s="28" t="s">
        <v>22</v>
      </c>
      <c r="AG23" s="60" t="s">
        <v>21</v>
      </c>
      <c r="AH23" s="60" t="s">
        <v>21</v>
      </c>
      <c r="AI23" s="90" t="s">
        <v>21</v>
      </c>
      <c r="AJ23" s="19"/>
      <c r="AK23" s="20"/>
      <c r="AL23" s="21">
        <f t="shared" si="0"/>
        <v>0</v>
      </c>
      <c r="AM23" s="20">
        <f t="shared" si="1"/>
        <v>0</v>
      </c>
      <c r="AN23" s="19"/>
      <c r="AO23" s="20"/>
      <c r="AP23" s="21">
        <f t="shared" si="2"/>
        <v>0</v>
      </c>
      <c r="AQ23" s="20">
        <f t="shared" si="3"/>
        <v>0</v>
      </c>
      <c r="AR23" s="19"/>
      <c r="AS23" s="21">
        <f t="shared" si="4"/>
        <v>21</v>
      </c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</row>
    <row r="24" spans="2:60">
      <c r="B24" s="276"/>
      <c r="C24" s="108" t="s">
        <v>70</v>
      </c>
      <c r="D24" s="109" t="s">
        <v>71</v>
      </c>
      <c r="E24" s="110" t="s">
        <v>22</v>
      </c>
      <c r="F24" s="110" t="s">
        <v>22</v>
      </c>
      <c r="G24" s="112" t="s">
        <v>23</v>
      </c>
      <c r="H24" s="112" t="s">
        <v>23</v>
      </c>
      <c r="I24" s="112" t="s">
        <v>23</v>
      </c>
      <c r="J24" s="112" t="s">
        <v>23</v>
      </c>
      <c r="K24" s="110" t="s">
        <v>22</v>
      </c>
      <c r="L24" s="110" t="s">
        <v>22</v>
      </c>
      <c r="M24" s="111" t="s">
        <v>21</v>
      </c>
      <c r="N24" s="111" t="s">
        <v>21</v>
      </c>
      <c r="O24" s="111" t="s">
        <v>21</v>
      </c>
      <c r="P24" s="111" t="s">
        <v>21</v>
      </c>
      <c r="Q24" s="110" t="s">
        <v>22</v>
      </c>
      <c r="R24" s="110" t="s">
        <v>22</v>
      </c>
      <c r="S24" s="112" t="s">
        <v>23</v>
      </c>
      <c r="T24" s="112" t="s">
        <v>23</v>
      </c>
      <c r="U24" s="112" t="s">
        <v>23</v>
      </c>
      <c r="V24" s="112" t="s">
        <v>23</v>
      </c>
      <c r="W24" s="110" t="s">
        <v>22</v>
      </c>
      <c r="X24" s="110" t="s">
        <v>22</v>
      </c>
      <c r="Y24" s="116" t="s">
        <v>29</v>
      </c>
      <c r="Z24" s="116" t="s">
        <v>29</v>
      </c>
      <c r="AA24" s="116" t="s">
        <v>29</v>
      </c>
      <c r="AB24" s="116" t="s">
        <v>29</v>
      </c>
      <c r="AC24" s="110" t="s">
        <v>22</v>
      </c>
      <c r="AD24" s="110" t="s">
        <v>22</v>
      </c>
      <c r="AE24" s="112" t="s">
        <v>23</v>
      </c>
      <c r="AF24" s="112" t="s">
        <v>23</v>
      </c>
      <c r="AG24" s="112" t="s">
        <v>23</v>
      </c>
      <c r="AH24" s="112" t="s">
        <v>23</v>
      </c>
      <c r="AI24" s="113" t="s">
        <v>22</v>
      </c>
      <c r="AJ24" s="19"/>
      <c r="AK24" s="20"/>
      <c r="AL24" s="21">
        <f t="shared" si="0"/>
        <v>0</v>
      </c>
      <c r="AM24" s="20">
        <f t="shared" si="1"/>
        <v>0</v>
      </c>
      <c r="AN24" s="19"/>
      <c r="AO24" s="20"/>
      <c r="AP24" s="21">
        <f t="shared" si="2"/>
        <v>0</v>
      </c>
      <c r="AQ24" s="20">
        <f t="shared" si="3"/>
        <v>0</v>
      </c>
      <c r="AR24" s="19"/>
      <c r="AS24" s="21">
        <f t="shared" si="4"/>
        <v>20</v>
      </c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</row>
    <row r="25" spans="2:60" ht="15" customHeight="1">
      <c r="B25" s="280" t="s">
        <v>72</v>
      </c>
      <c r="C25" s="88" t="s">
        <v>73</v>
      </c>
      <c r="D25" s="88" t="s">
        <v>74</v>
      </c>
      <c r="E25" s="115" t="s">
        <v>29</v>
      </c>
      <c r="F25" s="115" t="s">
        <v>29</v>
      </c>
      <c r="G25" s="115" t="s">
        <v>29</v>
      </c>
      <c r="H25" s="115" t="s">
        <v>29</v>
      </c>
      <c r="I25" s="103" t="s">
        <v>22</v>
      </c>
      <c r="J25" s="103" t="s">
        <v>22</v>
      </c>
      <c r="K25" s="102" t="s">
        <v>23</v>
      </c>
      <c r="L25" s="102" t="s">
        <v>23</v>
      </c>
      <c r="M25" s="102" t="s">
        <v>23</v>
      </c>
      <c r="N25" s="102" t="s">
        <v>23</v>
      </c>
      <c r="O25" s="103" t="s">
        <v>22</v>
      </c>
      <c r="P25" s="103" t="s">
        <v>22</v>
      </c>
      <c r="Q25" s="104" t="s">
        <v>21</v>
      </c>
      <c r="R25" s="104" t="s">
        <v>21</v>
      </c>
      <c r="S25" s="104" t="s">
        <v>21</v>
      </c>
      <c r="T25" s="104" t="s">
        <v>21</v>
      </c>
      <c r="U25" s="103" t="s">
        <v>22</v>
      </c>
      <c r="V25" s="103" t="s">
        <v>22</v>
      </c>
      <c r="W25" s="102" t="s">
        <v>23</v>
      </c>
      <c r="X25" s="102" t="s">
        <v>23</v>
      </c>
      <c r="Y25" s="102" t="s">
        <v>23</v>
      </c>
      <c r="Z25" s="102" t="s">
        <v>23</v>
      </c>
      <c r="AA25" s="103" t="s">
        <v>22</v>
      </c>
      <c r="AB25" s="103" t="s">
        <v>22</v>
      </c>
      <c r="AC25" s="104" t="s">
        <v>21</v>
      </c>
      <c r="AD25" s="104" t="s">
        <v>21</v>
      </c>
      <c r="AE25" s="104" t="s">
        <v>21</v>
      </c>
      <c r="AF25" s="104" t="s">
        <v>21</v>
      </c>
      <c r="AG25" s="103" t="s">
        <v>22</v>
      </c>
      <c r="AH25" s="103" t="s">
        <v>22</v>
      </c>
      <c r="AI25" s="179" t="s">
        <v>21</v>
      </c>
      <c r="AJ25" s="19"/>
      <c r="AK25" s="20"/>
      <c r="AL25" s="21">
        <f t="shared" si="0"/>
        <v>0</v>
      </c>
      <c r="AM25" s="20">
        <f t="shared" si="1"/>
        <v>0</v>
      </c>
      <c r="AN25" s="19"/>
      <c r="AO25" s="20"/>
      <c r="AP25" s="21">
        <f t="shared" si="2"/>
        <v>0</v>
      </c>
      <c r="AQ25" s="20">
        <f t="shared" si="3"/>
        <v>0</v>
      </c>
      <c r="AR25" s="19"/>
      <c r="AS25" s="21">
        <f t="shared" si="4"/>
        <v>21</v>
      </c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</row>
    <row r="26" spans="2:60">
      <c r="B26" s="276"/>
      <c r="C26" s="22" t="s">
        <v>75</v>
      </c>
      <c r="D26" s="20" t="s">
        <v>76</v>
      </c>
      <c r="E26" s="60" t="s">
        <v>21</v>
      </c>
      <c r="F26" s="60" t="s">
        <v>21</v>
      </c>
      <c r="G26" s="28" t="s">
        <v>22</v>
      </c>
      <c r="H26" s="28" t="s">
        <v>22</v>
      </c>
      <c r="I26" s="78" t="s">
        <v>29</v>
      </c>
      <c r="J26" s="78" t="s">
        <v>29</v>
      </c>
      <c r="K26" s="78" t="s">
        <v>29</v>
      </c>
      <c r="L26" s="78" t="s">
        <v>29</v>
      </c>
      <c r="M26" s="28" t="s">
        <v>22</v>
      </c>
      <c r="N26" s="28" t="s">
        <v>22</v>
      </c>
      <c r="O26" s="74" t="s">
        <v>23</v>
      </c>
      <c r="P26" s="74" t="s">
        <v>23</v>
      </c>
      <c r="Q26" s="74" t="s">
        <v>23</v>
      </c>
      <c r="R26" s="74" t="s">
        <v>23</v>
      </c>
      <c r="S26" s="28" t="s">
        <v>22</v>
      </c>
      <c r="T26" s="28" t="s">
        <v>22</v>
      </c>
      <c r="U26" s="60" t="s">
        <v>21</v>
      </c>
      <c r="V26" s="60" t="s">
        <v>21</v>
      </c>
      <c r="W26" s="60" t="s">
        <v>21</v>
      </c>
      <c r="X26" s="60" t="s">
        <v>21</v>
      </c>
      <c r="Y26" s="28" t="s">
        <v>22</v>
      </c>
      <c r="Z26" s="28" t="s">
        <v>22</v>
      </c>
      <c r="AA26" s="74" t="s">
        <v>23</v>
      </c>
      <c r="AB26" s="74" t="s">
        <v>23</v>
      </c>
      <c r="AC26" s="74" t="s">
        <v>23</v>
      </c>
      <c r="AD26" s="74" t="s">
        <v>23</v>
      </c>
      <c r="AE26" s="28" t="s">
        <v>22</v>
      </c>
      <c r="AF26" s="28" t="s">
        <v>22</v>
      </c>
      <c r="AG26" s="60" t="s">
        <v>21</v>
      </c>
      <c r="AH26" s="60" t="s">
        <v>21</v>
      </c>
      <c r="AI26" s="90" t="s">
        <v>21</v>
      </c>
      <c r="AJ26" s="19"/>
      <c r="AK26" s="20"/>
      <c r="AL26" s="21">
        <f t="shared" si="0"/>
        <v>0</v>
      </c>
      <c r="AM26" s="20">
        <f t="shared" si="1"/>
        <v>0</v>
      </c>
      <c r="AN26" s="19"/>
      <c r="AO26" s="20"/>
      <c r="AP26" s="21">
        <f t="shared" si="2"/>
        <v>0</v>
      </c>
      <c r="AQ26" s="20">
        <f t="shared" si="3"/>
        <v>0</v>
      </c>
      <c r="AR26" s="19"/>
      <c r="AS26" s="21">
        <f t="shared" si="4"/>
        <v>21</v>
      </c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</row>
    <row r="27" spans="2:60">
      <c r="B27" s="276"/>
      <c r="C27" s="22" t="s">
        <v>77</v>
      </c>
      <c r="D27" s="20" t="s">
        <v>78</v>
      </c>
      <c r="E27" s="60" t="s">
        <v>21</v>
      </c>
      <c r="F27" s="60" t="s">
        <v>21</v>
      </c>
      <c r="G27" s="60" t="s">
        <v>21</v>
      </c>
      <c r="H27" s="60" t="s">
        <v>21</v>
      </c>
      <c r="I27" s="28" t="s">
        <v>22</v>
      </c>
      <c r="J27" s="28" t="s">
        <v>22</v>
      </c>
      <c r="K27" s="60" t="s">
        <v>21</v>
      </c>
      <c r="L27" s="60" t="s">
        <v>21</v>
      </c>
      <c r="M27" s="60" t="s">
        <v>21</v>
      </c>
      <c r="N27" s="60" t="s">
        <v>21</v>
      </c>
      <c r="O27" s="28" t="s">
        <v>22</v>
      </c>
      <c r="P27" s="28" t="s">
        <v>22</v>
      </c>
      <c r="Q27" s="78" t="s">
        <v>29</v>
      </c>
      <c r="R27" s="78" t="s">
        <v>29</v>
      </c>
      <c r="S27" s="78" t="s">
        <v>29</v>
      </c>
      <c r="T27" s="78" t="s">
        <v>29</v>
      </c>
      <c r="U27" s="28" t="s">
        <v>22</v>
      </c>
      <c r="V27" s="28" t="s">
        <v>22</v>
      </c>
      <c r="W27" s="74" t="s">
        <v>23</v>
      </c>
      <c r="X27" s="74" t="s">
        <v>23</v>
      </c>
      <c r="Y27" s="74" t="s">
        <v>23</v>
      </c>
      <c r="Z27" s="74" t="s">
        <v>23</v>
      </c>
      <c r="AA27" s="28" t="s">
        <v>22</v>
      </c>
      <c r="AB27" s="28" t="s">
        <v>22</v>
      </c>
      <c r="AC27" s="60" t="s">
        <v>21</v>
      </c>
      <c r="AD27" s="60" t="s">
        <v>21</v>
      </c>
      <c r="AE27" s="60" t="s">
        <v>21</v>
      </c>
      <c r="AF27" s="60" t="s">
        <v>21</v>
      </c>
      <c r="AG27" s="28" t="s">
        <v>22</v>
      </c>
      <c r="AH27" s="28" t="s">
        <v>22</v>
      </c>
      <c r="AI27" s="89" t="s">
        <v>23</v>
      </c>
      <c r="AJ27" s="19"/>
      <c r="AK27" s="20"/>
      <c r="AL27" s="21">
        <f t="shared" si="0"/>
        <v>0</v>
      </c>
      <c r="AM27" s="20">
        <f t="shared" si="1"/>
        <v>0</v>
      </c>
      <c r="AN27" s="19"/>
      <c r="AO27" s="20"/>
      <c r="AP27" s="21">
        <f t="shared" si="2"/>
        <v>0</v>
      </c>
      <c r="AQ27" s="20">
        <f t="shared" si="3"/>
        <v>0</v>
      </c>
      <c r="AR27" s="19"/>
      <c r="AS27" s="21">
        <f t="shared" si="4"/>
        <v>21</v>
      </c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</row>
    <row r="28" spans="2:60" ht="15" customHeight="1">
      <c r="B28" s="276"/>
      <c r="C28" s="20" t="s">
        <v>79</v>
      </c>
      <c r="D28" s="20" t="s">
        <v>80</v>
      </c>
      <c r="E28" s="74" t="s">
        <v>23</v>
      </c>
      <c r="F28" s="74" t="s">
        <v>23</v>
      </c>
      <c r="G28" s="28" t="s">
        <v>22</v>
      </c>
      <c r="H28" s="28" t="s">
        <v>22</v>
      </c>
      <c r="I28" s="74" t="s">
        <v>23</v>
      </c>
      <c r="J28" s="74" t="s">
        <v>23</v>
      </c>
      <c r="K28" s="74" t="s">
        <v>23</v>
      </c>
      <c r="L28" s="74" t="s">
        <v>23</v>
      </c>
      <c r="M28" s="28" t="s">
        <v>22</v>
      </c>
      <c r="N28" s="28" t="s">
        <v>22</v>
      </c>
      <c r="O28" s="60" t="s">
        <v>21</v>
      </c>
      <c r="P28" s="60" t="s">
        <v>21</v>
      </c>
      <c r="Q28" s="60" t="s">
        <v>21</v>
      </c>
      <c r="R28" s="60" t="s">
        <v>21</v>
      </c>
      <c r="S28" s="28" t="s">
        <v>22</v>
      </c>
      <c r="T28" s="28" t="s">
        <v>22</v>
      </c>
      <c r="U28" s="78" t="s">
        <v>29</v>
      </c>
      <c r="V28" s="78" t="s">
        <v>29</v>
      </c>
      <c r="W28" s="78" t="s">
        <v>29</v>
      </c>
      <c r="X28" s="78" t="s">
        <v>29</v>
      </c>
      <c r="Y28" s="28" t="s">
        <v>22</v>
      </c>
      <c r="Z28" s="28" t="s">
        <v>22</v>
      </c>
      <c r="AA28" s="74" t="s">
        <v>23</v>
      </c>
      <c r="AB28" s="74" t="s">
        <v>23</v>
      </c>
      <c r="AC28" s="74" t="s">
        <v>23</v>
      </c>
      <c r="AD28" s="74" t="s">
        <v>23</v>
      </c>
      <c r="AE28" s="28" t="s">
        <v>22</v>
      </c>
      <c r="AF28" s="28" t="s">
        <v>22</v>
      </c>
      <c r="AG28" s="60" t="s">
        <v>21</v>
      </c>
      <c r="AH28" s="60" t="s">
        <v>21</v>
      </c>
      <c r="AI28" s="90" t="s">
        <v>21</v>
      </c>
      <c r="AJ28" s="19"/>
      <c r="AK28" s="20"/>
      <c r="AL28" s="21">
        <f t="shared" si="0"/>
        <v>0</v>
      </c>
      <c r="AM28" s="20">
        <f t="shared" si="1"/>
        <v>0</v>
      </c>
      <c r="AN28" s="19"/>
      <c r="AO28" s="20"/>
      <c r="AP28" s="21">
        <f t="shared" si="2"/>
        <v>0</v>
      </c>
      <c r="AQ28" s="20">
        <f t="shared" si="3"/>
        <v>0</v>
      </c>
      <c r="AR28" s="19"/>
      <c r="AS28" s="21">
        <f t="shared" si="4"/>
        <v>21</v>
      </c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</row>
    <row r="29" spans="2:60">
      <c r="B29" s="276"/>
      <c r="C29" s="22" t="s">
        <v>82</v>
      </c>
      <c r="D29" s="20" t="s">
        <v>83</v>
      </c>
      <c r="E29" s="28" t="s">
        <v>22</v>
      </c>
      <c r="F29" s="28" t="s">
        <v>22</v>
      </c>
      <c r="G29" s="74" t="s">
        <v>23</v>
      </c>
      <c r="H29" s="74" t="s">
        <v>23</v>
      </c>
      <c r="I29" s="74" t="s">
        <v>23</v>
      </c>
      <c r="J29" s="74" t="s">
        <v>23</v>
      </c>
      <c r="K29" s="28" t="s">
        <v>22</v>
      </c>
      <c r="L29" s="28" t="s">
        <v>22</v>
      </c>
      <c r="M29" s="60" t="s">
        <v>21</v>
      </c>
      <c r="N29" s="60" t="s">
        <v>21</v>
      </c>
      <c r="O29" s="60" t="s">
        <v>21</v>
      </c>
      <c r="P29" s="60" t="s">
        <v>21</v>
      </c>
      <c r="Q29" s="28" t="s">
        <v>22</v>
      </c>
      <c r="R29" s="28" t="s">
        <v>22</v>
      </c>
      <c r="S29" s="60" t="s">
        <v>21</v>
      </c>
      <c r="T29" s="60" t="s">
        <v>21</v>
      </c>
      <c r="U29" s="60" t="s">
        <v>21</v>
      </c>
      <c r="V29" s="60" t="s">
        <v>21</v>
      </c>
      <c r="W29" s="28" t="s">
        <v>22</v>
      </c>
      <c r="X29" s="28" t="s">
        <v>22</v>
      </c>
      <c r="Y29" s="78" t="s">
        <v>29</v>
      </c>
      <c r="Z29" s="78" t="s">
        <v>29</v>
      </c>
      <c r="AA29" s="78" t="s">
        <v>29</v>
      </c>
      <c r="AB29" s="78" t="s">
        <v>29</v>
      </c>
      <c r="AC29" s="28" t="s">
        <v>22</v>
      </c>
      <c r="AD29" s="28" t="s">
        <v>22</v>
      </c>
      <c r="AE29" s="74" t="s">
        <v>23</v>
      </c>
      <c r="AF29" s="74" t="s">
        <v>23</v>
      </c>
      <c r="AG29" s="74" t="s">
        <v>23</v>
      </c>
      <c r="AH29" s="74" t="s">
        <v>23</v>
      </c>
      <c r="AI29" s="91" t="s">
        <v>22</v>
      </c>
      <c r="AJ29" s="19"/>
      <c r="AK29" s="20"/>
      <c r="AL29" s="21">
        <f t="shared" si="0"/>
        <v>0</v>
      </c>
      <c r="AM29" s="20">
        <f t="shared" si="1"/>
        <v>0</v>
      </c>
      <c r="AN29" s="19"/>
      <c r="AO29" s="20"/>
      <c r="AP29" s="21">
        <f t="shared" si="2"/>
        <v>0</v>
      </c>
      <c r="AQ29" s="20">
        <f t="shared" si="3"/>
        <v>0</v>
      </c>
      <c r="AR29" s="19"/>
      <c r="AS29" s="21">
        <f t="shared" si="4"/>
        <v>20</v>
      </c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</row>
    <row r="30" spans="2:60">
      <c r="B30" s="276"/>
      <c r="C30" s="20" t="s">
        <v>85</v>
      </c>
      <c r="D30" s="20" t="s">
        <v>86</v>
      </c>
      <c r="E30" s="60" t="s">
        <v>21</v>
      </c>
      <c r="F30" s="60" t="s">
        <v>21</v>
      </c>
      <c r="G30" s="60" t="s">
        <v>21</v>
      </c>
      <c r="H30" s="60" t="s">
        <v>21</v>
      </c>
      <c r="I30" s="28" t="s">
        <v>22</v>
      </c>
      <c r="J30" s="28" t="s">
        <v>22</v>
      </c>
      <c r="K30" s="74" t="s">
        <v>23</v>
      </c>
      <c r="L30" s="74" t="s">
        <v>23</v>
      </c>
      <c r="M30" s="74" t="s">
        <v>23</v>
      </c>
      <c r="N30" s="74" t="s">
        <v>23</v>
      </c>
      <c r="O30" s="28" t="s">
        <v>22</v>
      </c>
      <c r="P30" s="28" t="s">
        <v>22</v>
      </c>
      <c r="Q30" s="60" t="s">
        <v>21</v>
      </c>
      <c r="R30" s="60" t="s">
        <v>21</v>
      </c>
      <c r="S30" s="60" t="s">
        <v>21</v>
      </c>
      <c r="T30" s="60" t="s">
        <v>21</v>
      </c>
      <c r="U30" s="28" t="s">
        <v>22</v>
      </c>
      <c r="V30" s="28" t="s">
        <v>22</v>
      </c>
      <c r="W30" s="60" t="s">
        <v>21</v>
      </c>
      <c r="X30" s="60" t="s">
        <v>21</v>
      </c>
      <c r="Y30" s="60" t="s">
        <v>21</v>
      </c>
      <c r="Z30" s="60" t="s">
        <v>21</v>
      </c>
      <c r="AA30" s="28" t="s">
        <v>22</v>
      </c>
      <c r="AB30" s="28" t="s">
        <v>22</v>
      </c>
      <c r="AC30" s="78" t="s">
        <v>29</v>
      </c>
      <c r="AD30" s="78" t="s">
        <v>29</v>
      </c>
      <c r="AE30" s="78" t="s">
        <v>29</v>
      </c>
      <c r="AF30" s="78" t="s">
        <v>29</v>
      </c>
      <c r="AG30" s="28" t="s">
        <v>22</v>
      </c>
      <c r="AH30" s="28" t="s">
        <v>22</v>
      </c>
      <c r="AI30" s="90" t="s">
        <v>21</v>
      </c>
      <c r="AJ30" s="19"/>
      <c r="AK30" s="20"/>
      <c r="AL30" s="21">
        <f t="shared" si="0"/>
        <v>0</v>
      </c>
      <c r="AM30" s="20">
        <f t="shared" si="1"/>
        <v>0</v>
      </c>
      <c r="AN30" s="19"/>
      <c r="AO30" s="26"/>
      <c r="AP30" s="21">
        <f t="shared" si="2"/>
        <v>0</v>
      </c>
      <c r="AQ30" s="44">
        <f t="shared" si="3"/>
        <v>0</v>
      </c>
      <c r="AR30" s="19"/>
      <c r="AS30" s="21">
        <f t="shared" si="4"/>
        <v>21</v>
      </c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</row>
    <row r="31" spans="2:60">
      <c r="B31" s="276"/>
      <c r="C31" s="22" t="s">
        <v>87</v>
      </c>
      <c r="D31" s="20" t="s">
        <v>88</v>
      </c>
      <c r="E31" s="74" t="s">
        <v>23</v>
      </c>
      <c r="F31" s="74" t="s">
        <v>23</v>
      </c>
      <c r="G31" s="28" t="s">
        <v>22</v>
      </c>
      <c r="H31" s="28" t="s">
        <v>22</v>
      </c>
      <c r="I31" s="60" t="s">
        <v>21</v>
      </c>
      <c r="J31" s="60" t="s">
        <v>21</v>
      </c>
      <c r="K31" s="60" t="s">
        <v>21</v>
      </c>
      <c r="L31" s="60" t="s">
        <v>21</v>
      </c>
      <c r="M31" s="28" t="s">
        <v>22</v>
      </c>
      <c r="N31" s="28" t="s">
        <v>22</v>
      </c>
      <c r="O31" s="74" t="s">
        <v>23</v>
      </c>
      <c r="P31" s="74" t="s">
        <v>23</v>
      </c>
      <c r="Q31" s="74" t="s">
        <v>23</v>
      </c>
      <c r="R31" s="74" t="s">
        <v>23</v>
      </c>
      <c r="S31" s="28" t="s">
        <v>22</v>
      </c>
      <c r="T31" s="28" t="s">
        <v>22</v>
      </c>
      <c r="U31" s="60" t="s">
        <v>21</v>
      </c>
      <c r="V31" s="60" t="s">
        <v>21</v>
      </c>
      <c r="W31" s="60" t="s">
        <v>21</v>
      </c>
      <c r="X31" s="60" t="s">
        <v>21</v>
      </c>
      <c r="Y31" s="28" t="s">
        <v>22</v>
      </c>
      <c r="Z31" s="28" t="s">
        <v>22</v>
      </c>
      <c r="AA31" s="60" t="s">
        <v>21</v>
      </c>
      <c r="AB31" s="60" t="s">
        <v>21</v>
      </c>
      <c r="AC31" s="60" t="s">
        <v>21</v>
      </c>
      <c r="AD31" s="60" t="s">
        <v>21</v>
      </c>
      <c r="AE31" s="28" t="s">
        <v>22</v>
      </c>
      <c r="AF31" s="28" t="s">
        <v>22</v>
      </c>
      <c r="AG31" s="78" t="s">
        <v>29</v>
      </c>
      <c r="AH31" s="78" t="s">
        <v>29</v>
      </c>
      <c r="AI31" s="107" t="s">
        <v>29</v>
      </c>
      <c r="AJ31" s="19"/>
      <c r="AK31" s="20"/>
      <c r="AL31" s="21">
        <f t="shared" si="0"/>
        <v>0</v>
      </c>
      <c r="AM31" s="20">
        <f t="shared" si="1"/>
        <v>0</v>
      </c>
      <c r="AN31" s="19"/>
      <c r="AO31" s="20"/>
      <c r="AP31" s="21">
        <f t="shared" si="2"/>
        <v>0</v>
      </c>
      <c r="AQ31" s="20">
        <f t="shared" si="3"/>
        <v>0</v>
      </c>
      <c r="AR31" s="19"/>
      <c r="AS31" s="21">
        <f t="shared" si="4"/>
        <v>21</v>
      </c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</row>
    <row r="32" spans="2:60">
      <c r="B32" s="276"/>
      <c r="C32" s="20" t="s">
        <v>89</v>
      </c>
      <c r="D32" s="20" t="s">
        <v>90</v>
      </c>
      <c r="E32" s="28" t="s">
        <v>22</v>
      </c>
      <c r="F32" s="28" t="s">
        <v>22</v>
      </c>
      <c r="G32" s="60" t="s">
        <v>21</v>
      </c>
      <c r="H32" s="60" t="s">
        <v>21</v>
      </c>
      <c r="I32" s="60" t="s">
        <v>21</v>
      </c>
      <c r="J32" s="60" t="s">
        <v>21</v>
      </c>
      <c r="K32" s="28" t="s">
        <v>22</v>
      </c>
      <c r="L32" s="28" t="s">
        <v>22</v>
      </c>
      <c r="M32" s="78" t="s">
        <v>29</v>
      </c>
      <c r="N32" s="78" t="s">
        <v>29</v>
      </c>
      <c r="O32" s="78" t="s">
        <v>29</v>
      </c>
      <c r="P32" s="78" t="s">
        <v>29</v>
      </c>
      <c r="Q32" s="28" t="s">
        <v>22</v>
      </c>
      <c r="R32" s="28" t="s">
        <v>22</v>
      </c>
      <c r="S32" s="74" t="s">
        <v>23</v>
      </c>
      <c r="T32" s="74" t="s">
        <v>23</v>
      </c>
      <c r="U32" s="74" t="s">
        <v>23</v>
      </c>
      <c r="V32" s="74" t="s">
        <v>23</v>
      </c>
      <c r="W32" s="28" t="s">
        <v>22</v>
      </c>
      <c r="X32" s="28" t="s">
        <v>22</v>
      </c>
      <c r="Y32" s="60" t="s">
        <v>21</v>
      </c>
      <c r="Z32" s="60" t="s">
        <v>21</v>
      </c>
      <c r="AA32" s="60" t="s">
        <v>21</v>
      </c>
      <c r="AB32" s="60" t="s">
        <v>21</v>
      </c>
      <c r="AC32" s="28" t="s">
        <v>22</v>
      </c>
      <c r="AD32" s="28" t="s">
        <v>22</v>
      </c>
      <c r="AE32" s="74" t="s">
        <v>23</v>
      </c>
      <c r="AF32" s="74" t="s">
        <v>23</v>
      </c>
      <c r="AG32" s="74" t="s">
        <v>23</v>
      </c>
      <c r="AH32" s="74" t="s">
        <v>23</v>
      </c>
      <c r="AI32" s="91" t="s">
        <v>22</v>
      </c>
      <c r="AJ32" s="19"/>
      <c r="AK32" s="20"/>
      <c r="AL32" s="21">
        <f t="shared" si="0"/>
        <v>0</v>
      </c>
      <c r="AM32" s="20">
        <f t="shared" si="1"/>
        <v>0</v>
      </c>
      <c r="AN32" s="19"/>
      <c r="AO32" s="20"/>
      <c r="AP32" s="21">
        <f t="shared" si="2"/>
        <v>0</v>
      </c>
      <c r="AQ32" s="20">
        <f t="shared" si="3"/>
        <v>0</v>
      </c>
      <c r="AR32" s="19"/>
      <c r="AS32" s="21">
        <f t="shared" si="4"/>
        <v>20</v>
      </c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</row>
    <row r="33" spans="2:60">
      <c r="B33" s="276"/>
      <c r="C33" s="22" t="s">
        <v>91</v>
      </c>
      <c r="D33" s="20" t="s">
        <v>92</v>
      </c>
      <c r="E33" s="60" t="s">
        <v>21</v>
      </c>
      <c r="F33" s="60" t="s">
        <v>21</v>
      </c>
      <c r="G33" s="60" t="s">
        <v>21</v>
      </c>
      <c r="H33" s="28" t="s">
        <v>22</v>
      </c>
      <c r="I33" s="28" t="s">
        <v>22</v>
      </c>
      <c r="J33" s="60" t="s">
        <v>21</v>
      </c>
      <c r="K33" s="60" t="s">
        <v>21</v>
      </c>
      <c r="L33" s="60" t="s">
        <v>21</v>
      </c>
      <c r="M33" s="60" t="s">
        <v>21</v>
      </c>
      <c r="N33" s="28" t="s">
        <v>22</v>
      </c>
      <c r="O33" s="28" t="s">
        <v>22</v>
      </c>
      <c r="P33" s="60" t="s">
        <v>21</v>
      </c>
      <c r="Q33" s="60" t="s">
        <v>21</v>
      </c>
      <c r="R33" s="60" t="s">
        <v>21</v>
      </c>
      <c r="S33" s="60" t="s">
        <v>21</v>
      </c>
      <c r="T33" s="28" t="s">
        <v>22</v>
      </c>
      <c r="U33" s="28" t="s">
        <v>22</v>
      </c>
      <c r="V33" s="74" t="s">
        <v>23</v>
      </c>
      <c r="W33" s="74" t="s">
        <v>23</v>
      </c>
      <c r="X33" s="74" t="s">
        <v>23</v>
      </c>
      <c r="Y33" s="74" t="s">
        <v>23</v>
      </c>
      <c r="Z33" s="28" t="s">
        <v>22</v>
      </c>
      <c r="AA33" s="28" t="s">
        <v>22</v>
      </c>
      <c r="AB33" s="60" t="s">
        <v>21</v>
      </c>
      <c r="AC33" s="60" t="s">
        <v>21</v>
      </c>
      <c r="AD33" s="60" t="s">
        <v>21</v>
      </c>
      <c r="AE33" s="60" t="s">
        <v>21</v>
      </c>
      <c r="AF33" s="28" t="s">
        <v>22</v>
      </c>
      <c r="AG33" s="28" t="s">
        <v>22</v>
      </c>
      <c r="AH33" s="74" t="s">
        <v>23</v>
      </c>
      <c r="AI33" s="89" t="s">
        <v>23</v>
      </c>
      <c r="AJ33" s="19"/>
      <c r="AK33" s="20"/>
      <c r="AL33" s="21">
        <f t="shared" si="0"/>
        <v>0</v>
      </c>
      <c r="AM33" s="20">
        <f t="shared" si="1"/>
        <v>0</v>
      </c>
      <c r="AN33" s="19"/>
      <c r="AO33" s="20"/>
      <c r="AP33" s="21">
        <f t="shared" si="2"/>
        <v>0</v>
      </c>
      <c r="AQ33" s="20">
        <f t="shared" si="3"/>
        <v>0</v>
      </c>
      <c r="AR33" s="19"/>
      <c r="AS33" s="21">
        <f t="shared" si="4"/>
        <v>21</v>
      </c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</row>
    <row r="34" spans="2:60" ht="15" customHeight="1">
      <c r="B34" s="276"/>
      <c r="C34" s="20" t="s">
        <v>93</v>
      </c>
      <c r="D34" s="20" t="s">
        <v>94</v>
      </c>
      <c r="E34" s="74" t="s">
        <v>23</v>
      </c>
      <c r="F34" s="28" t="s">
        <v>22</v>
      </c>
      <c r="G34" s="28" t="s">
        <v>22</v>
      </c>
      <c r="H34" s="60" t="s">
        <v>21</v>
      </c>
      <c r="I34" s="60" t="s">
        <v>21</v>
      </c>
      <c r="J34" s="60" t="s">
        <v>21</v>
      </c>
      <c r="K34" s="60" t="s">
        <v>21</v>
      </c>
      <c r="L34" s="28" t="s">
        <v>22</v>
      </c>
      <c r="M34" s="28" t="s">
        <v>22</v>
      </c>
      <c r="N34" s="74" t="s">
        <v>23</v>
      </c>
      <c r="O34" s="74" t="s">
        <v>23</v>
      </c>
      <c r="P34" s="74" t="s">
        <v>23</v>
      </c>
      <c r="Q34" s="74" t="s">
        <v>23</v>
      </c>
      <c r="R34" s="28" t="s">
        <v>22</v>
      </c>
      <c r="S34" s="28" t="s">
        <v>22</v>
      </c>
      <c r="T34" s="60" t="s">
        <v>21</v>
      </c>
      <c r="U34" s="60" t="s">
        <v>21</v>
      </c>
      <c r="V34" s="60" t="s">
        <v>21</v>
      </c>
      <c r="W34" s="60" t="s">
        <v>21</v>
      </c>
      <c r="X34" s="28" t="s">
        <v>22</v>
      </c>
      <c r="Y34" s="28" t="s">
        <v>22</v>
      </c>
      <c r="Z34" s="74" t="s">
        <v>23</v>
      </c>
      <c r="AA34" s="74" t="s">
        <v>23</v>
      </c>
      <c r="AB34" s="74" t="s">
        <v>23</v>
      </c>
      <c r="AC34" s="74" t="s">
        <v>23</v>
      </c>
      <c r="AD34" s="28" t="s">
        <v>22</v>
      </c>
      <c r="AE34" s="28" t="s">
        <v>22</v>
      </c>
      <c r="AF34" s="60" t="s">
        <v>21</v>
      </c>
      <c r="AG34" s="60" t="s">
        <v>21</v>
      </c>
      <c r="AH34" s="60" t="s">
        <v>21</v>
      </c>
      <c r="AI34" s="90" t="s">
        <v>21</v>
      </c>
      <c r="AJ34" s="19"/>
      <c r="AK34" s="20"/>
      <c r="AL34" s="21">
        <f t="shared" si="0"/>
        <v>0</v>
      </c>
      <c r="AM34" s="20">
        <f t="shared" si="1"/>
        <v>0</v>
      </c>
      <c r="AN34" s="19"/>
      <c r="AO34" s="20"/>
      <c r="AP34" s="21">
        <f t="shared" si="2"/>
        <v>0</v>
      </c>
      <c r="AQ34" s="20">
        <f t="shared" si="3"/>
        <v>0</v>
      </c>
      <c r="AR34" s="19"/>
      <c r="AS34" s="21">
        <f t="shared" si="4"/>
        <v>21</v>
      </c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</row>
    <row r="35" spans="2:60">
      <c r="B35" s="276"/>
      <c r="C35" s="108" t="s">
        <v>95</v>
      </c>
      <c r="D35" s="109" t="s">
        <v>96</v>
      </c>
      <c r="E35" s="110" t="s">
        <v>22</v>
      </c>
      <c r="F35" s="112" t="s">
        <v>23</v>
      </c>
      <c r="G35" s="112" t="s">
        <v>23</v>
      </c>
      <c r="H35" s="124" t="s">
        <v>26</v>
      </c>
      <c r="I35" s="112" t="s">
        <v>23</v>
      </c>
      <c r="J35" s="110" t="s">
        <v>22</v>
      </c>
      <c r="K35" s="110" t="s">
        <v>22</v>
      </c>
      <c r="L35" s="111" t="s">
        <v>21</v>
      </c>
      <c r="M35" s="111" t="s">
        <v>21</v>
      </c>
      <c r="N35" s="111" t="s">
        <v>21</v>
      </c>
      <c r="O35" s="111" t="s">
        <v>21</v>
      </c>
      <c r="P35" s="110" t="s">
        <v>22</v>
      </c>
      <c r="Q35" s="110" t="s">
        <v>22</v>
      </c>
      <c r="R35" s="112" t="s">
        <v>23</v>
      </c>
      <c r="S35" s="112" t="s">
        <v>23</v>
      </c>
      <c r="T35" s="112" t="s">
        <v>23</v>
      </c>
      <c r="U35" s="112" t="s">
        <v>23</v>
      </c>
      <c r="V35" s="110" t="s">
        <v>22</v>
      </c>
      <c r="W35" s="110" t="s">
        <v>22</v>
      </c>
      <c r="X35" s="111" t="s">
        <v>21</v>
      </c>
      <c r="Y35" s="111" t="s">
        <v>21</v>
      </c>
      <c r="Z35" s="111" t="s">
        <v>21</v>
      </c>
      <c r="AA35" s="111" t="s">
        <v>21</v>
      </c>
      <c r="AB35" s="110" t="s">
        <v>22</v>
      </c>
      <c r="AC35" s="110" t="s">
        <v>22</v>
      </c>
      <c r="AD35" s="112" t="s">
        <v>23</v>
      </c>
      <c r="AE35" s="112" t="s">
        <v>23</v>
      </c>
      <c r="AF35" s="112" t="s">
        <v>23</v>
      </c>
      <c r="AG35" s="112" t="s">
        <v>23</v>
      </c>
      <c r="AH35" s="110" t="s">
        <v>22</v>
      </c>
      <c r="AI35" s="113" t="s">
        <v>22</v>
      </c>
      <c r="AJ35" s="19"/>
      <c r="AK35" s="20"/>
      <c r="AL35" s="21">
        <f t="shared" si="0"/>
        <v>0</v>
      </c>
      <c r="AM35" s="20">
        <f t="shared" si="1"/>
        <v>0</v>
      </c>
      <c r="AN35" s="19"/>
      <c r="AO35" s="20"/>
      <c r="AP35" s="21">
        <f t="shared" si="2"/>
        <v>0</v>
      </c>
      <c r="AQ35" s="20">
        <f t="shared" si="3"/>
        <v>0</v>
      </c>
      <c r="AR35" s="19"/>
      <c r="AS35" s="21">
        <f t="shared" si="4"/>
        <v>19</v>
      </c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</row>
    <row r="36" spans="2:60">
      <c r="B36" s="285" t="s">
        <v>97</v>
      </c>
      <c r="C36" s="88" t="s">
        <v>98</v>
      </c>
      <c r="D36" s="88" t="s">
        <v>99</v>
      </c>
      <c r="E36" s="103" t="s">
        <v>22</v>
      </c>
      <c r="F36" s="118" t="s">
        <v>100</v>
      </c>
      <c r="G36" s="118" t="s">
        <v>100</v>
      </c>
      <c r="H36" s="118" t="s">
        <v>100</v>
      </c>
      <c r="I36" s="118" t="s">
        <v>100</v>
      </c>
      <c r="J36" s="183" t="s">
        <v>26</v>
      </c>
      <c r="K36" s="103" t="s">
        <v>22</v>
      </c>
      <c r="L36" s="183" t="s">
        <v>26</v>
      </c>
      <c r="M36" s="119" t="s">
        <v>66</v>
      </c>
      <c r="N36" s="119" t="s">
        <v>66</v>
      </c>
      <c r="O36" s="119" t="s">
        <v>66</v>
      </c>
      <c r="P36" s="103" t="s">
        <v>22</v>
      </c>
      <c r="Q36" s="103" t="s">
        <v>22</v>
      </c>
      <c r="R36" s="118" t="s">
        <v>100</v>
      </c>
      <c r="S36" s="118" t="s">
        <v>100</v>
      </c>
      <c r="T36" s="118" t="s">
        <v>100</v>
      </c>
      <c r="U36" s="118" t="s">
        <v>100</v>
      </c>
      <c r="V36" s="103" t="s">
        <v>22</v>
      </c>
      <c r="W36" s="103" t="s">
        <v>22</v>
      </c>
      <c r="X36" s="119" t="s">
        <v>66</v>
      </c>
      <c r="Y36" s="119" t="s">
        <v>66</v>
      </c>
      <c r="Z36" s="119" t="s">
        <v>66</v>
      </c>
      <c r="AA36" s="119" t="s">
        <v>66</v>
      </c>
      <c r="AB36" s="103" t="s">
        <v>22</v>
      </c>
      <c r="AC36" s="103" t="s">
        <v>22</v>
      </c>
      <c r="AD36" s="118" t="s">
        <v>100</v>
      </c>
      <c r="AE36" s="118" t="s">
        <v>100</v>
      </c>
      <c r="AF36" s="118" t="s">
        <v>100</v>
      </c>
      <c r="AG36" s="118" t="s">
        <v>100</v>
      </c>
      <c r="AH36" s="103" t="s">
        <v>22</v>
      </c>
      <c r="AI36" s="120" t="s">
        <v>22</v>
      </c>
      <c r="AJ36" s="19"/>
      <c r="AK36" s="20"/>
      <c r="AL36" s="21">
        <f t="shared" si="0"/>
        <v>0</v>
      </c>
      <c r="AM36" s="20">
        <f t="shared" si="1"/>
        <v>0</v>
      </c>
      <c r="AN36" s="19"/>
      <c r="AO36" s="20"/>
      <c r="AP36" s="21">
        <f t="shared" si="2"/>
        <v>0</v>
      </c>
      <c r="AQ36" s="20">
        <f t="shared" si="3"/>
        <v>0</v>
      </c>
      <c r="AR36" s="19"/>
      <c r="AS36" s="21">
        <f t="shared" si="4"/>
        <v>19</v>
      </c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</row>
    <row r="37" spans="2:60">
      <c r="B37" s="278"/>
      <c r="C37" s="22" t="s">
        <v>101</v>
      </c>
      <c r="D37" s="20" t="s">
        <v>102</v>
      </c>
      <c r="E37" s="85" t="s">
        <v>100</v>
      </c>
      <c r="F37" s="28" t="s">
        <v>22</v>
      </c>
      <c r="G37" s="28" t="s">
        <v>22</v>
      </c>
      <c r="H37" s="79" t="s">
        <v>66</v>
      </c>
      <c r="I37" s="79" t="s">
        <v>66</v>
      </c>
      <c r="J37" s="79" t="s">
        <v>66</v>
      </c>
      <c r="K37" s="79" t="s">
        <v>66</v>
      </c>
      <c r="L37" s="28" t="s">
        <v>22</v>
      </c>
      <c r="M37" s="28" t="s">
        <v>22</v>
      </c>
      <c r="N37" s="85" t="s">
        <v>100</v>
      </c>
      <c r="O37" s="85" t="s">
        <v>100</v>
      </c>
      <c r="P37" s="85" t="s">
        <v>100</v>
      </c>
      <c r="Q37" s="85" t="s">
        <v>100</v>
      </c>
      <c r="R37" s="28" t="s">
        <v>22</v>
      </c>
      <c r="S37" s="28" t="s">
        <v>22</v>
      </c>
      <c r="T37" s="79" t="s">
        <v>66</v>
      </c>
      <c r="U37" s="79" t="s">
        <v>66</v>
      </c>
      <c r="V37" s="79" t="s">
        <v>66</v>
      </c>
      <c r="W37" s="79" t="s">
        <v>66</v>
      </c>
      <c r="X37" s="28" t="s">
        <v>22</v>
      </c>
      <c r="Y37" s="28" t="s">
        <v>22</v>
      </c>
      <c r="Z37" s="85" t="s">
        <v>100</v>
      </c>
      <c r="AA37" s="85" t="s">
        <v>100</v>
      </c>
      <c r="AB37" s="85" t="s">
        <v>100</v>
      </c>
      <c r="AC37" s="85" t="s">
        <v>100</v>
      </c>
      <c r="AD37" s="28" t="s">
        <v>22</v>
      </c>
      <c r="AE37" s="28" t="s">
        <v>22</v>
      </c>
      <c r="AF37" s="79" t="s">
        <v>66</v>
      </c>
      <c r="AG37" s="79" t="s">
        <v>66</v>
      </c>
      <c r="AH37" s="79" t="s">
        <v>66</v>
      </c>
      <c r="AI37" s="189" t="s">
        <v>66</v>
      </c>
      <c r="AJ37" s="19"/>
      <c r="AK37" s="20"/>
      <c r="AL37" s="21">
        <f t="shared" si="0"/>
        <v>0</v>
      </c>
      <c r="AM37" s="20">
        <f t="shared" si="1"/>
        <v>0</v>
      </c>
      <c r="AN37" s="19"/>
      <c r="AO37" s="20"/>
      <c r="AP37" s="21">
        <f t="shared" si="2"/>
        <v>0</v>
      </c>
      <c r="AQ37" s="20">
        <f t="shared" si="3"/>
        <v>0</v>
      </c>
      <c r="AR37" s="19"/>
      <c r="AS37" s="21">
        <f t="shared" si="4"/>
        <v>21</v>
      </c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</row>
    <row r="38" spans="2:60">
      <c r="B38" s="278"/>
      <c r="C38" s="20" t="s">
        <v>103</v>
      </c>
      <c r="D38" s="20" t="s">
        <v>104</v>
      </c>
      <c r="E38" s="79" t="s">
        <v>66</v>
      </c>
      <c r="F38" s="79" t="s">
        <v>66</v>
      </c>
      <c r="G38" s="79" t="s">
        <v>66</v>
      </c>
      <c r="H38" s="28" t="s">
        <v>22</v>
      </c>
      <c r="I38" s="28" t="s">
        <v>22</v>
      </c>
      <c r="J38" s="85" t="s">
        <v>100</v>
      </c>
      <c r="K38" s="85" t="s">
        <v>100</v>
      </c>
      <c r="L38" s="85" t="s">
        <v>100</v>
      </c>
      <c r="M38" s="85" t="s">
        <v>100</v>
      </c>
      <c r="N38" s="28" t="s">
        <v>22</v>
      </c>
      <c r="O38" s="28" t="s">
        <v>22</v>
      </c>
      <c r="P38" s="79" t="s">
        <v>66</v>
      </c>
      <c r="Q38" s="79" t="s">
        <v>66</v>
      </c>
      <c r="R38" s="79" t="s">
        <v>66</v>
      </c>
      <c r="S38" s="79" t="s">
        <v>66</v>
      </c>
      <c r="T38" s="28" t="s">
        <v>22</v>
      </c>
      <c r="U38" s="28" t="s">
        <v>22</v>
      </c>
      <c r="V38" s="85" t="s">
        <v>100</v>
      </c>
      <c r="W38" s="85" t="s">
        <v>100</v>
      </c>
      <c r="X38" s="85" t="s">
        <v>100</v>
      </c>
      <c r="Y38" s="85" t="s">
        <v>100</v>
      </c>
      <c r="Z38" s="28" t="s">
        <v>22</v>
      </c>
      <c r="AA38" s="28" t="s">
        <v>22</v>
      </c>
      <c r="AB38" s="79" t="s">
        <v>66</v>
      </c>
      <c r="AC38" s="79" t="s">
        <v>66</v>
      </c>
      <c r="AD38" s="79" t="s">
        <v>66</v>
      </c>
      <c r="AE38" s="79" t="s">
        <v>66</v>
      </c>
      <c r="AF38" s="28" t="s">
        <v>22</v>
      </c>
      <c r="AG38" s="28" t="s">
        <v>22</v>
      </c>
      <c r="AH38" s="85" t="s">
        <v>100</v>
      </c>
      <c r="AI38" s="121" t="s">
        <v>100</v>
      </c>
      <c r="AJ38" s="19"/>
      <c r="AK38" s="20"/>
      <c r="AL38" s="21">
        <f t="shared" si="0"/>
        <v>0</v>
      </c>
      <c r="AM38" s="20">
        <f t="shared" si="1"/>
        <v>0</v>
      </c>
      <c r="AN38" s="19"/>
      <c r="AO38" s="20"/>
      <c r="AP38" s="21">
        <f t="shared" si="2"/>
        <v>0</v>
      </c>
      <c r="AQ38" s="20">
        <f t="shared" si="3"/>
        <v>0</v>
      </c>
      <c r="AR38" s="19"/>
      <c r="AS38" s="21">
        <f t="shared" si="4"/>
        <v>21</v>
      </c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</row>
    <row r="39" spans="2:60">
      <c r="B39" s="279"/>
      <c r="C39" s="108" t="s">
        <v>105</v>
      </c>
      <c r="D39" s="109" t="s">
        <v>106</v>
      </c>
      <c r="E39" s="199" t="s">
        <v>66</v>
      </c>
      <c r="F39" s="199" t="s">
        <v>66</v>
      </c>
      <c r="G39" s="199" t="s">
        <v>66</v>
      </c>
      <c r="H39" s="110" t="s">
        <v>22</v>
      </c>
      <c r="I39" s="110" t="s">
        <v>22</v>
      </c>
      <c r="J39" s="200" t="s">
        <v>100</v>
      </c>
      <c r="K39" s="200" t="s">
        <v>100</v>
      </c>
      <c r="L39" s="200" t="s">
        <v>100</v>
      </c>
      <c r="M39" s="200" t="s">
        <v>100</v>
      </c>
      <c r="N39" s="110" t="s">
        <v>22</v>
      </c>
      <c r="O39" s="110" t="s">
        <v>22</v>
      </c>
      <c r="P39" s="199" t="s">
        <v>66</v>
      </c>
      <c r="Q39" s="199" t="s">
        <v>66</v>
      </c>
      <c r="R39" s="199" t="s">
        <v>66</v>
      </c>
      <c r="S39" s="199" t="s">
        <v>66</v>
      </c>
      <c r="T39" s="110" t="s">
        <v>22</v>
      </c>
      <c r="U39" s="110" t="s">
        <v>22</v>
      </c>
      <c r="V39" s="200" t="s">
        <v>100</v>
      </c>
      <c r="W39" s="200" t="s">
        <v>100</v>
      </c>
      <c r="X39" s="200" t="s">
        <v>100</v>
      </c>
      <c r="Y39" s="200" t="s">
        <v>100</v>
      </c>
      <c r="Z39" s="110" t="s">
        <v>22</v>
      </c>
      <c r="AA39" s="110" t="s">
        <v>22</v>
      </c>
      <c r="AB39" s="199" t="s">
        <v>66</v>
      </c>
      <c r="AC39" s="199" t="s">
        <v>66</v>
      </c>
      <c r="AD39" s="199" t="s">
        <v>66</v>
      </c>
      <c r="AE39" s="199" t="s">
        <v>66</v>
      </c>
      <c r="AF39" s="110" t="s">
        <v>22</v>
      </c>
      <c r="AG39" s="110" t="s">
        <v>22</v>
      </c>
      <c r="AH39" s="200" t="s">
        <v>100</v>
      </c>
      <c r="AI39" s="201" t="s">
        <v>100</v>
      </c>
      <c r="AJ39" s="19"/>
      <c r="AK39" s="20"/>
      <c r="AL39" s="21">
        <f t="shared" si="0"/>
        <v>0</v>
      </c>
      <c r="AM39" s="20">
        <f t="shared" si="1"/>
        <v>0</v>
      </c>
      <c r="AN39" s="19"/>
      <c r="AO39" s="20"/>
      <c r="AP39" s="21">
        <f t="shared" si="2"/>
        <v>0</v>
      </c>
      <c r="AQ39" s="20">
        <f t="shared" si="3"/>
        <v>0</v>
      </c>
      <c r="AR39" s="19"/>
      <c r="AS39" s="21">
        <f t="shared" si="4"/>
        <v>21</v>
      </c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</row>
    <row r="40" spans="2:60" ht="15" customHeight="1">
      <c r="B40" s="280" t="s">
        <v>108</v>
      </c>
      <c r="C40" s="88" t="s">
        <v>109</v>
      </c>
      <c r="D40" s="88" t="s">
        <v>110</v>
      </c>
      <c r="E40" s="238" t="s">
        <v>107</v>
      </c>
      <c r="F40" s="238" t="s">
        <v>107</v>
      </c>
      <c r="G40" s="238" t="s">
        <v>107</v>
      </c>
      <c r="H40" s="238" t="s">
        <v>107</v>
      </c>
      <c r="I40" s="238" t="s">
        <v>107</v>
      </c>
      <c r="J40" s="238" t="s">
        <v>107</v>
      </c>
      <c r="K40" s="238" t="s">
        <v>107</v>
      </c>
      <c r="L40" s="238" t="s">
        <v>107</v>
      </c>
      <c r="M40" s="238" t="s">
        <v>107</v>
      </c>
      <c r="N40" s="238" t="s">
        <v>107</v>
      </c>
      <c r="O40" s="238" t="s">
        <v>107</v>
      </c>
      <c r="P40" s="238" t="s">
        <v>107</v>
      </c>
      <c r="Q40" s="238" t="s">
        <v>107</v>
      </c>
      <c r="R40" s="238" t="s">
        <v>107</v>
      </c>
      <c r="S40" s="238" t="s">
        <v>107</v>
      </c>
      <c r="T40" s="238" t="s">
        <v>107</v>
      </c>
      <c r="U40" s="238" t="s">
        <v>107</v>
      </c>
      <c r="V40" s="238" t="s">
        <v>107</v>
      </c>
      <c r="W40" s="238" t="s">
        <v>107</v>
      </c>
      <c r="X40" s="238" t="s">
        <v>107</v>
      </c>
      <c r="Y40" s="238" t="s">
        <v>107</v>
      </c>
      <c r="Z40" s="238" t="s">
        <v>107</v>
      </c>
      <c r="AA40" s="238" t="s">
        <v>107</v>
      </c>
      <c r="AB40" s="238" t="s">
        <v>107</v>
      </c>
      <c r="AC40" s="238" t="s">
        <v>107</v>
      </c>
      <c r="AD40" s="238" t="s">
        <v>107</v>
      </c>
      <c r="AE40" s="238" t="s">
        <v>107</v>
      </c>
      <c r="AF40" s="238" t="s">
        <v>107</v>
      </c>
      <c r="AG40" s="238" t="s">
        <v>107</v>
      </c>
      <c r="AH40" s="238" t="s">
        <v>107</v>
      </c>
      <c r="AI40" s="162" t="s">
        <v>107</v>
      </c>
      <c r="AJ40" s="19"/>
      <c r="AK40" s="20"/>
      <c r="AL40" s="21">
        <f t="shared" si="0"/>
        <v>0</v>
      </c>
      <c r="AM40" s="20">
        <f t="shared" si="1"/>
        <v>0</v>
      </c>
      <c r="AN40" s="19"/>
      <c r="AO40" s="20"/>
      <c r="AP40" s="21">
        <f t="shared" si="2"/>
        <v>0</v>
      </c>
      <c r="AQ40" s="20">
        <f t="shared" si="3"/>
        <v>0</v>
      </c>
      <c r="AR40" s="19"/>
      <c r="AS40" s="21">
        <f t="shared" si="4"/>
        <v>0</v>
      </c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</row>
    <row r="41" spans="2:60">
      <c r="B41" s="276"/>
      <c r="C41" s="22" t="s">
        <v>111</v>
      </c>
      <c r="D41" s="20" t="s">
        <v>112</v>
      </c>
      <c r="E41" s="80" t="s">
        <v>113</v>
      </c>
      <c r="F41" s="28" t="s">
        <v>22</v>
      </c>
      <c r="G41" s="28" t="s">
        <v>22</v>
      </c>
      <c r="H41" s="80" t="s">
        <v>113</v>
      </c>
      <c r="I41" s="80" t="s">
        <v>113</v>
      </c>
      <c r="J41" s="80" t="s">
        <v>113</v>
      </c>
      <c r="K41" s="80" t="s">
        <v>113</v>
      </c>
      <c r="L41" s="80" t="s">
        <v>113</v>
      </c>
      <c r="M41" s="28" t="s">
        <v>22</v>
      </c>
      <c r="N41" s="28" t="s">
        <v>22</v>
      </c>
      <c r="O41" s="80" t="s">
        <v>113</v>
      </c>
      <c r="P41" s="80" t="s">
        <v>113</v>
      </c>
      <c r="Q41" s="80" t="s">
        <v>113</v>
      </c>
      <c r="R41" s="80" t="s">
        <v>113</v>
      </c>
      <c r="S41" s="80" t="s">
        <v>113</v>
      </c>
      <c r="T41" s="28" t="s">
        <v>22</v>
      </c>
      <c r="U41" s="28" t="s">
        <v>22</v>
      </c>
      <c r="V41" s="80" t="s">
        <v>113</v>
      </c>
      <c r="W41" s="80" t="s">
        <v>113</v>
      </c>
      <c r="X41" s="80" t="s">
        <v>113</v>
      </c>
      <c r="Y41" s="80" t="s">
        <v>113</v>
      </c>
      <c r="Z41" s="80" t="s">
        <v>113</v>
      </c>
      <c r="AA41" s="28" t="s">
        <v>22</v>
      </c>
      <c r="AB41" s="28" t="s">
        <v>22</v>
      </c>
      <c r="AC41" s="80" t="s">
        <v>113</v>
      </c>
      <c r="AD41" s="80" t="s">
        <v>113</v>
      </c>
      <c r="AE41" s="80" t="s">
        <v>113</v>
      </c>
      <c r="AF41" s="80" t="s">
        <v>113</v>
      </c>
      <c r="AG41" s="80" t="s">
        <v>113</v>
      </c>
      <c r="AH41" s="28" t="s">
        <v>22</v>
      </c>
      <c r="AI41" s="91" t="s">
        <v>22</v>
      </c>
      <c r="AJ41" s="19"/>
      <c r="AK41" s="20"/>
      <c r="AL41" s="21">
        <f t="shared" si="0"/>
        <v>0</v>
      </c>
      <c r="AM41" s="20">
        <f t="shared" si="1"/>
        <v>0</v>
      </c>
      <c r="AN41" s="19"/>
      <c r="AO41" s="20"/>
      <c r="AP41" s="21">
        <f t="shared" si="2"/>
        <v>0</v>
      </c>
      <c r="AQ41" s="20">
        <f t="shared" si="3"/>
        <v>0</v>
      </c>
      <c r="AR41" s="19"/>
      <c r="AS41" s="21">
        <f t="shared" si="4"/>
        <v>21</v>
      </c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</row>
    <row r="42" spans="2:60">
      <c r="B42" s="276"/>
      <c r="C42" s="20" t="s">
        <v>114</v>
      </c>
      <c r="D42" s="20" t="s">
        <v>115</v>
      </c>
      <c r="E42" s="81" t="s">
        <v>116</v>
      </c>
      <c r="F42" s="28" t="s">
        <v>22</v>
      </c>
      <c r="G42" s="28" t="s">
        <v>22</v>
      </c>
      <c r="H42" s="81" t="s">
        <v>116</v>
      </c>
      <c r="I42" s="81" t="s">
        <v>116</v>
      </c>
      <c r="J42" s="81" t="s">
        <v>116</v>
      </c>
      <c r="K42" s="81" t="s">
        <v>116</v>
      </c>
      <c r="L42" s="81" t="s">
        <v>116</v>
      </c>
      <c r="M42" s="28" t="s">
        <v>22</v>
      </c>
      <c r="N42" s="28" t="s">
        <v>22</v>
      </c>
      <c r="O42" s="81" t="s">
        <v>116</v>
      </c>
      <c r="P42" s="81" t="s">
        <v>116</v>
      </c>
      <c r="Q42" s="81" t="s">
        <v>116</v>
      </c>
      <c r="R42" s="81" t="s">
        <v>116</v>
      </c>
      <c r="S42" s="81" t="s">
        <v>116</v>
      </c>
      <c r="T42" s="28" t="s">
        <v>22</v>
      </c>
      <c r="U42" s="28" t="s">
        <v>22</v>
      </c>
      <c r="V42" s="81" t="s">
        <v>116</v>
      </c>
      <c r="W42" s="81" t="s">
        <v>116</v>
      </c>
      <c r="X42" s="81" t="s">
        <v>116</v>
      </c>
      <c r="Y42" s="81" t="s">
        <v>116</v>
      </c>
      <c r="Z42" s="81" t="s">
        <v>116</v>
      </c>
      <c r="AA42" s="28" t="s">
        <v>22</v>
      </c>
      <c r="AB42" s="28" t="s">
        <v>22</v>
      </c>
      <c r="AC42" s="81" t="s">
        <v>116</v>
      </c>
      <c r="AD42" s="81" t="s">
        <v>116</v>
      </c>
      <c r="AE42" s="81" t="s">
        <v>116</v>
      </c>
      <c r="AF42" s="81" t="s">
        <v>116</v>
      </c>
      <c r="AG42" s="81" t="s">
        <v>116</v>
      </c>
      <c r="AH42" s="28" t="s">
        <v>22</v>
      </c>
      <c r="AI42" s="91" t="s">
        <v>22</v>
      </c>
      <c r="AJ42" s="19"/>
      <c r="AK42" s="20"/>
      <c r="AL42" s="21">
        <f t="shared" si="0"/>
        <v>0</v>
      </c>
      <c r="AM42" s="20">
        <f t="shared" si="1"/>
        <v>0</v>
      </c>
      <c r="AN42" s="19"/>
      <c r="AO42" s="26"/>
      <c r="AP42" s="21">
        <f t="shared" si="2"/>
        <v>0</v>
      </c>
      <c r="AQ42" s="44">
        <f t="shared" si="3"/>
        <v>0</v>
      </c>
      <c r="AR42" s="19"/>
      <c r="AS42" s="21">
        <f t="shared" si="4"/>
        <v>21</v>
      </c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</row>
    <row r="43" spans="2:60">
      <c r="B43" s="276"/>
      <c r="C43" s="22" t="s">
        <v>117</v>
      </c>
      <c r="D43" s="20" t="s">
        <v>118</v>
      </c>
      <c r="E43" s="60" t="s">
        <v>21</v>
      </c>
      <c r="F43" s="28" t="s">
        <v>22</v>
      </c>
      <c r="G43" s="28" t="s">
        <v>22</v>
      </c>
      <c r="H43" s="74" t="s">
        <v>23</v>
      </c>
      <c r="I43" s="74" t="s">
        <v>23</v>
      </c>
      <c r="J43" s="74" t="s">
        <v>23</v>
      </c>
      <c r="K43" s="74" t="s">
        <v>23</v>
      </c>
      <c r="L43" s="28" t="s">
        <v>22</v>
      </c>
      <c r="M43" s="28" t="s">
        <v>22</v>
      </c>
      <c r="N43" s="60" t="s">
        <v>21</v>
      </c>
      <c r="O43" s="60" t="s">
        <v>21</v>
      </c>
      <c r="P43" s="60" t="s">
        <v>21</v>
      </c>
      <c r="Q43" s="60" t="s">
        <v>21</v>
      </c>
      <c r="R43" s="28" t="s">
        <v>22</v>
      </c>
      <c r="S43" s="28" t="s">
        <v>22</v>
      </c>
      <c r="T43" s="74" t="s">
        <v>23</v>
      </c>
      <c r="U43" s="74" t="s">
        <v>23</v>
      </c>
      <c r="V43" s="74" t="s">
        <v>23</v>
      </c>
      <c r="W43" s="74" t="s">
        <v>23</v>
      </c>
      <c r="X43" s="28" t="s">
        <v>22</v>
      </c>
      <c r="Y43" s="28" t="s">
        <v>22</v>
      </c>
      <c r="Z43" s="60" t="s">
        <v>21</v>
      </c>
      <c r="AA43" s="60" t="s">
        <v>21</v>
      </c>
      <c r="AB43" s="60" t="s">
        <v>21</v>
      </c>
      <c r="AC43" s="60" t="s">
        <v>21</v>
      </c>
      <c r="AD43" s="28" t="s">
        <v>22</v>
      </c>
      <c r="AE43" s="28" t="s">
        <v>22</v>
      </c>
      <c r="AF43" s="74" t="s">
        <v>23</v>
      </c>
      <c r="AG43" s="74" t="s">
        <v>23</v>
      </c>
      <c r="AH43" s="74" t="s">
        <v>23</v>
      </c>
      <c r="AI43" s="89" t="s">
        <v>23</v>
      </c>
      <c r="AJ43" s="19"/>
      <c r="AK43" s="20"/>
      <c r="AL43" s="21">
        <f t="shared" si="0"/>
        <v>0</v>
      </c>
      <c r="AM43" s="20">
        <f t="shared" si="1"/>
        <v>0</v>
      </c>
      <c r="AN43" s="19"/>
      <c r="AO43" s="20"/>
      <c r="AP43" s="21">
        <f t="shared" si="2"/>
        <v>0</v>
      </c>
      <c r="AQ43" s="20">
        <f t="shared" si="3"/>
        <v>0</v>
      </c>
      <c r="AR43" s="19"/>
      <c r="AS43" s="21">
        <f t="shared" si="4"/>
        <v>21</v>
      </c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</row>
    <row r="44" spans="2:60">
      <c r="B44" s="276"/>
      <c r="C44" s="20" t="s">
        <v>119</v>
      </c>
      <c r="D44" s="20" t="s">
        <v>120</v>
      </c>
      <c r="E44" s="60" t="s">
        <v>21</v>
      </c>
      <c r="F44" s="28" t="s">
        <v>22</v>
      </c>
      <c r="G44" s="28" t="s">
        <v>22</v>
      </c>
      <c r="H44" s="74" t="s">
        <v>23</v>
      </c>
      <c r="I44" s="74" t="s">
        <v>23</v>
      </c>
      <c r="J44" s="74" t="s">
        <v>23</v>
      </c>
      <c r="K44" s="74" t="s">
        <v>23</v>
      </c>
      <c r="L44" s="28" t="s">
        <v>22</v>
      </c>
      <c r="M44" s="28" t="s">
        <v>22</v>
      </c>
      <c r="N44" s="60" t="s">
        <v>21</v>
      </c>
      <c r="O44" s="60" t="s">
        <v>21</v>
      </c>
      <c r="P44" s="60" t="s">
        <v>21</v>
      </c>
      <c r="Q44" s="60" t="s">
        <v>21</v>
      </c>
      <c r="R44" s="28" t="s">
        <v>22</v>
      </c>
      <c r="S44" s="28" t="s">
        <v>22</v>
      </c>
      <c r="T44" s="74" t="s">
        <v>23</v>
      </c>
      <c r="U44" s="74" t="s">
        <v>23</v>
      </c>
      <c r="V44" s="74" t="s">
        <v>23</v>
      </c>
      <c r="W44" s="74" t="s">
        <v>23</v>
      </c>
      <c r="X44" s="28" t="s">
        <v>22</v>
      </c>
      <c r="Y44" s="28" t="s">
        <v>22</v>
      </c>
      <c r="Z44" s="60" t="s">
        <v>21</v>
      </c>
      <c r="AA44" s="60" t="s">
        <v>21</v>
      </c>
      <c r="AB44" s="60" t="s">
        <v>21</v>
      </c>
      <c r="AC44" s="60" t="s">
        <v>21</v>
      </c>
      <c r="AD44" s="28" t="s">
        <v>22</v>
      </c>
      <c r="AE44" s="28" t="s">
        <v>22</v>
      </c>
      <c r="AF44" s="74" t="s">
        <v>23</v>
      </c>
      <c r="AG44" s="74" t="s">
        <v>23</v>
      </c>
      <c r="AH44" s="74" t="s">
        <v>23</v>
      </c>
      <c r="AI44" s="89" t="s">
        <v>23</v>
      </c>
      <c r="AJ44" s="19"/>
      <c r="AK44" s="20"/>
      <c r="AL44" s="21">
        <f t="shared" si="0"/>
        <v>0</v>
      </c>
      <c r="AM44" s="20">
        <f t="shared" si="1"/>
        <v>0</v>
      </c>
      <c r="AN44" s="19"/>
      <c r="AO44" s="20"/>
      <c r="AP44" s="21">
        <f t="shared" si="2"/>
        <v>0</v>
      </c>
      <c r="AQ44" s="20">
        <f t="shared" si="3"/>
        <v>0</v>
      </c>
      <c r="AR44" s="19"/>
      <c r="AS44" s="21">
        <f t="shared" si="4"/>
        <v>21</v>
      </c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</row>
    <row r="45" spans="2:60">
      <c r="B45" s="276"/>
      <c r="C45" s="22" t="s">
        <v>121</v>
      </c>
      <c r="D45" s="20" t="s">
        <v>122</v>
      </c>
      <c r="E45" s="28" t="s">
        <v>22</v>
      </c>
      <c r="F45" s="60" t="s">
        <v>21</v>
      </c>
      <c r="G45" s="60" t="s">
        <v>21</v>
      </c>
      <c r="H45" s="60" t="s">
        <v>21</v>
      </c>
      <c r="I45" s="60" t="s">
        <v>21</v>
      </c>
      <c r="J45" s="28" t="s">
        <v>22</v>
      </c>
      <c r="K45" s="28" t="s">
        <v>22</v>
      </c>
      <c r="L45" s="74" t="s">
        <v>23</v>
      </c>
      <c r="M45" s="74" t="s">
        <v>23</v>
      </c>
      <c r="N45" s="74" t="s">
        <v>23</v>
      </c>
      <c r="O45" s="74" t="s">
        <v>23</v>
      </c>
      <c r="P45" s="28" t="s">
        <v>22</v>
      </c>
      <c r="Q45" s="28" t="s">
        <v>22</v>
      </c>
      <c r="R45" s="60" t="s">
        <v>21</v>
      </c>
      <c r="S45" s="60" t="s">
        <v>21</v>
      </c>
      <c r="T45" s="60" t="s">
        <v>21</v>
      </c>
      <c r="U45" s="60" t="s">
        <v>21</v>
      </c>
      <c r="V45" s="28" t="s">
        <v>22</v>
      </c>
      <c r="W45" s="28" t="s">
        <v>22</v>
      </c>
      <c r="X45" s="74" t="s">
        <v>23</v>
      </c>
      <c r="Y45" s="74" t="s">
        <v>23</v>
      </c>
      <c r="Z45" s="74" t="s">
        <v>23</v>
      </c>
      <c r="AA45" s="74" t="s">
        <v>23</v>
      </c>
      <c r="AB45" s="28" t="s">
        <v>22</v>
      </c>
      <c r="AC45" s="28" t="s">
        <v>22</v>
      </c>
      <c r="AD45" s="60" t="s">
        <v>21</v>
      </c>
      <c r="AE45" s="60" t="s">
        <v>21</v>
      </c>
      <c r="AF45" s="60" t="s">
        <v>21</v>
      </c>
      <c r="AG45" s="60" t="s">
        <v>21</v>
      </c>
      <c r="AH45" s="28" t="s">
        <v>22</v>
      </c>
      <c r="AI45" s="91" t="s">
        <v>22</v>
      </c>
      <c r="AJ45" s="19"/>
      <c r="AK45" s="20"/>
      <c r="AL45" s="21">
        <f t="shared" si="0"/>
        <v>0</v>
      </c>
      <c r="AM45" s="20">
        <f t="shared" si="1"/>
        <v>0</v>
      </c>
      <c r="AN45" s="19"/>
      <c r="AO45" s="20"/>
      <c r="AP45" s="21">
        <f t="shared" si="2"/>
        <v>0</v>
      </c>
      <c r="AQ45" s="20">
        <f t="shared" si="3"/>
        <v>0</v>
      </c>
      <c r="AR45" s="19"/>
      <c r="AS45" s="21">
        <f t="shared" si="4"/>
        <v>20</v>
      </c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</row>
    <row r="46" spans="2:60" ht="15" customHeight="1">
      <c r="B46" s="276"/>
      <c r="C46" s="20" t="s">
        <v>124</v>
      </c>
      <c r="D46" s="20" t="s">
        <v>125</v>
      </c>
      <c r="E46" s="28" t="s">
        <v>22</v>
      </c>
      <c r="F46" s="60" t="s">
        <v>21</v>
      </c>
      <c r="G46" s="60" t="s">
        <v>21</v>
      </c>
      <c r="H46" s="60" t="s">
        <v>21</v>
      </c>
      <c r="I46" s="60" t="s">
        <v>21</v>
      </c>
      <c r="J46" s="28" t="s">
        <v>22</v>
      </c>
      <c r="K46" s="28" t="s">
        <v>22</v>
      </c>
      <c r="L46" s="74" t="s">
        <v>23</v>
      </c>
      <c r="M46" s="74" t="s">
        <v>23</v>
      </c>
      <c r="N46" s="74" t="s">
        <v>23</v>
      </c>
      <c r="O46" s="74" t="s">
        <v>23</v>
      </c>
      <c r="P46" s="28" t="s">
        <v>22</v>
      </c>
      <c r="Q46" s="28" t="s">
        <v>22</v>
      </c>
      <c r="R46" s="60" t="s">
        <v>21</v>
      </c>
      <c r="S46" s="60" t="s">
        <v>21</v>
      </c>
      <c r="T46" s="60" t="s">
        <v>21</v>
      </c>
      <c r="U46" s="60" t="s">
        <v>21</v>
      </c>
      <c r="V46" s="28" t="s">
        <v>22</v>
      </c>
      <c r="W46" s="28" t="s">
        <v>22</v>
      </c>
      <c r="X46" s="74" t="s">
        <v>23</v>
      </c>
      <c r="Y46" s="74" t="s">
        <v>23</v>
      </c>
      <c r="Z46" s="74" t="s">
        <v>23</v>
      </c>
      <c r="AA46" s="74" t="s">
        <v>23</v>
      </c>
      <c r="AB46" s="28" t="s">
        <v>22</v>
      </c>
      <c r="AC46" s="28" t="s">
        <v>22</v>
      </c>
      <c r="AD46" s="60" t="s">
        <v>21</v>
      </c>
      <c r="AE46" s="60" t="s">
        <v>21</v>
      </c>
      <c r="AF46" s="60" t="s">
        <v>21</v>
      </c>
      <c r="AG46" s="60" t="s">
        <v>21</v>
      </c>
      <c r="AH46" s="28" t="s">
        <v>22</v>
      </c>
      <c r="AI46" s="91" t="s">
        <v>22</v>
      </c>
      <c r="AJ46" s="19"/>
      <c r="AK46" s="20"/>
      <c r="AL46" s="21">
        <f t="shared" si="0"/>
        <v>0</v>
      </c>
      <c r="AM46" s="20">
        <f t="shared" si="1"/>
        <v>0</v>
      </c>
      <c r="AN46" s="19"/>
      <c r="AO46" s="20"/>
      <c r="AP46" s="21">
        <f t="shared" si="2"/>
        <v>0</v>
      </c>
      <c r="AQ46" s="20">
        <f t="shared" si="3"/>
        <v>0</v>
      </c>
      <c r="AR46" s="19"/>
      <c r="AS46" s="21">
        <f t="shared" si="4"/>
        <v>20</v>
      </c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</row>
    <row r="47" spans="2:60">
      <c r="B47" s="281"/>
      <c r="C47" s="92" t="s">
        <v>126</v>
      </c>
      <c r="D47" s="93" t="s">
        <v>127</v>
      </c>
      <c r="E47" s="96" t="s">
        <v>23</v>
      </c>
      <c r="F47" s="96" t="s">
        <v>23</v>
      </c>
      <c r="G47" s="96" t="s">
        <v>23</v>
      </c>
      <c r="H47" s="94" t="s">
        <v>22</v>
      </c>
      <c r="I47" s="94" t="s">
        <v>22</v>
      </c>
      <c r="J47" s="95" t="s">
        <v>21</v>
      </c>
      <c r="K47" s="95" t="s">
        <v>21</v>
      </c>
      <c r="L47" s="95" t="s">
        <v>21</v>
      </c>
      <c r="M47" s="95" t="s">
        <v>21</v>
      </c>
      <c r="N47" s="94" t="s">
        <v>22</v>
      </c>
      <c r="O47" s="94" t="s">
        <v>22</v>
      </c>
      <c r="P47" s="96" t="s">
        <v>23</v>
      </c>
      <c r="Q47" s="96" t="s">
        <v>23</v>
      </c>
      <c r="R47" s="96" t="s">
        <v>23</v>
      </c>
      <c r="S47" s="96" t="s">
        <v>23</v>
      </c>
      <c r="T47" s="94" t="s">
        <v>22</v>
      </c>
      <c r="U47" s="94" t="s">
        <v>22</v>
      </c>
      <c r="V47" s="95" t="s">
        <v>21</v>
      </c>
      <c r="W47" s="95" t="s">
        <v>21</v>
      </c>
      <c r="X47" s="95" t="s">
        <v>21</v>
      </c>
      <c r="Y47" s="95" t="s">
        <v>21</v>
      </c>
      <c r="Z47" s="94" t="s">
        <v>22</v>
      </c>
      <c r="AA47" s="94" t="s">
        <v>22</v>
      </c>
      <c r="AB47" s="96" t="s">
        <v>23</v>
      </c>
      <c r="AC47" s="96" t="s">
        <v>23</v>
      </c>
      <c r="AD47" s="96" t="s">
        <v>23</v>
      </c>
      <c r="AE47" s="96" t="s">
        <v>23</v>
      </c>
      <c r="AF47" s="94" t="s">
        <v>22</v>
      </c>
      <c r="AG47" s="94" t="s">
        <v>22</v>
      </c>
      <c r="AH47" s="95" t="s">
        <v>21</v>
      </c>
      <c r="AI47" s="122" t="s">
        <v>21</v>
      </c>
      <c r="AJ47" s="19"/>
      <c r="AK47" s="20"/>
      <c r="AL47" s="21">
        <f t="shared" si="0"/>
        <v>0</v>
      </c>
      <c r="AM47" s="20">
        <f t="shared" si="1"/>
        <v>0</v>
      </c>
      <c r="AN47" s="19"/>
      <c r="AO47" s="20"/>
      <c r="AP47" s="21">
        <f t="shared" si="2"/>
        <v>0</v>
      </c>
      <c r="AQ47" s="20">
        <f t="shared" si="3"/>
        <v>0</v>
      </c>
      <c r="AR47" s="19"/>
      <c r="AS47" s="21">
        <f t="shared" si="4"/>
        <v>21</v>
      </c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</row>
    <row r="48" spans="2:60">
      <c r="B48" s="42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</row>
    <row r="49" spans="2:56">
      <c r="B49" s="282" t="s">
        <v>252</v>
      </c>
      <c r="C49" s="286" t="s">
        <v>253</v>
      </c>
      <c r="D49" s="286"/>
      <c r="E49" s="21">
        <f>COUNTIF(C5:C47,$C$49)</f>
        <v>0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</row>
    <row r="50" spans="2:56">
      <c r="B50" s="282"/>
      <c r="C50" s="286" t="s">
        <v>253</v>
      </c>
      <c r="D50" s="286"/>
      <c r="E50" s="21">
        <f>COUNTIF(C5:C47,$C$50)</f>
        <v>0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</row>
    <row r="51" spans="2:56">
      <c r="C51" s="286" t="s">
        <v>128</v>
      </c>
      <c r="D51" s="286"/>
      <c r="E51" s="21">
        <f>E49+E50</f>
        <v>0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</row>
    <row r="52" spans="2:56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</row>
    <row r="53" spans="2:56"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</row>
    <row r="54" spans="2:56">
      <c r="C54" s="19"/>
      <c r="D54" s="19"/>
      <c r="E54" s="28" t="s">
        <v>22</v>
      </c>
      <c r="F54" s="250" t="s">
        <v>129</v>
      </c>
      <c r="G54" s="251"/>
      <c r="H54" s="251"/>
      <c r="I54" s="252"/>
      <c r="J54" s="19"/>
      <c r="K54" s="29" t="s">
        <v>130</v>
      </c>
      <c r="L54" s="250" t="s">
        <v>131</v>
      </c>
      <c r="M54" s="251"/>
      <c r="N54" s="251"/>
      <c r="O54" s="252"/>
      <c r="P54" s="19"/>
      <c r="Q54" s="256" t="s">
        <v>132</v>
      </c>
      <c r="R54" s="256"/>
      <c r="S54" s="256"/>
      <c r="T54" s="25"/>
      <c r="V54" s="258" t="s">
        <v>133</v>
      </c>
      <c r="W54" s="258"/>
      <c r="X54" s="258"/>
      <c r="Y54" s="258" t="s">
        <v>134</v>
      </c>
      <c r="Z54" s="258"/>
      <c r="AA54" s="258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</row>
    <row r="55" spans="2:56">
      <c r="C55" s="19"/>
      <c r="D55" s="19"/>
      <c r="E55" s="28" t="s">
        <v>135</v>
      </c>
      <c r="F55" s="250" t="s">
        <v>136</v>
      </c>
      <c r="G55" s="251"/>
      <c r="H55" s="251"/>
      <c r="I55" s="252"/>
      <c r="J55" s="19"/>
      <c r="K55" s="29" t="s">
        <v>123</v>
      </c>
      <c r="L55" s="250" t="s">
        <v>137</v>
      </c>
      <c r="M55" s="251"/>
      <c r="N55" s="251"/>
      <c r="O55" s="252"/>
      <c r="P55" s="19"/>
      <c r="Q55" s="21" t="s">
        <v>20</v>
      </c>
      <c r="R55" s="283" t="s">
        <v>138</v>
      </c>
      <c r="S55" s="284"/>
      <c r="U55" s="57" t="s">
        <v>29</v>
      </c>
      <c r="V55" s="240" t="s">
        <v>139</v>
      </c>
      <c r="W55" s="240"/>
      <c r="X55" s="240"/>
      <c r="Y55" s="240" t="s">
        <v>140</v>
      </c>
      <c r="Z55" s="240"/>
      <c r="AA55" s="240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</row>
    <row r="56" spans="2:56">
      <c r="C56" s="19"/>
      <c r="D56" s="19"/>
      <c r="E56" s="30" t="s">
        <v>20</v>
      </c>
      <c r="F56" s="250" t="s">
        <v>141</v>
      </c>
      <c r="G56" s="251"/>
      <c r="H56" s="251"/>
      <c r="I56" s="252"/>
      <c r="J56" s="19"/>
      <c r="K56" s="28" t="s">
        <v>107</v>
      </c>
      <c r="L56" s="250" t="s">
        <v>142</v>
      </c>
      <c r="M56" s="251"/>
      <c r="N56" s="251"/>
      <c r="O56" s="252"/>
      <c r="P56" s="19"/>
      <c r="Q56" s="21" t="s">
        <v>143</v>
      </c>
      <c r="R56" s="283" t="s">
        <v>144</v>
      </c>
      <c r="S56" s="284"/>
      <c r="U56" s="46" t="s">
        <v>145</v>
      </c>
      <c r="V56" s="240" t="s">
        <v>146</v>
      </c>
      <c r="W56" s="240"/>
      <c r="X56" s="240"/>
      <c r="Y56" s="240" t="s">
        <v>147</v>
      </c>
      <c r="Z56" s="240"/>
      <c r="AA56" s="240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</row>
    <row r="57" spans="2:56">
      <c r="C57" s="19"/>
      <c r="D57" s="19"/>
      <c r="E57" s="31" t="s">
        <v>36</v>
      </c>
      <c r="F57" s="250" t="s">
        <v>148</v>
      </c>
      <c r="G57" s="251"/>
      <c r="H57" s="251"/>
      <c r="I57" s="252"/>
      <c r="J57" s="19"/>
      <c r="K57" s="28" t="s">
        <v>143</v>
      </c>
      <c r="L57" s="250" t="s">
        <v>142</v>
      </c>
      <c r="M57" s="251"/>
      <c r="N57" s="251"/>
      <c r="O57" s="252"/>
      <c r="P57" s="19"/>
      <c r="Q57" s="21" t="s">
        <v>149</v>
      </c>
      <c r="R57" s="259" t="s">
        <v>150</v>
      </c>
      <c r="S57" s="260"/>
      <c r="U57" s="47" t="s">
        <v>151</v>
      </c>
      <c r="V57" s="240" t="s">
        <v>152</v>
      </c>
      <c r="W57" s="240"/>
      <c r="X57" s="240"/>
      <c r="Y57" s="240" t="s">
        <v>153</v>
      </c>
      <c r="Z57" s="240"/>
      <c r="AA57" s="240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</row>
    <row r="58" spans="2:56">
      <c r="C58" s="19"/>
      <c r="D58" s="19"/>
      <c r="E58" s="31" t="s">
        <v>33</v>
      </c>
      <c r="F58" s="250" t="s">
        <v>154</v>
      </c>
      <c r="G58" s="251"/>
      <c r="H58" s="251"/>
      <c r="I58" s="252"/>
      <c r="J58" s="19"/>
      <c r="K58" s="28" t="s">
        <v>155</v>
      </c>
      <c r="L58" s="250" t="s">
        <v>142</v>
      </c>
      <c r="M58" s="251"/>
      <c r="N58" s="251"/>
      <c r="O58" s="252"/>
      <c r="P58" s="19"/>
      <c r="Q58" s="21" t="s">
        <v>156</v>
      </c>
      <c r="R58" s="282" t="s">
        <v>157</v>
      </c>
      <c r="S58" s="282"/>
      <c r="U58" s="58" t="s">
        <v>100</v>
      </c>
      <c r="V58" s="240" t="s">
        <v>158</v>
      </c>
      <c r="W58" s="240"/>
      <c r="X58" s="240"/>
      <c r="Y58" s="240" t="s">
        <v>159</v>
      </c>
      <c r="Z58" s="240"/>
      <c r="AA58" s="240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</row>
    <row r="59" spans="2:56">
      <c r="C59" s="19"/>
      <c r="D59" s="19"/>
      <c r="E59" s="32" t="s">
        <v>20</v>
      </c>
      <c r="F59" s="250" t="s">
        <v>160</v>
      </c>
      <c r="G59" s="251"/>
      <c r="H59" s="251"/>
      <c r="I59" s="252"/>
      <c r="J59" s="19"/>
      <c r="K59" s="33" t="s">
        <v>81</v>
      </c>
      <c r="L59" s="250" t="s">
        <v>161</v>
      </c>
      <c r="M59" s="251"/>
      <c r="N59" s="251"/>
      <c r="O59" s="252"/>
      <c r="P59" s="19"/>
      <c r="Q59" s="21" t="s">
        <v>162</v>
      </c>
      <c r="R59" s="282" t="s">
        <v>163</v>
      </c>
      <c r="S59" s="282"/>
      <c r="U59" s="59" t="s">
        <v>164</v>
      </c>
      <c r="V59" s="240" t="s">
        <v>165</v>
      </c>
      <c r="W59" s="240"/>
      <c r="X59" s="240"/>
      <c r="Y59" s="240" t="s">
        <v>166</v>
      </c>
      <c r="Z59" s="240"/>
      <c r="AA59" s="240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</row>
    <row r="60" spans="2:56">
      <c r="C60" s="19"/>
      <c r="D60" s="19"/>
      <c r="E60" s="32" t="s">
        <v>36</v>
      </c>
      <c r="F60" s="250" t="s">
        <v>167</v>
      </c>
      <c r="G60" s="251"/>
      <c r="H60" s="251"/>
      <c r="I60" s="252"/>
      <c r="J60" s="19"/>
      <c r="K60" s="28" t="s">
        <v>168</v>
      </c>
      <c r="L60" s="250" t="s">
        <v>161</v>
      </c>
      <c r="M60" s="251"/>
      <c r="N60" s="251"/>
      <c r="O60" s="252"/>
      <c r="T60" s="19"/>
      <c r="U60" s="72" t="s">
        <v>169</v>
      </c>
      <c r="V60" s="240" t="s">
        <v>170</v>
      </c>
      <c r="W60" s="240"/>
      <c r="X60" s="240"/>
      <c r="Y60" s="240" t="s">
        <v>171</v>
      </c>
      <c r="Z60" s="240"/>
      <c r="AA60" s="240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</row>
    <row r="61" spans="2:56">
      <c r="C61" s="19"/>
      <c r="D61" s="19"/>
      <c r="E61" s="34" t="s">
        <v>26</v>
      </c>
      <c r="F61" s="250" t="s">
        <v>172</v>
      </c>
      <c r="G61" s="251"/>
      <c r="H61" s="251"/>
      <c r="I61" s="252"/>
      <c r="J61" s="19"/>
      <c r="K61" s="28" t="s">
        <v>173</v>
      </c>
      <c r="L61" s="250" t="s">
        <v>161</v>
      </c>
      <c r="M61" s="251"/>
      <c r="N61" s="251"/>
      <c r="O61" s="252"/>
      <c r="T61" s="19"/>
      <c r="U61" s="60" t="s">
        <v>21</v>
      </c>
      <c r="V61" s="240" t="s">
        <v>174</v>
      </c>
      <c r="W61" s="240"/>
      <c r="X61" s="240"/>
      <c r="Y61" s="240" t="s">
        <v>175</v>
      </c>
      <c r="Z61" s="240"/>
      <c r="AA61" s="240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</row>
    <row r="62" spans="2:56">
      <c r="C62" s="19"/>
      <c r="D62" s="19"/>
      <c r="E62" s="34" t="s">
        <v>176</v>
      </c>
      <c r="F62" s="250" t="s">
        <v>177</v>
      </c>
      <c r="G62" s="251"/>
      <c r="H62" s="251"/>
      <c r="I62" s="252"/>
      <c r="J62" s="19"/>
      <c r="K62" s="28" t="s">
        <v>178</v>
      </c>
      <c r="L62" s="250" t="s">
        <v>161</v>
      </c>
      <c r="M62" s="251"/>
      <c r="N62" s="251"/>
      <c r="O62" s="252"/>
      <c r="T62" s="19"/>
      <c r="U62" s="61" t="s">
        <v>179</v>
      </c>
      <c r="V62" s="240" t="s">
        <v>180</v>
      </c>
      <c r="W62" s="240"/>
      <c r="X62" s="240"/>
      <c r="Y62" s="240" t="s">
        <v>181</v>
      </c>
      <c r="Z62" s="240"/>
      <c r="AA62" s="240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</row>
    <row r="63" spans="2:56">
      <c r="C63" s="19"/>
      <c r="D63" s="19"/>
      <c r="E63" s="32" t="s">
        <v>182</v>
      </c>
      <c r="F63" s="250" t="s">
        <v>183</v>
      </c>
      <c r="G63" s="251"/>
      <c r="H63" s="251"/>
      <c r="I63" s="252"/>
      <c r="J63" s="19"/>
      <c r="K63" s="27" t="s">
        <v>67</v>
      </c>
      <c r="L63" s="250" t="s">
        <v>161</v>
      </c>
      <c r="M63" s="251"/>
      <c r="N63" s="251"/>
      <c r="O63" s="252"/>
      <c r="P63" s="19"/>
      <c r="Q63" s="19"/>
      <c r="R63" s="19"/>
      <c r="S63" s="19"/>
      <c r="T63" s="19"/>
      <c r="U63" s="62" t="s">
        <v>184</v>
      </c>
      <c r="V63" s="240" t="s">
        <v>185</v>
      </c>
      <c r="W63" s="240"/>
      <c r="X63" s="240"/>
      <c r="Y63" s="240" t="s">
        <v>186</v>
      </c>
      <c r="Z63" s="240"/>
      <c r="AA63" s="240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</row>
    <row r="64" spans="2:56">
      <c r="C64" s="19"/>
      <c r="D64" s="19"/>
      <c r="E64" s="33" t="s">
        <v>30</v>
      </c>
      <c r="F64" s="250" t="s">
        <v>187</v>
      </c>
      <c r="G64" s="251"/>
      <c r="H64" s="251"/>
      <c r="I64" s="252"/>
      <c r="J64" s="19"/>
      <c r="K64" s="28" t="s">
        <v>188</v>
      </c>
      <c r="L64" s="250" t="s">
        <v>161</v>
      </c>
      <c r="M64" s="251"/>
      <c r="N64" s="251"/>
      <c r="O64" s="252"/>
      <c r="P64" s="19"/>
      <c r="Q64" s="19"/>
      <c r="R64" s="19"/>
      <c r="S64" s="19"/>
      <c r="T64" s="19"/>
      <c r="U64" s="50" t="s">
        <v>42</v>
      </c>
      <c r="V64" s="240" t="s">
        <v>189</v>
      </c>
      <c r="W64" s="240"/>
      <c r="X64" s="240"/>
      <c r="Y64" s="240" t="s">
        <v>190</v>
      </c>
      <c r="Z64" s="240"/>
      <c r="AA64" s="240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</row>
    <row r="65" spans="3:56">
      <c r="C65" s="19"/>
      <c r="D65" s="19"/>
      <c r="E65" s="35" t="s">
        <v>191</v>
      </c>
      <c r="F65" s="250" t="s">
        <v>192</v>
      </c>
      <c r="G65" s="251"/>
      <c r="H65" s="251"/>
      <c r="I65" s="252"/>
      <c r="J65" s="19"/>
      <c r="K65" s="28" t="s">
        <v>193</v>
      </c>
      <c r="L65" s="250" t="s">
        <v>161</v>
      </c>
      <c r="M65" s="251"/>
      <c r="N65" s="251"/>
      <c r="O65" s="252"/>
      <c r="P65" s="19"/>
      <c r="Q65" s="19"/>
      <c r="R65" s="19"/>
      <c r="S65" s="19"/>
      <c r="T65" s="19"/>
      <c r="U65" s="51" t="s">
        <v>194</v>
      </c>
      <c r="V65" s="240" t="s">
        <v>195</v>
      </c>
      <c r="W65" s="240"/>
      <c r="X65" s="240"/>
      <c r="Y65" s="240" t="s">
        <v>196</v>
      </c>
      <c r="Z65" s="240"/>
      <c r="AA65" s="240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</row>
    <row r="66" spans="3:56">
      <c r="C66" s="19"/>
      <c r="D66" s="19"/>
      <c r="E66" s="36" t="s">
        <v>197</v>
      </c>
      <c r="F66" s="250" t="s">
        <v>198</v>
      </c>
      <c r="G66" s="251"/>
      <c r="H66" s="251"/>
      <c r="I66" s="252"/>
      <c r="J66" s="19"/>
      <c r="K66" s="37" t="s">
        <v>199</v>
      </c>
      <c r="L66" s="250" t="s">
        <v>161</v>
      </c>
      <c r="M66" s="251"/>
      <c r="N66" s="251"/>
      <c r="O66" s="252"/>
      <c r="P66" s="19"/>
      <c r="Q66" s="19"/>
      <c r="R66" s="19"/>
      <c r="S66" s="19"/>
      <c r="T66" s="19"/>
      <c r="U66" s="49" t="s">
        <v>200</v>
      </c>
      <c r="V66" s="240" t="s">
        <v>201</v>
      </c>
      <c r="W66" s="240"/>
      <c r="X66" s="240"/>
      <c r="Y66" s="240" t="s">
        <v>202</v>
      </c>
      <c r="Z66" s="240"/>
      <c r="AA66" s="240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</row>
    <row r="67" spans="3:56">
      <c r="C67" s="19"/>
      <c r="D67" s="19"/>
      <c r="E67" s="27" t="s">
        <v>203</v>
      </c>
      <c r="F67" s="250" t="s">
        <v>204</v>
      </c>
      <c r="G67" s="251"/>
      <c r="H67" s="251"/>
      <c r="I67" s="252"/>
      <c r="J67" s="19"/>
      <c r="K67" s="28" t="s">
        <v>205</v>
      </c>
      <c r="L67" s="250" t="s">
        <v>161</v>
      </c>
      <c r="M67" s="251"/>
      <c r="N67" s="251"/>
      <c r="O67" s="252"/>
      <c r="P67" s="19"/>
      <c r="Q67" s="19"/>
      <c r="R67" s="19"/>
      <c r="S67" s="19"/>
      <c r="T67" s="19"/>
      <c r="U67" s="63" t="s">
        <v>206</v>
      </c>
      <c r="V67" s="240" t="s">
        <v>207</v>
      </c>
      <c r="W67" s="240"/>
      <c r="X67" s="240"/>
      <c r="Y67" s="240" t="s">
        <v>208</v>
      </c>
      <c r="Z67" s="240"/>
      <c r="AA67" s="240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</row>
    <row r="68" spans="3:56">
      <c r="C68" s="19"/>
      <c r="D68" s="19"/>
      <c r="E68" s="36" t="s">
        <v>209</v>
      </c>
      <c r="F68" s="250" t="s">
        <v>210</v>
      </c>
      <c r="G68" s="251"/>
      <c r="H68" s="251"/>
      <c r="I68" s="252"/>
      <c r="J68" s="19"/>
      <c r="K68" s="38" t="s">
        <v>211</v>
      </c>
      <c r="L68" s="250" t="s">
        <v>212</v>
      </c>
      <c r="M68" s="251"/>
      <c r="N68" s="251"/>
      <c r="O68" s="252"/>
      <c r="P68" s="19"/>
      <c r="Q68" s="19"/>
      <c r="R68" s="19"/>
      <c r="S68" s="19"/>
      <c r="T68" s="19"/>
      <c r="U68" s="56" t="s">
        <v>116</v>
      </c>
      <c r="V68" s="240" t="s">
        <v>213</v>
      </c>
      <c r="W68" s="240"/>
      <c r="X68" s="240"/>
      <c r="Y68" s="240" t="s">
        <v>214</v>
      </c>
      <c r="Z68" s="240"/>
      <c r="AA68" s="240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</row>
    <row r="69" spans="3:56">
      <c r="C69" s="19"/>
      <c r="D69" s="19"/>
      <c r="U69" s="54" t="s">
        <v>215</v>
      </c>
      <c r="V69" s="240" t="s">
        <v>216</v>
      </c>
      <c r="W69" s="240"/>
      <c r="X69" s="240"/>
      <c r="Y69" s="240" t="s">
        <v>217</v>
      </c>
      <c r="Z69" s="240"/>
      <c r="AA69" s="240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</row>
    <row r="70" spans="3:56"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55" t="s">
        <v>113</v>
      </c>
      <c r="V70" s="240" t="s">
        <v>218</v>
      </c>
      <c r="W70" s="240"/>
      <c r="X70" s="240"/>
      <c r="Y70" s="240" t="s">
        <v>219</v>
      </c>
      <c r="Z70" s="240"/>
      <c r="AA70" s="240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</row>
    <row r="71" spans="3:56"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64" t="s">
        <v>220</v>
      </c>
      <c r="V71" s="240" t="s">
        <v>221</v>
      </c>
      <c r="W71" s="240"/>
      <c r="X71" s="240"/>
      <c r="Y71" s="240" t="s">
        <v>222</v>
      </c>
      <c r="Z71" s="240"/>
      <c r="AA71" s="240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</row>
    <row r="72" spans="3:56"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65" t="s">
        <v>223</v>
      </c>
      <c r="V72" s="240" t="s">
        <v>224</v>
      </c>
      <c r="W72" s="240"/>
      <c r="X72" s="240"/>
      <c r="Y72" s="240" t="s">
        <v>225</v>
      </c>
      <c r="Z72" s="240"/>
      <c r="AA72" s="240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</row>
    <row r="73" spans="3:56"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66" t="s">
        <v>226</v>
      </c>
      <c r="V73" s="240" t="s">
        <v>227</v>
      </c>
      <c r="W73" s="240"/>
      <c r="X73" s="240"/>
      <c r="Y73" s="240" t="s">
        <v>228</v>
      </c>
      <c r="Z73" s="240"/>
      <c r="AA73" s="240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</row>
    <row r="74" spans="3:56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67" t="s">
        <v>84</v>
      </c>
      <c r="V74" s="240" t="s">
        <v>229</v>
      </c>
      <c r="W74" s="240"/>
      <c r="X74" s="240"/>
      <c r="Y74" s="240" t="s">
        <v>230</v>
      </c>
      <c r="Z74" s="240"/>
      <c r="AA74" s="240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</row>
    <row r="75" spans="3:56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68" t="s">
        <v>41</v>
      </c>
      <c r="V75" s="240" t="s">
        <v>231</v>
      </c>
      <c r="W75" s="240"/>
      <c r="X75" s="240"/>
      <c r="Y75" s="240" t="s">
        <v>232</v>
      </c>
      <c r="Z75" s="240"/>
      <c r="AA75" s="240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</row>
    <row r="76" spans="3:56"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69" t="s">
        <v>233</v>
      </c>
      <c r="V76" s="240" t="s">
        <v>234</v>
      </c>
      <c r="W76" s="240"/>
      <c r="X76" s="240"/>
      <c r="Y76" s="240" t="s">
        <v>235</v>
      </c>
      <c r="Z76" s="240"/>
      <c r="AA76" s="240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</row>
    <row r="77" spans="3:56"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70" t="s">
        <v>66</v>
      </c>
      <c r="V77" s="240" t="s">
        <v>236</v>
      </c>
      <c r="W77" s="240"/>
      <c r="X77" s="240"/>
      <c r="Y77" s="240" t="s">
        <v>237</v>
      </c>
      <c r="Z77" s="240"/>
      <c r="AA77" s="240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</row>
    <row r="78" spans="3:56"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52" t="s">
        <v>23</v>
      </c>
      <c r="V78" s="240" t="s">
        <v>238</v>
      </c>
      <c r="W78" s="240"/>
      <c r="X78" s="240"/>
      <c r="Y78" s="240" t="s">
        <v>239</v>
      </c>
      <c r="Z78" s="240"/>
      <c r="AA78" s="240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</row>
    <row r="79" spans="3:56"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53" t="s">
        <v>240</v>
      </c>
      <c r="V79" s="240" t="s">
        <v>241</v>
      </c>
      <c r="W79" s="240"/>
      <c r="X79" s="240"/>
      <c r="Y79" s="240" t="s">
        <v>242</v>
      </c>
      <c r="Z79" s="240"/>
      <c r="AA79" s="240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</row>
    <row r="80" spans="3:56"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71" t="s">
        <v>243</v>
      </c>
      <c r="V80" s="240" t="s">
        <v>244</v>
      </c>
      <c r="W80" s="240"/>
      <c r="X80" s="240"/>
      <c r="Y80" s="240" t="s">
        <v>245</v>
      </c>
      <c r="Z80" s="240"/>
      <c r="AA80" s="240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</row>
    <row r="81" spans="3:56"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48" t="s">
        <v>246</v>
      </c>
      <c r="V81" s="240" t="s">
        <v>247</v>
      </c>
      <c r="W81" s="240"/>
      <c r="X81" s="240"/>
      <c r="Y81" s="240" t="s">
        <v>248</v>
      </c>
      <c r="Z81" s="240"/>
      <c r="AA81" s="240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</row>
    <row r="82" spans="3:56"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</row>
    <row r="83" spans="3:56"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</row>
    <row r="84" spans="3:56"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</row>
    <row r="85" spans="3:56"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</row>
    <row r="86" spans="3:56"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</row>
    <row r="87" spans="3:56"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</row>
    <row r="88" spans="3:56"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</row>
    <row r="89" spans="3:56"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</row>
    <row r="90" spans="3:56"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</row>
    <row r="91" spans="3:56"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</row>
    <row r="92" spans="3:56"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</row>
    <row r="93" spans="3:56"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</row>
    <row r="94" spans="3:56"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</row>
    <row r="95" spans="3:56"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</row>
    <row r="96" spans="3:56"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</row>
    <row r="97" spans="3:56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</row>
    <row r="98" spans="3:56"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</row>
    <row r="99" spans="3:56"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</row>
    <row r="100" spans="3:56"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</row>
    <row r="101" spans="3:56"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</row>
    <row r="102" spans="3:56"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</row>
    <row r="103" spans="3:56"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</row>
    <row r="104" spans="3:56"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</row>
    <row r="105" spans="3:56"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</row>
    <row r="106" spans="3:56"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</row>
    <row r="107" spans="3:56"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</row>
    <row r="108" spans="3:56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</row>
    <row r="109" spans="3:56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</row>
    <row r="110" spans="3:56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</row>
    <row r="111" spans="3:56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</row>
    <row r="112" spans="3:56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</row>
    <row r="113" spans="3:56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</row>
    <row r="114" spans="3:56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</row>
    <row r="115" spans="3:56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</row>
    <row r="116" spans="3:56"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</row>
    <row r="117" spans="3:56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</row>
    <row r="118" spans="3:56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</row>
    <row r="119" spans="3:56"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</row>
    <row r="120" spans="3:56"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</row>
    <row r="121" spans="3:56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</row>
    <row r="122" spans="3:56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</row>
    <row r="123" spans="3:56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</row>
    <row r="124" spans="3:56"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</row>
    <row r="125" spans="3:56"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</row>
    <row r="126" spans="3:56"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</row>
    <row r="127" spans="3:56"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</row>
    <row r="128" spans="3:56"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</row>
    <row r="129" spans="3:56"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</row>
    <row r="130" spans="3:56"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</row>
    <row r="131" spans="3:56"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</row>
    <row r="132" spans="3:56"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</row>
    <row r="133" spans="3:56"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</row>
    <row r="134" spans="3:56"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</row>
    <row r="135" spans="3:56"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</row>
    <row r="136" spans="3:56"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</row>
    <row r="137" spans="3:56"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</row>
    <row r="138" spans="3:56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</row>
    <row r="139" spans="3:56"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</row>
    <row r="140" spans="3:56"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</row>
    <row r="141" spans="3:56"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</row>
    <row r="142" spans="3:56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</row>
    <row r="143" spans="3:56"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</row>
    <row r="144" spans="3:56"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</row>
    <row r="145" spans="3:56"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</row>
    <row r="146" spans="3:56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</row>
    <row r="147" spans="3:56"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</row>
    <row r="148" spans="3:56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</row>
    <row r="149" spans="3:56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</row>
    <row r="150" spans="3:56"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</row>
    <row r="151" spans="3:56"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</row>
    <row r="152" spans="3:56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</row>
    <row r="153" spans="3:56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</row>
    <row r="154" spans="3:56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</row>
    <row r="155" spans="3:56"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</row>
    <row r="156" spans="3:56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</row>
    <row r="157" spans="3:56"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</row>
    <row r="158" spans="3:56"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</row>
    <row r="159" spans="3:56"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</row>
    <row r="160" spans="3:56"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</row>
    <row r="161" spans="3:56"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</row>
    <row r="162" spans="3:56"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</row>
    <row r="163" spans="3:56"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</row>
    <row r="164" spans="3:56"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</row>
    <row r="165" spans="3:56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</row>
    <row r="166" spans="3:56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</row>
    <row r="167" spans="3:56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</row>
    <row r="168" spans="3:56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</row>
    <row r="169" spans="3:56"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</row>
    <row r="170" spans="3:56"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</row>
    <row r="171" spans="3:56"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</row>
    <row r="172" spans="3:56"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</row>
    <row r="173" spans="3:56"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</row>
    <row r="174" spans="3:56"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</row>
    <row r="175" spans="3:56"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</row>
    <row r="176" spans="3:56"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</row>
    <row r="177" spans="3:56"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</row>
    <row r="178" spans="3:56"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</row>
    <row r="179" spans="3:56"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</row>
    <row r="180" spans="3:56"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</row>
    <row r="181" spans="3:56"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</row>
    <row r="182" spans="3:56"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</row>
    <row r="183" spans="3:56"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</row>
    <row r="184" spans="3:56"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</row>
    <row r="185" spans="3:56"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</row>
    <row r="186" spans="3:56"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</row>
    <row r="187" spans="3:56"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</row>
    <row r="188" spans="3:56"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</row>
    <row r="189" spans="3:56"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</row>
    <row r="190" spans="3:56"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</row>
    <row r="191" spans="3:56"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</row>
    <row r="192" spans="3:56"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</row>
    <row r="193" spans="3:56"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</row>
    <row r="194" spans="3:56"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</row>
    <row r="195" spans="3:56"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</row>
    <row r="196" spans="3:56"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</row>
    <row r="197" spans="3:56"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</row>
    <row r="198" spans="3:56"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</row>
    <row r="199" spans="3:56"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</row>
    <row r="200" spans="3:56"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</row>
    <row r="201" spans="3:56"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</row>
    <row r="202" spans="3:56"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</row>
    <row r="203" spans="3:56"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</row>
    <row r="204" spans="3:56"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</row>
    <row r="205" spans="3:56"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</row>
    <row r="206" spans="3:56"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</row>
    <row r="207" spans="3:56"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</row>
    <row r="208" spans="3:56"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</row>
    <row r="209" spans="3:56"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</row>
    <row r="210" spans="3:56"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</row>
    <row r="211" spans="3:56"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</row>
    <row r="212" spans="3:56"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</row>
    <row r="213" spans="3:56"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</row>
    <row r="214" spans="3:56"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</row>
    <row r="215" spans="3:56"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</row>
    <row r="216" spans="3:56"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</row>
    <row r="217" spans="3:56"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</row>
    <row r="218" spans="3:56"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</row>
    <row r="219" spans="3:56"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</row>
    <row r="220" spans="3:56"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</row>
    <row r="221" spans="3:56"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</row>
    <row r="222" spans="3:56"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</row>
    <row r="223" spans="3:56"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</row>
    <row r="224" spans="3:56"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</row>
    <row r="225" spans="3:56"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</row>
    <row r="226" spans="3:56"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</row>
    <row r="227" spans="3:56"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</row>
    <row r="228" spans="3:56"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</row>
    <row r="229" spans="3:56"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</row>
    <row r="230" spans="3:56"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</row>
    <row r="231" spans="3:56"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</row>
    <row r="232" spans="3:56"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</row>
    <row r="233" spans="3:56"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</row>
    <row r="234" spans="3:56"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</row>
    <row r="235" spans="3:56"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</row>
    <row r="236" spans="3:56"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</row>
    <row r="237" spans="3:56"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</row>
    <row r="238" spans="3:56"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</row>
    <row r="239" spans="3:56"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</row>
    <row r="240" spans="3:56"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</row>
    <row r="241" spans="3:56"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</row>
    <row r="242" spans="3:56"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</row>
    <row r="243" spans="3:56"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</row>
    <row r="244" spans="3:56"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</row>
    <row r="245" spans="3:56"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</row>
    <row r="246" spans="3:56"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</row>
    <row r="247" spans="3:56"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</row>
    <row r="248" spans="3:56"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</row>
    <row r="249" spans="3:56"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</row>
    <row r="250" spans="3:56"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</row>
    <row r="251" spans="3:56"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</row>
    <row r="252" spans="3:56"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</row>
    <row r="253" spans="3:56"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</row>
    <row r="254" spans="3:56"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</row>
    <row r="255" spans="3:56"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</row>
    <row r="256" spans="3:56"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</row>
    <row r="257" spans="3:56"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</row>
    <row r="258" spans="3:56"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</row>
    <row r="259" spans="3:56"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</row>
    <row r="260" spans="3:56"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</row>
    <row r="261" spans="3:56"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</row>
    <row r="262" spans="3:56"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</row>
    <row r="263" spans="3:56"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</row>
    <row r="264" spans="3:56"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</row>
    <row r="265" spans="3:56"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</row>
    <row r="266" spans="3:56"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</row>
    <row r="267" spans="3:56"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</row>
    <row r="268" spans="3:56"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</row>
    <row r="269" spans="3:56"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</row>
    <row r="270" spans="3:56"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</row>
    <row r="271" spans="3:56"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</row>
    <row r="272" spans="3:56"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</row>
    <row r="273" spans="3:56"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</row>
    <row r="274" spans="3:56"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</row>
    <row r="275" spans="3:56"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</row>
    <row r="276" spans="3:56"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</row>
    <row r="277" spans="3:56"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</row>
    <row r="278" spans="3:56"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</row>
    <row r="279" spans="3:56"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</row>
    <row r="280" spans="3:56"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</row>
    <row r="281" spans="3:56"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</row>
    <row r="282" spans="3:56"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</row>
    <row r="283" spans="3:56"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</row>
    <row r="284" spans="3:56"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</row>
    <row r="285" spans="3:56"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</row>
    <row r="286" spans="3:56"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</row>
    <row r="287" spans="3:56"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</row>
    <row r="288" spans="3:56"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</row>
    <row r="289" spans="3:56"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</row>
    <row r="290" spans="3:56"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</row>
    <row r="291" spans="3:56"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</row>
    <row r="292" spans="3:56"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</row>
    <row r="293" spans="3:56"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</row>
    <row r="294" spans="3:56"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</row>
    <row r="295" spans="3:56"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</row>
    <row r="296" spans="3:56"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</row>
    <row r="297" spans="3:56"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</row>
    <row r="298" spans="3:56"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</row>
    <row r="299" spans="3:56"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</row>
    <row r="300" spans="3:56"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</row>
    <row r="301" spans="3:56"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</row>
    <row r="302" spans="3:56"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</row>
    <row r="303" spans="3:56"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</row>
    <row r="304" spans="3:56"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</row>
    <row r="305" spans="3:56"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</row>
    <row r="306" spans="3:56"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</row>
    <row r="307" spans="3:56"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</row>
    <row r="308" spans="3:56"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</row>
    <row r="309" spans="3:56"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</row>
    <row r="310" spans="3:56"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</row>
    <row r="311" spans="3:56"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</row>
    <row r="312" spans="3:56"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</row>
    <row r="313" spans="3:56"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</row>
    <row r="314" spans="3:56"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</row>
    <row r="315" spans="3:56"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</row>
    <row r="316" spans="3:56"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</row>
    <row r="317" spans="3:56"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</row>
    <row r="318" spans="3:56"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</row>
    <row r="319" spans="3:56"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</row>
    <row r="320" spans="3:56"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</row>
    <row r="321" spans="3:56"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</row>
    <row r="322" spans="3:56"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</row>
    <row r="323" spans="3:56"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</row>
    <row r="324" spans="3:56"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</row>
    <row r="325" spans="3:56"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</row>
    <row r="326" spans="3:56"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</row>
    <row r="327" spans="3:56"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</row>
    <row r="328" spans="3:56"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</row>
  </sheetData>
  <mergeCells count="108">
    <mergeCell ref="V79:X79"/>
    <mergeCell ref="Y79:AA79"/>
    <mergeCell ref="V80:X80"/>
    <mergeCell ref="Y80:AA80"/>
    <mergeCell ref="V76:X76"/>
    <mergeCell ref="Y76:AA76"/>
    <mergeCell ref="V77:X77"/>
    <mergeCell ref="Y77:AA77"/>
    <mergeCell ref="V78:X78"/>
    <mergeCell ref="Y78:AA78"/>
    <mergeCell ref="V74:X74"/>
    <mergeCell ref="Y74:AA74"/>
    <mergeCell ref="V75:X75"/>
    <mergeCell ref="Y75:AA75"/>
    <mergeCell ref="V70:X70"/>
    <mergeCell ref="Y70:AA70"/>
    <mergeCell ref="V71:X71"/>
    <mergeCell ref="Y71:AA71"/>
    <mergeCell ref="V72:X72"/>
    <mergeCell ref="Y72:AA72"/>
    <mergeCell ref="V67:X67"/>
    <mergeCell ref="Y67:AA67"/>
    <mergeCell ref="V68:X68"/>
    <mergeCell ref="Y68:AA68"/>
    <mergeCell ref="Y58:AA58"/>
    <mergeCell ref="V59:X59"/>
    <mergeCell ref="Y59:AA59"/>
    <mergeCell ref="Y60:AA60"/>
    <mergeCell ref="V73:X73"/>
    <mergeCell ref="Y73:AA73"/>
    <mergeCell ref="V69:X69"/>
    <mergeCell ref="Y69:AA69"/>
    <mergeCell ref="V64:X64"/>
    <mergeCell ref="Y64:AA64"/>
    <mergeCell ref="V65:X65"/>
    <mergeCell ref="Y65:AA65"/>
    <mergeCell ref="V66:X66"/>
    <mergeCell ref="Y66:AA66"/>
    <mergeCell ref="AO2:AQ3"/>
    <mergeCell ref="B2:B4"/>
    <mergeCell ref="C3:D4"/>
    <mergeCell ref="C49:D49"/>
    <mergeCell ref="C50:D50"/>
    <mergeCell ref="C51:D51"/>
    <mergeCell ref="E2:AI2"/>
    <mergeCell ref="C2:D2"/>
    <mergeCell ref="B49:B50"/>
    <mergeCell ref="B5:B12"/>
    <mergeCell ref="B13:B24"/>
    <mergeCell ref="B36:B39"/>
    <mergeCell ref="B40:B47"/>
    <mergeCell ref="B25:B35"/>
    <mergeCell ref="AK2:AM3"/>
    <mergeCell ref="V54:X54"/>
    <mergeCell ref="Y54:AA54"/>
    <mergeCell ref="F55:I55"/>
    <mergeCell ref="L55:O55"/>
    <mergeCell ref="R55:S55"/>
    <mergeCell ref="V55:X55"/>
    <mergeCell ref="Y55:AA55"/>
    <mergeCell ref="V56:X56"/>
    <mergeCell ref="Y56:AA56"/>
    <mergeCell ref="F56:I56"/>
    <mergeCell ref="L56:O56"/>
    <mergeCell ref="R56:S56"/>
    <mergeCell ref="F54:I54"/>
    <mergeCell ref="L54:O54"/>
    <mergeCell ref="Q54:S54"/>
    <mergeCell ref="V57:X57"/>
    <mergeCell ref="Y57:AA57"/>
    <mergeCell ref="Y63:AA63"/>
    <mergeCell ref="F60:I60"/>
    <mergeCell ref="L60:O60"/>
    <mergeCell ref="F58:I58"/>
    <mergeCell ref="L58:O58"/>
    <mergeCell ref="F59:I59"/>
    <mergeCell ref="L59:O59"/>
    <mergeCell ref="R58:S58"/>
    <mergeCell ref="R59:S59"/>
    <mergeCell ref="V60:X60"/>
    <mergeCell ref="V58:X58"/>
    <mergeCell ref="F57:I57"/>
    <mergeCell ref="L57:O57"/>
    <mergeCell ref="R57:S57"/>
    <mergeCell ref="AS2:AS4"/>
    <mergeCell ref="V81:X81"/>
    <mergeCell ref="Y81:AA81"/>
    <mergeCell ref="F61:I61"/>
    <mergeCell ref="L61:O61"/>
    <mergeCell ref="F62:I62"/>
    <mergeCell ref="L62:O62"/>
    <mergeCell ref="F63:I63"/>
    <mergeCell ref="L63:O63"/>
    <mergeCell ref="F67:I67"/>
    <mergeCell ref="L67:O67"/>
    <mergeCell ref="F68:I68"/>
    <mergeCell ref="L68:O68"/>
    <mergeCell ref="F64:I64"/>
    <mergeCell ref="L64:O64"/>
    <mergeCell ref="F65:I65"/>
    <mergeCell ref="L65:O65"/>
    <mergeCell ref="F66:I66"/>
    <mergeCell ref="L66:O66"/>
    <mergeCell ref="V61:X61"/>
    <mergeCell ref="Y61:AA61"/>
    <mergeCell ref="V62:X62"/>
    <mergeCell ref="Y62:AA62"/>
    <mergeCell ref="V63:X63"/>
  </mergeCells>
  <conditionalFormatting sqref="AM5:AM47">
    <cfRule type="cellIs" dxfId="47" priority="2" operator="greaterThan">
      <formula>1</formula>
    </cfRule>
    <cfRule type="cellIs" dxfId="46" priority="3" operator="equal">
      <formula>1</formula>
    </cfRule>
    <cfRule type="cellIs" dxfId="45" priority="4" operator="greaterThan">
      <formula>0</formula>
    </cfRule>
  </conditionalFormatting>
  <conditionalFormatting sqref="AQ5:AQ47">
    <cfRule type="cellIs" dxfId="44" priority="1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" operator="equal" id="{E6DBDCE2-864C-4337-9A54-A42F5AF39CCF}">
            <xm:f>Sheet1!$B$3</xm:f>
            <x14:dxf>
              <fill>
                <patternFill>
                  <bgColor theme="6" tint="0.79998168889431442"/>
                </patternFill>
              </fill>
            </x14:dxf>
          </x14:cfRule>
          <x14:cfRule type="cellIs" priority="7" operator="equal" id="{411F48C8-2281-47DA-840C-2207E1662CC0}">
            <xm:f>Sheet1!$B$2</xm:f>
            <x14:dxf>
              <fill>
                <patternFill>
                  <bgColor rgb="FFFFFF99"/>
                </patternFill>
              </fill>
            </x14:dxf>
          </x14:cfRule>
          <xm:sqref>B2:B4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36806ED8-68E7-45CB-BC2E-317706D34806}">
          <x14:formula1>
            <xm:f>Sheet1!$B$2:$B$3</xm:f>
          </x14:formula1>
          <xm:sqref>B2:B4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BF28D-7ED9-4180-9DC0-84BBA2B3F4C6}">
  <dimension ref="B2:BH329"/>
  <sheetViews>
    <sheetView showGridLines="0" zoomScaleNormal="100" workbookViewId="0">
      <pane xSplit="4" ySplit="4" topLeftCell="E30" activePane="bottomRight" state="frozen"/>
      <selection pane="bottomRight" activeCell="L45" sqref="L45"/>
      <selection pane="bottomLeft"/>
      <selection pane="topRight"/>
    </sheetView>
  </sheetViews>
  <sheetFormatPr defaultRowHeight="15"/>
  <cols>
    <col min="1" max="2" width="9.140625" style="18"/>
    <col min="3" max="3" width="20.7109375" style="18" customWidth="1"/>
    <col min="4" max="4" width="30.28515625" style="18" bestFit="1" customWidth="1"/>
    <col min="5" max="34" width="6" style="18" customWidth="1"/>
    <col min="35" max="39" width="9.140625" style="18"/>
    <col min="40" max="40" width="10.7109375" style="18" customWidth="1"/>
    <col min="41" max="43" width="9.140625" style="18"/>
    <col min="44" max="44" width="9.7109375" style="18" customWidth="1"/>
    <col min="45" max="16384" width="9.140625" style="18"/>
  </cols>
  <sheetData>
    <row r="2" spans="2:59" ht="15.75" customHeight="1">
      <c r="B2" s="270" t="s">
        <v>0</v>
      </c>
      <c r="C2" s="267" t="s">
        <v>2</v>
      </c>
      <c r="D2" s="267"/>
      <c r="E2" s="254" t="s">
        <v>3</v>
      </c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5"/>
      <c r="AJ2" s="241" t="s">
        <v>4</v>
      </c>
      <c r="AK2" s="242"/>
      <c r="AL2" s="243"/>
      <c r="AN2" s="241" t="s">
        <v>5</v>
      </c>
      <c r="AO2" s="242"/>
      <c r="AP2" s="243"/>
      <c r="AR2" s="247" t="s">
        <v>6</v>
      </c>
    </row>
    <row r="3" spans="2:59" ht="15.75" customHeight="1">
      <c r="B3" s="271"/>
      <c r="C3" s="268" t="s">
        <v>256</v>
      </c>
      <c r="D3" s="268"/>
      <c r="E3" s="43" t="s">
        <v>12</v>
      </c>
      <c r="F3" s="1" t="s">
        <v>13</v>
      </c>
      <c r="G3" s="1" t="s">
        <v>14</v>
      </c>
      <c r="H3" s="13" t="s">
        <v>8</v>
      </c>
      <c r="I3" s="1" t="s">
        <v>9</v>
      </c>
      <c r="J3" s="2" t="s">
        <v>10</v>
      </c>
      <c r="K3" s="2" t="s">
        <v>11</v>
      </c>
      <c r="L3" s="1" t="s">
        <v>12</v>
      </c>
      <c r="M3" s="1" t="s">
        <v>13</v>
      </c>
      <c r="N3" s="13" t="s">
        <v>14</v>
      </c>
      <c r="O3" s="1" t="s">
        <v>8</v>
      </c>
      <c r="P3" s="1" t="s">
        <v>9</v>
      </c>
      <c r="Q3" s="2" t="s">
        <v>10</v>
      </c>
      <c r="R3" s="2" t="s">
        <v>11</v>
      </c>
      <c r="S3" s="1" t="s">
        <v>12</v>
      </c>
      <c r="T3" s="1" t="s">
        <v>13</v>
      </c>
      <c r="U3" s="1" t="s">
        <v>14</v>
      </c>
      <c r="V3" s="1" t="s">
        <v>8</v>
      </c>
      <c r="W3" s="1" t="s">
        <v>9</v>
      </c>
      <c r="X3" s="2" t="s">
        <v>10</v>
      </c>
      <c r="Y3" s="2" t="s">
        <v>11</v>
      </c>
      <c r="Z3" s="1" t="s">
        <v>12</v>
      </c>
      <c r="AA3" s="1" t="s">
        <v>13</v>
      </c>
      <c r="AB3" s="13" t="s">
        <v>14</v>
      </c>
      <c r="AC3" s="1" t="s">
        <v>8</v>
      </c>
      <c r="AD3" s="1" t="s">
        <v>9</v>
      </c>
      <c r="AE3" s="2" t="s">
        <v>10</v>
      </c>
      <c r="AF3" s="2" t="s">
        <v>11</v>
      </c>
      <c r="AG3" s="1" t="s">
        <v>12</v>
      </c>
      <c r="AH3" s="6" t="s">
        <v>13</v>
      </c>
      <c r="AJ3" s="244"/>
      <c r="AK3" s="245"/>
      <c r="AL3" s="246"/>
      <c r="AN3" s="244"/>
      <c r="AO3" s="245"/>
      <c r="AP3" s="246"/>
      <c r="AR3" s="248"/>
    </row>
    <row r="4" spans="2:59" ht="15.75">
      <c r="B4" s="272"/>
      <c r="C4" s="269"/>
      <c r="D4" s="269"/>
      <c r="E4" s="202">
        <v>1</v>
      </c>
      <c r="F4" s="99">
        <v>2</v>
      </c>
      <c r="G4" s="99">
        <v>3</v>
      </c>
      <c r="H4" s="123">
        <v>4</v>
      </c>
      <c r="I4" s="99">
        <v>5</v>
      </c>
      <c r="J4" s="203">
        <v>6</v>
      </c>
      <c r="K4" s="203">
        <v>7</v>
      </c>
      <c r="L4" s="99">
        <v>8</v>
      </c>
      <c r="M4" s="99">
        <v>9</v>
      </c>
      <c r="N4" s="123">
        <v>10</v>
      </c>
      <c r="O4" s="99">
        <v>11</v>
      </c>
      <c r="P4" s="99">
        <v>12</v>
      </c>
      <c r="Q4" s="203">
        <v>13</v>
      </c>
      <c r="R4" s="203">
        <v>14</v>
      </c>
      <c r="S4" s="99">
        <v>15</v>
      </c>
      <c r="T4" s="99">
        <v>16</v>
      </c>
      <c r="U4" s="99">
        <v>17</v>
      </c>
      <c r="V4" s="99">
        <v>18</v>
      </c>
      <c r="W4" s="99">
        <v>19</v>
      </c>
      <c r="X4" s="203">
        <v>20</v>
      </c>
      <c r="Y4" s="203">
        <v>21</v>
      </c>
      <c r="Z4" s="99">
        <v>22</v>
      </c>
      <c r="AA4" s="99">
        <v>23</v>
      </c>
      <c r="AB4" s="123">
        <v>24</v>
      </c>
      <c r="AC4" s="99">
        <v>25</v>
      </c>
      <c r="AD4" s="99">
        <v>26</v>
      </c>
      <c r="AE4" s="203">
        <v>27</v>
      </c>
      <c r="AF4" s="203">
        <v>28</v>
      </c>
      <c r="AG4" s="99">
        <v>29</v>
      </c>
      <c r="AH4" s="187">
        <v>30</v>
      </c>
      <c r="AJ4" s="23">
        <v>2025</v>
      </c>
      <c r="AK4" s="24" t="s">
        <v>15</v>
      </c>
      <c r="AL4" s="23" t="s">
        <v>16</v>
      </c>
      <c r="AM4" s="25"/>
      <c r="AN4" s="23">
        <v>2026</v>
      </c>
      <c r="AO4" s="24" t="s">
        <v>15</v>
      </c>
      <c r="AP4" s="23" t="s">
        <v>16</v>
      </c>
      <c r="AR4" s="249"/>
    </row>
    <row r="5" spans="2:59" ht="15" customHeight="1">
      <c r="B5" s="287" t="s">
        <v>17</v>
      </c>
      <c r="C5" s="186" t="s">
        <v>18</v>
      </c>
      <c r="D5" s="88" t="s">
        <v>19</v>
      </c>
      <c r="E5" s="103" t="s">
        <v>22</v>
      </c>
      <c r="F5" s="103" t="s">
        <v>22</v>
      </c>
      <c r="G5" s="104" t="s">
        <v>21</v>
      </c>
      <c r="H5" s="104" t="s">
        <v>21</v>
      </c>
      <c r="I5" s="104" t="s">
        <v>21</v>
      </c>
      <c r="J5" s="104" t="s">
        <v>21</v>
      </c>
      <c r="K5" s="103" t="s">
        <v>22</v>
      </c>
      <c r="L5" s="103" t="s">
        <v>22</v>
      </c>
      <c r="M5" s="102" t="s">
        <v>23</v>
      </c>
      <c r="N5" s="102" t="s">
        <v>23</v>
      </c>
      <c r="O5" s="102" t="s">
        <v>23</v>
      </c>
      <c r="P5" s="102" t="s">
        <v>23</v>
      </c>
      <c r="Q5" s="103" t="s">
        <v>22</v>
      </c>
      <c r="R5" s="103" t="s">
        <v>22</v>
      </c>
      <c r="S5" s="104" t="s">
        <v>21</v>
      </c>
      <c r="T5" s="104" t="s">
        <v>21</v>
      </c>
      <c r="U5" s="104" t="s">
        <v>21</v>
      </c>
      <c r="V5" s="104" t="s">
        <v>21</v>
      </c>
      <c r="W5" s="103" t="s">
        <v>22</v>
      </c>
      <c r="X5" s="103" t="s">
        <v>22</v>
      </c>
      <c r="Y5" s="102" t="s">
        <v>23</v>
      </c>
      <c r="Z5" s="102" t="s">
        <v>23</v>
      </c>
      <c r="AA5" s="102" t="s">
        <v>23</v>
      </c>
      <c r="AB5" s="102" t="s">
        <v>23</v>
      </c>
      <c r="AC5" s="103" t="s">
        <v>22</v>
      </c>
      <c r="AD5" s="103" t="s">
        <v>22</v>
      </c>
      <c r="AE5" s="104" t="s">
        <v>21</v>
      </c>
      <c r="AF5" s="104" t="s">
        <v>21</v>
      </c>
      <c r="AG5" s="104" t="s">
        <v>21</v>
      </c>
      <c r="AH5" s="179" t="s">
        <v>21</v>
      </c>
      <c r="AI5" s="19"/>
      <c r="AJ5" s="20"/>
      <c r="AK5" s="21">
        <f t="shared" ref="AK5:AK47" si="0">COUNTIF(E5:AH5, "UA")</f>
        <v>0</v>
      </c>
      <c r="AL5" s="20">
        <f t="shared" ref="AL5:AL47" si="1">AJ5-AK5</f>
        <v>0</v>
      </c>
      <c r="AM5" s="19"/>
      <c r="AN5" s="20"/>
      <c r="AO5" s="21">
        <f t="shared" ref="AO5:AO47" si="2">COUNTIF(E5:AH5, "U")</f>
        <v>0</v>
      </c>
      <c r="AP5" s="20">
        <f t="shared" ref="AP5:AP47" si="3">AN5-AO5</f>
        <v>0</v>
      </c>
      <c r="AQ5" s="19"/>
      <c r="AR5" s="21">
        <f t="shared" ref="AR5:AR47" si="4">COUNTIF(E5:AH5,"P*")+COUNTIF(E5:AH5,"H*")+COUNTIF(E5:AH5,"T*")-COUNTIF(E5:AH5,"H")-COUNTIF(E5:AH5,"P")</f>
        <v>20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spans="2:59">
      <c r="B6" s="288"/>
      <c r="C6" s="130" t="s">
        <v>24</v>
      </c>
      <c r="D6" s="20" t="s">
        <v>25</v>
      </c>
      <c r="E6" s="60" t="s">
        <v>21</v>
      </c>
      <c r="F6" s="60" t="s">
        <v>21</v>
      </c>
      <c r="G6" s="28" t="s">
        <v>22</v>
      </c>
      <c r="H6" s="28" t="s">
        <v>22</v>
      </c>
      <c r="I6" s="74" t="s">
        <v>23</v>
      </c>
      <c r="J6" s="74" t="s">
        <v>23</v>
      </c>
      <c r="K6" s="74" t="s">
        <v>23</v>
      </c>
      <c r="L6" s="74" t="s">
        <v>23</v>
      </c>
      <c r="M6" s="28" t="s">
        <v>22</v>
      </c>
      <c r="N6" s="28" t="s">
        <v>22</v>
      </c>
      <c r="O6" s="60" t="s">
        <v>21</v>
      </c>
      <c r="P6" s="60" t="s">
        <v>21</v>
      </c>
      <c r="Q6" s="60" t="s">
        <v>21</v>
      </c>
      <c r="R6" s="60" t="s">
        <v>21</v>
      </c>
      <c r="S6" s="28" t="s">
        <v>22</v>
      </c>
      <c r="T6" s="28" t="s">
        <v>22</v>
      </c>
      <c r="U6" s="74" t="s">
        <v>23</v>
      </c>
      <c r="V6" s="74" t="s">
        <v>23</v>
      </c>
      <c r="W6" s="74" t="s">
        <v>23</v>
      </c>
      <c r="X6" s="74" t="s">
        <v>23</v>
      </c>
      <c r="Y6" s="28" t="s">
        <v>22</v>
      </c>
      <c r="Z6" s="28" t="s">
        <v>22</v>
      </c>
      <c r="AA6" s="60" t="s">
        <v>21</v>
      </c>
      <c r="AB6" s="60" t="s">
        <v>21</v>
      </c>
      <c r="AC6" s="60" t="s">
        <v>21</v>
      </c>
      <c r="AD6" s="60" t="s">
        <v>21</v>
      </c>
      <c r="AE6" s="28" t="s">
        <v>22</v>
      </c>
      <c r="AF6" s="28" t="s">
        <v>22</v>
      </c>
      <c r="AG6" s="74" t="s">
        <v>23</v>
      </c>
      <c r="AH6" s="89" t="s">
        <v>23</v>
      </c>
      <c r="AI6" s="19"/>
      <c r="AJ6" s="20"/>
      <c r="AK6" s="21">
        <f t="shared" si="0"/>
        <v>0</v>
      </c>
      <c r="AL6" s="20">
        <f t="shared" si="1"/>
        <v>0</v>
      </c>
      <c r="AM6" s="19"/>
      <c r="AN6" s="20"/>
      <c r="AO6" s="21">
        <f t="shared" si="2"/>
        <v>0</v>
      </c>
      <c r="AP6" s="20">
        <f t="shared" si="3"/>
        <v>0</v>
      </c>
      <c r="AQ6" s="19"/>
      <c r="AR6" s="21">
        <f t="shared" si="4"/>
        <v>20</v>
      </c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</row>
    <row r="7" spans="2:59" ht="15" customHeight="1">
      <c r="B7" s="288"/>
      <c r="C7" s="20" t="s">
        <v>27</v>
      </c>
      <c r="D7" s="20" t="s">
        <v>28</v>
      </c>
      <c r="E7" s="28" t="s">
        <v>22</v>
      </c>
      <c r="F7" s="60" t="s">
        <v>21</v>
      </c>
      <c r="G7" s="60" t="s">
        <v>21</v>
      </c>
      <c r="H7" s="60" t="s">
        <v>21</v>
      </c>
      <c r="I7" s="60" t="s">
        <v>21</v>
      </c>
      <c r="J7" s="28" t="s">
        <v>22</v>
      </c>
      <c r="K7" s="28" t="s">
        <v>22</v>
      </c>
      <c r="L7" s="74" t="s">
        <v>23</v>
      </c>
      <c r="M7" s="74" t="s">
        <v>23</v>
      </c>
      <c r="N7" s="75" t="s">
        <v>26</v>
      </c>
      <c r="O7" s="74" t="s">
        <v>23</v>
      </c>
      <c r="P7" s="28" t="s">
        <v>22</v>
      </c>
      <c r="Q7" s="28" t="s">
        <v>22</v>
      </c>
      <c r="R7" s="60" t="s">
        <v>21</v>
      </c>
      <c r="S7" s="60" t="s">
        <v>21</v>
      </c>
      <c r="T7" s="60" t="s">
        <v>21</v>
      </c>
      <c r="U7" s="60" t="s">
        <v>21</v>
      </c>
      <c r="V7" s="28" t="s">
        <v>22</v>
      </c>
      <c r="W7" s="28" t="s">
        <v>22</v>
      </c>
      <c r="X7" s="74" t="s">
        <v>23</v>
      </c>
      <c r="Y7" s="74" t="s">
        <v>23</v>
      </c>
      <c r="Z7" s="74" t="s">
        <v>23</v>
      </c>
      <c r="AA7" s="74" t="s">
        <v>23</v>
      </c>
      <c r="AB7" s="28" t="s">
        <v>22</v>
      </c>
      <c r="AC7" s="28" t="s">
        <v>22</v>
      </c>
      <c r="AD7" s="60" t="s">
        <v>21</v>
      </c>
      <c r="AE7" s="60" t="s">
        <v>21</v>
      </c>
      <c r="AF7" s="60" t="s">
        <v>21</v>
      </c>
      <c r="AG7" s="60" t="s">
        <v>21</v>
      </c>
      <c r="AH7" s="91" t="s">
        <v>22</v>
      </c>
      <c r="AI7" s="19"/>
      <c r="AJ7" s="20"/>
      <c r="AK7" s="21">
        <f t="shared" si="0"/>
        <v>0</v>
      </c>
      <c r="AL7" s="20">
        <f t="shared" si="1"/>
        <v>0</v>
      </c>
      <c r="AM7" s="19"/>
      <c r="AN7" s="26"/>
      <c r="AO7" s="21">
        <f t="shared" si="2"/>
        <v>0</v>
      </c>
      <c r="AP7" s="44">
        <f t="shared" si="3"/>
        <v>0</v>
      </c>
      <c r="AQ7" s="19"/>
      <c r="AR7" s="21">
        <f t="shared" si="4"/>
        <v>19</v>
      </c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</row>
    <row r="8" spans="2:59" ht="15" customHeight="1">
      <c r="B8" s="288"/>
      <c r="C8" s="22" t="s">
        <v>31</v>
      </c>
      <c r="D8" s="20" t="s">
        <v>32</v>
      </c>
      <c r="E8" s="74" t="s">
        <v>23</v>
      </c>
      <c r="F8" s="28" t="s">
        <v>22</v>
      </c>
      <c r="G8" s="28" t="s">
        <v>22</v>
      </c>
      <c r="H8" s="60" t="s">
        <v>21</v>
      </c>
      <c r="I8" s="60" t="s">
        <v>21</v>
      </c>
      <c r="J8" s="60" t="s">
        <v>21</v>
      </c>
      <c r="K8" s="60" t="s">
        <v>21</v>
      </c>
      <c r="L8" s="28" t="s">
        <v>22</v>
      </c>
      <c r="M8" s="28" t="s">
        <v>22</v>
      </c>
      <c r="N8" s="74" t="s">
        <v>23</v>
      </c>
      <c r="O8" s="74" t="s">
        <v>23</v>
      </c>
      <c r="P8" s="74" t="s">
        <v>23</v>
      </c>
      <c r="Q8" s="74" t="s">
        <v>23</v>
      </c>
      <c r="R8" s="28" t="s">
        <v>22</v>
      </c>
      <c r="S8" s="28" t="s">
        <v>22</v>
      </c>
      <c r="T8" s="60" t="s">
        <v>21</v>
      </c>
      <c r="U8" s="60" t="s">
        <v>21</v>
      </c>
      <c r="V8" s="60" t="s">
        <v>21</v>
      </c>
      <c r="W8" s="60" t="s">
        <v>21</v>
      </c>
      <c r="X8" s="28" t="s">
        <v>22</v>
      </c>
      <c r="Y8" s="28" t="s">
        <v>22</v>
      </c>
      <c r="Z8" s="74" t="s">
        <v>23</v>
      </c>
      <c r="AA8" s="74" t="s">
        <v>23</v>
      </c>
      <c r="AB8" s="74" t="s">
        <v>23</v>
      </c>
      <c r="AC8" s="74" t="s">
        <v>23</v>
      </c>
      <c r="AD8" s="28" t="s">
        <v>22</v>
      </c>
      <c r="AE8" s="28" t="s">
        <v>22</v>
      </c>
      <c r="AF8" s="60" t="s">
        <v>21</v>
      </c>
      <c r="AG8" s="60" t="s">
        <v>21</v>
      </c>
      <c r="AH8" s="90" t="s">
        <v>21</v>
      </c>
      <c r="AI8" s="19"/>
      <c r="AJ8" s="20"/>
      <c r="AK8" s="21">
        <f t="shared" si="0"/>
        <v>0</v>
      </c>
      <c r="AL8" s="20">
        <f t="shared" si="1"/>
        <v>0</v>
      </c>
      <c r="AM8" s="19"/>
      <c r="AN8" s="20"/>
      <c r="AO8" s="21">
        <f t="shared" si="2"/>
        <v>0</v>
      </c>
      <c r="AP8" s="20">
        <f t="shared" si="3"/>
        <v>0</v>
      </c>
      <c r="AQ8" s="19"/>
      <c r="AR8" s="21">
        <f t="shared" si="4"/>
        <v>20</v>
      </c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</row>
    <row r="9" spans="2:59" ht="15" customHeight="1">
      <c r="B9" s="288"/>
      <c r="C9" s="20" t="s">
        <v>34</v>
      </c>
      <c r="D9" s="20" t="s">
        <v>35</v>
      </c>
      <c r="E9" s="60" t="s">
        <v>21</v>
      </c>
      <c r="F9" s="60" t="s">
        <v>21</v>
      </c>
      <c r="G9" s="60" t="s">
        <v>21</v>
      </c>
      <c r="H9" s="28" t="s">
        <v>22</v>
      </c>
      <c r="I9" s="28" t="s">
        <v>22</v>
      </c>
      <c r="J9" s="74" t="s">
        <v>23</v>
      </c>
      <c r="K9" s="74" t="s">
        <v>23</v>
      </c>
      <c r="L9" s="74" t="s">
        <v>23</v>
      </c>
      <c r="M9" s="74" t="s">
        <v>23</v>
      </c>
      <c r="N9" s="28" t="s">
        <v>22</v>
      </c>
      <c r="O9" s="28" t="s">
        <v>22</v>
      </c>
      <c r="P9" s="60" t="s">
        <v>21</v>
      </c>
      <c r="Q9" s="60" t="s">
        <v>21</v>
      </c>
      <c r="R9" s="60" t="s">
        <v>21</v>
      </c>
      <c r="S9" s="60" t="s">
        <v>21</v>
      </c>
      <c r="T9" s="28" t="s">
        <v>22</v>
      </c>
      <c r="U9" s="28" t="s">
        <v>22</v>
      </c>
      <c r="V9" s="74" t="s">
        <v>23</v>
      </c>
      <c r="W9" s="74" t="s">
        <v>23</v>
      </c>
      <c r="X9" s="74" t="s">
        <v>23</v>
      </c>
      <c r="Y9" s="74" t="s">
        <v>23</v>
      </c>
      <c r="Z9" s="28" t="s">
        <v>22</v>
      </c>
      <c r="AA9" s="28" t="s">
        <v>22</v>
      </c>
      <c r="AB9" s="60" t="s">
        <v>21</v>
      </c>
      <c r="AC9" s="60" t="s">
        <v>21</v>
      </c>
      <c r="AD9" s="60" t="s">
        <v>21</v>
      </c>
      <c r="AE9" s="60" t="s">
        <v>21</v>
      </c>
      <c r="AF9" s="28" t="s">
        <v>22</v>
      </c>
      <c r="AG9" s="28" t="s">
        <v>22</v>
      </c>
      <c r="AH9" s="89" t="s">
        <v>23</v>
      </c>
      <c r="AI9" s="19"/>
      <c r="AJ9" s="20"/>
      <c r="AK9" s="21">
        <f t="shared" si="0"/>
        <v>0</v>
      </c>
      <c r="AL9" s="20">
        <f t="shared" si="1"/>
        <v>0</v>
      </c>
      <c r="AM9" s="19"/>
      <c r="AN9" s="20"/>
      <c r="AO9" s="21">
        <f t="shared" si="2"/>
        <v>0</v>
      </c>
      <c r="AP9" s="20">
        <f t="shared" si="3"/>
        <v>0</v>
      </c>
      <c r="AQ9" s="19"/>
      <c r="AR9" s="21">
        <f t="shared" si="4"/>
        <v>20</v>
      </c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</row>
    <row r="10" spans="2:59" ht="15" customHeight="1">
      <c r="B10" s="288"/>
      <c r="C10" s="22" t="s">
        <v>37</v>
      </c>
      <c r="D10" s="20" t="s">
        <v>38</v>
      </c>
      <c r="E10" s="60" t="s">
        <v>21</v>
      </c>
      <c r="F10" s="28" t="s">
        <v>22</v>
      </c>
      <c r="G10" s="28" t="s">
        <v>22</v>
      </c>
      <c r="H10" s="74" t="s">
        <v>23</v>
      </c>
      <c r="I10" s="74" t="s">
        <v>23</v>
      </c>
      <c r="J10" s="74" t="s">
        <v>23</v>
      </c>
      <c r="K10" s="74" t="s">
        <v>23</v>
      </c>
      <c r="L10" s="28" t="s">
        <v>22</v>
      </c>
      <c r="M10" s="28" t="s">
        <v>22</v>
      </c>
      <c r="N10" s="60" t="s">
        <v>21</v>
      </c>
      <c r="O10" s="60" t="s">
        <v>21</v>
      </c>
      <c r="P10" s="60" t="s">
        <v>21</v>
      </c>
      <c r="Q10" s="60" t="s">
        <v>21</v>
      </c>
      <c r="R10" s="28" t="s">
        <v>22</v>
      </c>
      <c r="S10" s="28" t="s">
        <v>22</v>
      </c>
      <c r="T10" s="74" t="s">
        <v>23</v>
      </c>
      <c r="U10" s="74" t="s">
        <v>23</v>
      </c>
      <c r="V10" s="74" t="s">
        <v>23</v>
      </c>
      <c r="W10" s="74" t="s">
        <v>23</v>
      </c>
      <c r="X10" s="28" t="s">
        <v>22</v>
      </c>
      <c r="Y10" s="28" t="s">
        <v>22</v>
      </c>
      <c r="Z10" s="60" t="s">
        <v>21</v>
      </c>
      <c r="AA10" s="60" t="s">
        <v>21</v>
      </c>
      <c r="AB10" s="60" t="s">
        <v>21</v>
      </c>
      <c r="AC10" s="60" t="s">
        <v>21</v>
      </c>
      <c r="AD10" s="28" t="s">
        <v>22</v>
      </c>
      <c r="AE10" s="28" t="s">
        <v>22</v>
      </c>
      <c r="AF10" s="74" t="s">
        <v>23</v>
      </c>
      <c r="AG10" s="74" t="s">
        <v>23</v>
      </c>
      <c r="AH10" s="89" t="s">
        <v>23</v>
      </c>
      <c r="AI10" s="19"/>
      <c r="AJ10" s="20"/>
      <c r="AK10" s="21">
        <f t="shared" si="0"/>
        <v>0</v>
      </c>
      <c r="AL10" s="20">
        <f t="shared" si="1"/>
        <v>0</v>
      </c>
      <c r="AM10" s="19"/>
      <c r="AN10" s="20"/>
      <c r="AO10" s="21">
        <f t="shared" si="2"/>
        <v>0</v>
      </c>
      <c r="AP10" s="20">
        <f t="shared" si="3"/>
        <v>0</v>
      </c>
      <c r="AQ10" s="19"/>
      <c r="AR10" s="21">
        <f t="shared" si="4"/>
        <v>20</v>
      </c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</row>
    <row r="11" spans="2:59" ht="15" customHeight="1">
      <c r="B11" s="288"/>
      <c r="C11" s="20" t="s">
        <v>39</v>
      </c>
      <c r="D11" s="20" t="s">
        <v>40</v>
      </c>
      <c r="E11" s="74" t="s">
        <v>23</v>
      </c>
      <c r="F11" s="74" t="s">
        <v>23</v>
      </c>
      <c r="G11" s="74" t="s">
        <v>23</v>
      </c>
      <c r="H11" s="28" t="s">
        <v>22</v>
      </c>
      <c r="I11" s="28" t="s">
        <v>22</v>
      </c>
      <c r="J11" s="60" t="s">
        <v>21</v>
      </c>
      <c r="K11" s="60" t="s">
        <v>21</v>
      </c>
      <c r="L11" s="60" t="s">
        <v>21</v>
      </c>
      <c r="M11" s="60" t="s">
        <v>21</v>
      </c>
      <c r="N11" s="28" t="s">
        <v>22</v>
      </c>
      <c r="O11" s="28" t="s">
        <v>22</v>
      </c>
      <c r="P11" s="74" t="s">
        <v>23</v>
      </c>
      <c r="Q11" s="74" t="s">
        <v>23</v>
      </c>
      <c r="R11" s="74" t="s">
        <v>23</v>
      </c>
      <c r="S11" s="74" t="s">
        <v>23</v>
      </c>
      <c r="T11" s="28" t="s">
        <v>22</v>
      </c>
      <c r="U11" s="28" t="s">
        <v>22</v>
      </c>
      <c r="V11" s="60" t="s">
        <v>21</v>
      </c>
      <c r="W11" s="60" t="s">
        <v>21</v>
      </c>
      <c r="X11" s="60" t="s">
        <v>21</v>
      </c>
      <c r="Y11" s="60" t="s">
        <v>21</v>
      </c>
      <c r="Z11" s="28" t="s">
        <v>22</v>
      </c>
      <c r="AA11" s="28" t="s">
        <v>22</v>
      </c>
      <c r="AB11" s="74" t="s">
        <v>23</v>
      </c>
      <c r="AC11" s="74" t="s">
        <v>23</v>
      </c>
      <c r="AD11" s="74" t="s">
        <v>23</v>
      </c>
      <c r="AE11" s="74" t="s">
        <v>23</v>
      </c>
      <c r="AF11" s="28" t="s">
        <v>22</v>
      </c>
      <c r="AG11" s="28" t="s">
        <v>22</v>
      </c>
      <c r="AH11" s="90" t="s">
        <v>21</v>
      </c>
      <c r="AI11" s="19"/>
      <c r="AJ11" s="20"/>
      <c r="AK11" s="21">
        <f t="shared" si="0"/>
        <v>0</v>
      </c>
      <c r="AL11" s="20">
        <f t="shared" si="1"/>
        <v>0</v>
      </c>
      <c r="AM11" s="19"/>
      <c r="AN11" s="20"/>
      <c r="AO11" s="21">
        <f t="shared" si="2"/>
        <v>0</v>
      </c>
      <c r="AP11" s="20">
        <f t="shared" si="3"/>
        <v>0</v>
      </c>
      <c r="AQ11" s="19"/>
      <c r="AR11" s="21">
        <f t="shared" si="4"/>
        <v>20</v>
      </c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</row>
    <row r="12" spans="2:59" ht="15" customHeight="1">
      <c r="B12" s="288"/>
      <c r="C12" s="108" t="s">
        <v>43</v>
      </c>
      <c r="D12" s="109" t="s">
        <v>44</v>
      </c>
      <c r="E12" s="110" t="s">
        <v>22</v>
      </c>
      <c r="F12" s="112" t="s">
        <v>23</v>
      </c>
      <c r="G12" s="112" t="s">
        <v>23</v>
      </c>
      <c r="H12" s="112" t="s">
        <v>23</v>
      </c>
      <c r="I12" s="112" t="s">
        <v>23</v>
      </c>
      <c r="J12" s="110" t="s">
        <v>22</v>
      </c>
      <c r="K12" s="110" t="s">
        <v>22</v>
      </c>
      <c r="L12" s="111" t="s">
        <v>21</v>
      </c>
      <c r="M12" s="111" t="s">
        <v>21</v>
      </c>
      <c r="N12" s="111" t="s">
        <v>21</v>
      </c>
      <c r="O12" s="111" t="s">
        <v>21</v>
      </c>
      <c r="P12" s="110" t="s">
        <v>22</v>
      </c>
      <c r="Q12" s="110" t="s">
        <v>22</v>
      </c>
      <c r="R12" s="112" t="s">
        <v>23</v>
      </c>
      <c r="S12" s="112" t="s">
        <v>23</v>
      </c>
      <c r="T12" s="112" t="s">
        <v>23</v>
      </c>
      <c r="U12" s="112" t="s">
        <v>23</v>
      </c>
      <c r="V12" s="110" t="s">
        <v>22</v>
      </c>
      <c r="W12" s="110" t="s">
        <v>22</v>
      </c>
      <c r="X12" s="111" t="s">
        <v>21</v>
      </c>
      <c r="Y12" s="111" t="s">
        <v>21</v>
      </c>
      <c r="Z12" s="111" t="s">
        <v>21</v>
      </c>
      <c r="AA12" s="111" t="s">
        <v>21</v>
      </c>
      <c r="AB12" s="110" t="s">
        <v>22</v>
      </c>
      <c r="AC12" s="110" t="s">
        <v>22</v>
      </c>
      <c r="AD12" s="112" t="s">
        <v>23</v>
      </c>
      <c r="AE12" s="112" t="s">
        <v>23</v>
      </c>
      <c r="AF12" s="112" t="s">
        <v>23</v>
      </c>
      <c r="AG12" s="112" t="s">
        <v>23</v>
      </c>
      <c r="AH12" s="113" t="s">
        <v>22</v>
      </c>
      <c r="AI12" s="19"/>
      <c r="AJ12" s="20"/>
      <c r="AK12" s="21">
        <f t="shared" si="0"/>
        <v>0</v>
      </c>
      <c r="AL12" s="20">
        <f t="shared" si="1"/>
        <v>0</v>
      </c>
      <c r="AM12" s="19"/>
      <c r="AN12" s="20"/>
      <c r="AO12" s="21">
        <f t="shared" si="2"/>
        <v>0</v>
      </c>
      <c r="AP12" s="20">
        <f t="shared" si="3"/>
        <v>0</v>
      </c>
      <c r="AQ12" s="19"/>
      <c r="AR12" s="21">
        <f t="shared" si="4"/>
        <v>20</v>
      </c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</row>
    <row r="13" spans="2:59">
      <c r="B13" s="280" t="s">
        <v>45</v>
      </c>
      <c r="C13" s="88" t="s">
        <v>46</v>
      </c>
      <c r="D13" s="88" t="s">
        <v>47</v>
      </c>
      <c r="E13" s="102" t="s">
        <v>23</v>
      </c>
      <c r="F13" s="102" t="s">
        <v>23</v>
      </c>
      <c r="G13" s="102" t="s">
        <v>23</v>
      </c>
      <c r="H13" s="103" t="s">
        <v>22</v>
      </c>
      <c r="I13" s="103" t="s">
        <v>22</v>
      </c>
      <c r="J13" s="104" t="s">
        <v>21</v>
      </c>
      <c r="K13" s="104" t="s">
        <v>21</v>
      </c>
      <c r="L13" s="104" t="s">
        <v>21</v>
      </c>
      <c r="M13" s="104" t="s">
        <v>21</v>
      </c>
      <c r="N13" s="103" t="s">
        <v>22</v>
      </c>
      <c r="O13" s="103" t="s">
        <v>22</v>
      </c>
      <c r="P13" s="102" t="s">
        <v>23</v>
      </c>
      <c r="Q13" s="102" t="s">
        <v>23</v>
      </c>
      <c r="R13" s="102" t="s">
        <v>23</v>
      </c>
      <c r="S13" s="102" t="s">
        <v>23</v>
      </c>
      <c r="T13" s="103" t="s">
        <v>22</v>
      </c>
      <c r="U13" s="103" t="s">
        <v>22</v>
      </c>
      <c r="V13" s="104" t="s">
        <v>21</v>
      </c>
      <c r="W13" s="104" t="s">
        <v>21</v>
      </c>
      <c r="X13" s="104" t="s">
        <v>21</v>
      </c>
      <c r="Y13" s="104" t="s">
        <v>21</v>
      </c>
      <c r="Z13" s="103" t="s">
        <v>22</v>
      </c>
      <c r="AA13" s="103" t="s">
        <v>22</v>
      </c>
      <c r="AB13" s="102" t="s">
        <v>23</v>
      </c>
      <c r="AC13" s="102" t="s">
        <v>23</v>
      </c>
      <c r="AD13" s="102" t="s">
        <v>23</v>
      </c>
      <c r="AE13" s="102" t="s">
        <v>23</v>
      </c>
      <c r="AF13" s="103" t="s">
        <v>22</v>
      </c>
      <c r="AG13" s="103" t="s">
        <v>22</v>
      </c>
      <c r="AH13" s="179" t="s">
        <v>21</v>
      </c>
      <c r="AI13" s="19"/>
      <c r="AJ13" s="20"/>
      <c r="AK13" s="21">
        <f t="shared" si="0"/>
        <v>0</v>
      </c>
      <c r="AL13" s="20">
        <f t="shared" si="1"/>
        <v>0</v>
      </c>
      <c r="AM13" s="19"/>
      <c r="AN13" s="20"/>
      <c r="AO13" s="21">
        <f t="shared" si="2"/>
        <v>0</v>
      </c>
      <c r="AP13" s="20">
        <f t="shared" si="3"/>
        <v>0</v>
      </c>
      <c r="AQ13" s="19"/>
      <c r="AR13" s="21">
        <f t="shared" si="4"/>
        <v>20</v>
      </c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</row>
    <row r="14" spans="2:59">
      <c r="B14" s="276"/>
      <c r="C14" s="22" t="s">
        <v>48</v>
      </c>
      <c r="D14" s="20" t="s">
        <v>49</v>
      </c>
      <c r="E14" s="78" t="s">
        <v>29</v>
      </c>
      <c r="F14" s="28" t="s">
        <v>22</v>
      </c>
      <c r="G14" s="28" t="s">
        <v>22</v>
      </c>
      <c r="H14" s="74" t="s">
        <v>23</v>
      </c>
      <c r="I14" s="74" t="s">
        <v>23</v>
      </c>
      <c r="J14" s="74" t="s">
        <v>23</v>
      </c>
      <c r="K14" s="74" t="s">
        <v>23</v>
      </c>
      <c r="L14" s="28" t="s">
        <v>22</v>
      </c>
      <c r="M14" s="28" t="s">
        <v>22</v>
      </c>
      <c r="N14" s="60" t="s">
        <v>21</v>
      </c>
      <c r="O14" s="60" t="s">
        <v>21</v>
      </c>
      <c r="P14" s="60" t="s">
        <v>21</v>
      </c>
      <c r="Q14" s="60" t="s">
        <v>21</v>
      </c>
      <c r="R14" s="28" t="s">
        <v>22</v>
      </c>
      <c r="S14" s="28" t="s">
        <v>22</v>
      </c>
      <c r="T14" s="60" t="s">
        <v>21</v>
      </c>
      <c r="U14" s="60" t="s">
        <v>21</v>
      </c>
      <c r="V14" s="60" t="s">
        <v>21</v>
      </c>
      <c r="W14" s="60" t="s">
        <v>21</v>
      </c>
      <c r="X14" s="28" t="s">
        <v>22</v>
      </c>
      <c r="Y14" s="28" t="s">
        <v>22</v>
      </c>
      <c r="Z14" s="60" t="s">
        <v>21</v>
      </c>
      <c r="AA14" s="60" t="s">
        <v>21</v>
      </c>
      <c r="AB14" s="60" t="s">
        <v>21</v>
      </c>
      <c r="AC14" s="60" t="s">
        <v>21</v>
      </c>
      <c r="AD14" s="28" t="s">
        <v>22</v>
      </c>
      <c r="AE14" s="28" t="s">
        <v>22</v>
      </c>
      <c r="AF14" s="74" t="s">
        <v>23</v>
      </c>
      <c r="AG14" s="74" t="s">
        <v>23</v>
      </c>
      <c r="AH14" s="89" t="s">
        <v>23</v>
      </c>
      <c r="AI14" s="19"/>
      <c r="AJ14" s="20"/>
      <c r="AK14" s="21">
        <f t="shared" si="0"/>
        <v>0</v>
      </c>
      <c r="AL14" s="20">
        <f t="shared" si="1"/>
        <v>0</v>
      </c>
      <c r="AM14" s="19"/>
      <c r="AN14" s="20"/>
      <c r="AO14" s="21">
        <f t="shared" si="2"/>
        <v>0</v>
      </c>
      <c r="AP14" s="20">
        <f t="shared" si="3"/>
        <v>0</v>
      </c>
      <c r="AQ14" s="19"/>
      <c r="AR14" s="21">
        <f t="shared" si="4"/>
        <v>20</v>
      </c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</row>
    <row r="15" spans="2:59">
      <c r="B15" s="276"/>
      <c r="C15" s="20" t="s">
        <v>50</v>
      </c>
      <c r="D15" s="20" t="s">
        <v>51</v>
      </c>
      <c r="E15" s="28" t="s">
        <v>22</v>
      </c>
      <c r="F15" s="78" t="s">
        <v>29</v>
      </c>
      <c r="G15" s="78" t="s">
        <v>29</v>
      </c>
      <c r="H15" s="78" t="s">
        <v>29</v>
      </c>
      <c r="I15" s="78" t="s">
        <v>29</v>
      </c>
      <c r="J15" s="28" t="s">
        <v>22</v>
      </c>
      <c r="K15" s="28" t="s">
        <v>22</v>
      </c>
      <c r="L15" s="74" t="s">
        <v>23</v>
      </c>
      <c r="M15" s="74" t="s">
        <v>23</v>
      </c>
      <c r="N15" s="74" t="s">
        <v>23</v>
      </c>
      <c r="O15" s="74" t="s">
        <v>23</v>
      </c>
      <c r="P15" s="28" t="s">
        <v>22</v>
      </c>
      <c r="Q15" s="28" t="s">
        <v>22</v>
      </c>
      <c r="R15" s="60" t="s">
        <v>21</v>
      </c>
      <c r="S15" s="60" t="s">
        <v>21</v>
      </c>
      <c r="T15" s="60" t="s">
        <v>21</v>
      </c>
      <c r="U15" s="60" t="s">
        <v>21</v>
      </c>
      <c r="V15" s="28" t="s">
        <v>22</v>
      </c>
      <c r="W15" s="28" t="s">
        <v>22</v>
      </c>
      <c r="X15" s="60" t="s">
        <v>21</v>
      </c>
      <c r="Y15" s="60" t="s">
        <v>21</v>
      </c>
      <c r="Z15" s="60" t="s">
        <v>21</v>
      </c>
      <c r="AA15" s="60" t="s">
        <v>21</v>
      </c>
      <c r="AB15" s="28" t="s">
        <v>22</v>
      </c>
      <c r="AC15" s="28" t="s">
        <v>22</v>
      </c>
      <c r="AD15" s="60" t="s">
        <v>21</v>
      </c>
      <c r="AE15" s="60" t="s">
        <v>21</v>
      </c>
      <c r="AF15" s="60" t="s">
        <v>21</v>
      </c>
      <c r="AG15" s="60" t="s">
        <v>21</v>
      </c>
      <c r="AH15" s="91" t="s">
        <v>22</v>
      </c>
      <c r="AI15" s="19"/>
      <c r="AJ15" s="20"/>
      <c r="AK15" s="21">
        <f t="shared" si="0"/>
        <v>0</v>
      </c>
      <c r="AL15" s="20">
        <f t="shared" si="1"/>
        <v>0</v>
      </c>
      <c r="AM15" s="19"/>
      <c r="AN15" s="20"/>
      <c r="AO15" s="21">
        <f t="shared" si="2"/>
        <v>0</v>
      </c>
      <c r="AP15" s="20">
        <f t="shared" si="3"/>
        <v>0</v>
      </c>
      <c r="AQ15" s="19"/>
      <c r="AR15" s="21">
        <f t="shared" si="4"/>
        <v>20</v>
      </c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</row>
    <row r="16" spans="2:59">
      <c r="B16" s="276"/>
      <c r="C16" s="22" t="s">
        <v>52</v>
      </c>
      <c r="D16" s="20" t="s">
        <v>53</v>
      </c>
      <c r="E16" s="74" t="s">
        <v>23</v>
      </c>
      <c r="F16" s="74" t="s">
        <v>23</v>
      </c>
      <c r="G16" s="74" t="s">
        <v>23</v>
      </c>
      <c r="H16" s="28" t="s">
        <v>22</v>
      </c>
      <c r="I16" s="28" t="s">
        <v>22</v>
      </c>
      <c r="J16" s="78" t="s">
        <v>29</v>
      </c>
      <c r="K16" s="78" t="s">
        <v>29</v>
      </c>
      <c r="L16" s="78" t="s">
        <v>29</v>
      </c>
      <c r="M16" s="78" t="s">
        <v>29</v>
      </c>
      <c r="N16" s="28" t="s">
        <v>22</v>
      </c>
      <c r="O16" s="28" t="s">
        <v>22</v>
      </c>
      <c r="P16" s="74" t="s">
        <v>23</v>
      </c>
      <c r="Q16" s="74" t="s">
        <v>23</v>
      </c>
      <c r="R16" s="74" t="s">
        <v>23</v>
      </c>
      <c r="S16" s="74" t="s">
        <v>23</v>
      </c>
      <c r="T16" s="28" t="s">
        <v>22</v>
      </c>
      <c r="U16" s="28" t="s">
        <v>22</v>
      </c>
      <c r="V16" s="60" t="s">
        <v>21</v>
      </c>
      <c r="W16" s="60" t="s">
        <v>21</v>
      </c>
      <c r="X16" s="60" t="s">
        <v>21</v>
      </c>
      <c r="Y16" s="60" t="s">
        <v>21</v>
      </c>
      <c r="Z16" s="28" t="s">
        <v>22</v>
      </c>
      <c r="AA16" s="28" t="s">
        <v>22</v>
      </c>
      <c r="AB16" s="74" t="s">
        <v>23</v>
      </c>
      <c r="AC16" s="74" t="s">
        <v>23</v>
      </c>
      <c r="AD16" s="74" t="s">
        <v>23</v>
      </c>
      <c r="AE16" s="74" t="s">
        <v>23</v>
      </c>
      <c r="AF16" s="28" t="s">
        <v>22</v>
      </c>
      <c r="AG16" s="28" t="s">
        <v>22</v>
      </c>
      <c r="AH16" s="90" t="s">
        <v>21</v>
      </c>
      <c r="AI16" s="19"/>
      <c r="AJ16" s="20"/>
      <c r="AK16" s="21">
        <f t="shared" si="0"/>
        <v>0</v>
      </c>
      <c r="AL16" s="20">
        <f t="shared" si="1"/>
        <v>0</v>
      </c>
      <c r="AM16" s="19"/>
      <c r="AN16" s="20"/>
      <c r="AO16" s="21">
        <f t="shared" si="2"/>
        <v>0</v>
      </c>
      <c r="AP16" s="20">
        <f t="shared" si="3"/>
        <v>0</v>
      </c>
      <c r="AQ16" s="19"/>
      <c r="AR16" s="21">
        <f t="shared" si="4"/>
        <v>20</v>
      </c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</row>
    <row r="17" spans="2:59" ht="15" customHeight="1">
      <c r="B17" s="276"/>
      <c r="C17" s="22" t="s">
        <v>54</v>
      </c>
      <c r="D17" s="20" t="s">
        <v>55</v>
      </c>
      <c r="E17" s="60" t="s">
        <v>21</v>
      </c>
      <c r="F17" s="28" t="s">
        <v>22</v>
      </c>
      <c r="G17" s="28" t="s">
        <v>22</v>
      </c>
      <c r="H17" s="60" t="s">
        <v>21</v>
      </c>
      <c r="I17" s="60" t="s">
        <v>21</v>
      </c>
      <c r="J17" s="60" t="s">
        <v>21</v>
      </c>
      <c r="K17" s="60" t="s">
        <v>21</v>
      </c>
      <c r="L17" s="28" t="s">
        <v>22</v>
      </c>
      <c r="M17" s="28" t="s">
        <v>22</v>
      </c>
      <c r="N17" s="78" t="s">
        <v>29</v>
      </c>
      <c r="O17" s="78" t="s">
        <v>29</v>
      </c>
      <c r="P17" s="78" t="s">
        <v>29</v>
      </c>
      <c r="Q17" s="78" t="s">
        <v>29</v>
      </c>
      <c r="R17" s="28" t="s">
        <v>22</v>
      </c>
      <c r="S17" s="28" t="s">
        <v>22</v>
      </c>
      <c r="T17" s="74" t="s">
        <v>23</v>
      </c>
      <c r="U17" s="74" t="s">
        <v>23</v>
      </c>
      <c r="V17" s="74" t="s">
        <v>23</v>
      </c>
      <c r="W17" s="74" t="s">
        <v>23</v>
      </c>
      <c r="X17" s="28" t="s">
        <v>22</v>
      </c>
      <c r="Y17" s="28" t="s">
        <v>22</v>
      </c>
      <c r="Z17" s="60" t="s">
        <v>21</v>
      </c>
      <c r="AA17" s="60" t="s">
        <v>21</v>
      </c>
      <c r="AB17" s="60" t="s">
        <v>21</v>
      </c>
      <c r="AC17" s="60" t="s">
        <v>21</v>
      </c>
      <c r="AD17" s="28" t="s">
        <v>22</v>
      </c>
      <c r="AE17" s="28" t="s">
        <v>22</v>
      </c>
      <c r="AF17" s="74" t="s">
        <v>23</v>
      </c>
      <c r="AG17" s="74" t="s">
        <v>23</v>
      </c>
      <c r="AH17" s="89" t="s">
        <v>23</v>
      </c>
      <c r="AI17" s="19"/>
      <c r="AJ17" s="20"/>
      <c r="AK17" s="21">
        <f t="shared" si="0"/>
        <v>0</v>
      </c>
      <c r="AL17" s="20">
        <f t="shared" si="1"/>
        <v>0</v>
      </c>
      <c r="AM17" s="19"/>
      <c r="AN17" s="20"/>
      <c r="AO17" s="21">
        <f t="shared" si="2"/>
        <v>0</v>
      </c>
      <c r="AP17" s="20">
        <f t="shared" si="3"/>
        <v>0</v>
      </c>
      <c r="AQ17" s="19"/>
      <c r="AR17" s="21">
        <f t="shared" si="4"/>
        <v>20</v>
      </c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</row>
    <row r="18" spans="2:59">
      <c r="B18" s="276"/>
      <c r="C18" s="22" t="s">
        <v>56</v>
      </c>
      <c r="D18" s="20" t="s">
        <v>57</v>
      </c>
      <c r="E18" s="28" t="s">
        <v>22</v>
      </c>
      <c r="F18" s="60" t="s">
        <v>21</v>
      </c>
      <c r="G18" s="60" t="s">
        <v>21</v>
      </c>
      <c r="H18" s="60" t="s">
        <v>21</v>
      </c>
      <c r="I18" s="60" t="s">
        <v>21</v>
      </c>
      <c r="J18" s="28" t="s">
        <v>22</v>
      </c>
      <c r="K18" s="28" t="s">
        <v>22</v>
      </c>
      <c r="L18" s="60" t="s">
        <v>21</v>
      </c>
      <c r="M18" s="60" t="s">
        <v>21</v>
      </c>
      <c r="N18" s="60" t="s">
        <v>21</v>
      </c>
      <c r="O18" s="60" t="s">
        <v>21</v>
      </c>
      <c r="P18" s="28" t="s">
        <v>22</v>
      </c>
      <c r="Q18" s="28" t="s">
        <v>22</v>
      </c>
      <c r="R18" s="78" t="s">
        <v>29</v>
      </c>
      <c r="S18" s="78" t="s">
        <v>29</v>
      </c>
      <c r="T18" s="78" t="s">
        <v>29</v>
      </c>
      <c r="U18" s="78" t="s">
        <v>29</v>
      </c>
      <c r="V18" s="28" t="s">
        <v>22</v>
      </c>
      <c r="W18" s="28" t="s">
        <v>22</v>
      </c>
      <c r="X18" s="74" t="s">
        <v>23</v>
      </c>
      <c r="Y18" s="74" t="s">
        <v>23</v>
      </c>
      <c r="Z18" s="74" t="s">
        <v>23</v>
      </c>
      <c r="AA18" s="74" t="s">
        <v>23</v>
      </c>
      <c r="AB18" s="28" t="s">
        <v>22</v>
      </c>
      <c r="AC18" s="28" t="s">
        <v>22</v>
      </c>
      <c r="AD18" s="60" t="s">
        <v>21</v>
      </c>
      <c r="AE18" s="60" t="s">
        <v>21</v>
      </c>
      <c r="AF18" s="60" t="s">
        <v>21</v>
      </c>
      <c r="AG18" s="60" t="s">
        <v>21</v>
      </c>
      <c r="AH18" s="91" t="s">
        <v>22</v>
      </c>
      <c r="AI18" s="19"/>
      <c r="AJ18" s="20"/>
      <c r="AK18" s="21">
        <f t="shared" si="0"/>
        <v>0</v>
      </c>
      <c r="AL18" s="20">
        <f t="shared" si="1"/>
        <v>0</v>
      </c>
      <c r="AM18" s="19"/>
      <c r="AN18" s="20"/>
      <c r="AO18" s="21">
        <f t="shared" si="2"/>
        <v>0</v>
      </c>
      <c r="AP18" s="20">
        <f t="shared" si="3"/>
        <v>0</v>
      </c>
      <c r="AQ18" s="19"/>
      <c r="AR18" s="21">
        <f t="shared" si="4"/>
        <v>20</v>
      </c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</row>
    <row r="19" spans="2:59">
      <c r="B19" s="276"/>
      <c r="C19" s="20" t="s">
        <v>58</v>
      </c>
      <c r="D19" s="20" t="s">
        <v>59</v>
      </c>
      <c r="E19" s="74" t="s">
        <v>23</v>
      </c>
      <c r="F19" s="74" t="s">
        <v>23</v>
      </c>
      <c r="G19" s="74" t="s">
        <v>23</v>
      </c>
      <c r="H19" s="28" t="s">
        <v>22</v>
      </c>
      <c r="I19" s="28" t="s">
        <v>22</v>
      </c>
      <c r="J19" s="60" t="s">
        <v>21</v>
      </c>
      <c r="K19" s="60" t="s">
        <v>21</v>
      </c>
      <c r="L19" s="60" t="s">
        <v>21</v>
      </c>
      <c r="M19" s="60" t="s">
        <v>21</v>
      </c>
      <c r="N19" s="28" t="s">
        <v>22</v>
      </c>
      <c r="O19" s="28" t="s">
        <v>22</v>
      </c>
      <c r="P19" s="60" t="s">
        <v>21</v>
      </c>
      <c r="Q19" s="60" t="s">
        <v>21</v>
      </c>
      <c r="R19" s="60" t="s">
        <v>21</v>
      </c>
      <c r="S19" s="60" t="s">
        <v>21</v>
      </c>
      <c r="T19" s="28" t="s">
        <v>22</v>
      </c>
      <c r="U19" s="28" t="s">
        <v>22</v>
      </c>
      <c r="V19" s="78" t="s">
        <v>29</v>
      </c>
      <c r="W19" s="78" t="s">
        <v>29</v>
      </c>
      <c r="X19" s="78" t="s">
        <v>29</v>
      </c>
      <c r="Y19" s="78" t="s">
        <v>29</v>
      </c>
      <c r="Z19" s="28" t="s">
        <v>22</v>
      </c>
      <c r="AA19" s="28" t="s">
        <v>22</v>
      </c>
      <c r="AB19" s="74" t="s">
        <v>23</v>
      </c>
      <c r="AC19" s="74" t="s">
        <v>23</v>
      </c>
      <c r="AD19" s="74" t="s">
        <v>23</v>
      </c>
      <c r="AE19" s="74" t="s">
        <v>23</v>
      </c>
      <c r="AF19" s="28" t="s">
        <v>22</v>
      </c>
      <c r="AG19" s="28" t="s">
        <v>22</v>
      </c>
      <c r="AH19" s="90" t="s">
        <v>21</v>
      </c>
      <c r="AI19" s="19"/>
      <c r="AJ19" s="20"/>
      <c r="AK19" s="21">
        <f t="shared" si="0"/>
        <v>0</v>
      </c>
      <c r="AL19" s="20">
        <f t="shared" si="1"/>
        <v>0</v>
      </c>
      <c r="AM19" s="19"/>
      <c r="AN19" s="26"/>
      <c r="AO19" s="21">
        <f t="shared" si="2"/>
        <v>0</v>
      </c>
      <c r="AP19" s="44">
        <f t="shared" si="3"/>
        <v>0</v>
      </c>
      <c r="AQ19" s="19"/>
      <c r="AR19" s="21">
        <f t="shared" si="4"/>
        <v>20</v>
      </c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</row>
    <row r="20" spans="2:59">
      <c r="B20" s="276"/>
      <c r="C20" s="22" t="s">
        <v>60</v>
      </c>
      <c r="D20" s="20" t="s">
        <v>61</v>
      </c>
      <c r="E20" s="60" t="s">
        <v>21</v>
      </c>
      <c r="F20" s="28" t="s">
        <v>22</v>
      </c>
      <c r="G20" s="28" t="s">
        <v>22</v>
      </c>
      <c r="H20" s="74" t="s">
        <v>23</v>
      </c>
      <c r="I20" s="74" t="s">
        <v>23</v>
      </c>
      <c r="J20" s="74" t="s">
        <v>23</v>
      </c>
      <c r="K20" s="74" t="s">
        <v>23</v>
      </c>
      <c r="L20" s="28" t="s">
        <v>22</v>
      </c>
      <c r="M20" s="28" t="s">
        <v>22</v>
      </c>
      <c r="N20" s="60" t="s">
        <v>21</v>
      </c>
      <c r="O20" s="60" t="s">
        <v>21</v>
      </c>
      <c r="P20" s="60" t="s">
        <v>21</v>
      </c>
      <c r="Q20" s="60" t="s">
        <v>21</v>
      </c>
      <c r="R20" s="28" t="s">
        <v>22</v>
      </c>
      <c r="S20" s="28" t="s">
        <v>22</v>
      </c>
      <c r="T20" s="60" t="s">
        <v>21</v>
      </c>
      <c r="U20" s="60" t="s">
        <v>21</v>
      </c>
      <c r="V20" s="60" t="s">
        <v>21</v>
      </c>
      <c r="W20" s="60" t="s">
        <v>21</v>
      </c>
      <c r="X20" s="28" t="s">
        <v>22</v>
      </c>
      <c r="Y20" s="28" t="s">
        <v>22</v>
      </c>
      <c r="Z20" s="78" t="s">
        <v>29</v>
      </c>
      <c r="AA20" s="78" t="s">
        <v>29</v>
      </c>
      <c r="AB20" s="78" t="s">
        <v>29</v>
      </c>
      <c r="AC20" s="78" t="s">
        <v>29</v>
      </c>
      <c r="AD20" s="28" t="s">
        <v>22</v>
      </c>
      <c r="AE20" s="28" t="s">
        <v>22</v>
      </c>
      <c r="AF20" s="74" t="s">
        <v>23</v>
      </c>
      <c r="AG20" s="74" t="s">
        <v>23</v>
      </c>
      <c r="AH20" s="89" t="s">
        <v>23</v>
      </c>
      <c r="AI20" s="19"/>
      <c r="AJ20" s="20"/>
      <c r="AK20" s="21">
        <f t="shared" si="0"/>
        <v>0</v>
      </c>
      <c r="AL20" s="20">
        <f t="shared" si="1"/>
        <v>0</v>
      </c>
      <c r="AM20" s="19"/>
      <c r="AN20" s="20"/>
      <c r="AO20" s="21">
        <f t="shared" si="2"/>
        <v>0</v>
      </c>
      <c r="AP20" s="20">
        <f t="shared" si="3"/>
        <v>0</v>
      </c>
      <c r="AQ20" s="19"/>
      <c r="AR20" s="21">
        <f t="shared" si="4"/>
        <v>20</v>
      </c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</row>
    <row r="21" spans="2:59">
      <c r="B21" s="276"/>
      <c r="C21" s="20" t="s">
        <v>62</v>
      </c>
      <c r="D21" s="20" t="s">
        <v>63</v>
      </c>
      <c r="E21" s="28" t="s">
        <v>22</v>
      </c>
      <c r="F21" s="60" t="s">
        <v>21</v>
      </c>
      <c r="G21" s="60" t="s">
        <v>21</v>
      </c>
      <c r="H21" s="60" t="s">
        <v>21</v>
      </c>
      <c r="I21" s="60" t="s">
        <v>21</v>
      </c>
      <c r="J21" s="28" t="s">
        <v>22</v>
      </c>
      <c r="K21" s="28" t="s">
        <v>22</v>
      </c>
      <c r="L21" s="74" t="s">
        <v>23</v>
      </c>
      <c r="M21" s="74" t="s">
        <v>23</v>
      </c>
      <c r="N21" s="74" t="s">
        <v>23</v>
      </c>
      <c r="O21" s="74" t="s">
        <v>23</v>
      </c>
      <c r="P21" s="28" t="s">
        <v>22</v>
      </c>
      <c r="Q21" s="28" t="s">
        <v>22</v>
      </c>
      <c r="R21" s="74" t="s">
        <v>23</v>
      </c>
      <c r="S21" s="74" t="s">
        <v>23</v>
      </c>
      <c r="T21" s="74" t="s">
        <v>23</v>
      </c>
      <c r="U21" s="74" t="s">
        <v>23</v>
      </c>
      <c r="V21" s="28" t="s">
        <v>22</v>
      </c>
      <c r="W21" s="28" t="s">
        <v>22</v>
      </c>
      <c r="X21" s="60" t="s">
        <v>21</v>
      </c>
      <c r="Y21" s="60" t="s">
        <v>21</v>
      </c>
      <c r="Z21" s="60" t="s">
        <v>21</v>
      </c>
      <c r="AA21" s="60" t="s">
        <v>21</v>
      </c>
      <c r="AB21" s="28" t="s">
        <v>22</v>
      </c>
      <c r="AC21" s="28" t="s">
        <v>22</v>
      </c>
      <c r="AD21" s="78" t="s">
        <v>29</v>
      </c>
      <c r="AE21" s="78" t="s">
        <v>29</v>
      </c>
      <c r="AF21" s="78" t="s">
        <v>29</v>
      </c>
      <c r="AG21" s="78" t="s">
        <v>29</v>
      </c>
      <c r="AH21" s="91" t="s">
        <v>22</v>
      </c>
      <c r="AI21" s="19"/>
      <c r="AJ21" s="20"/>
      <c r="AK21" s="21">
        <f t="shared" si="0"/>
        <v>0</v>
      </c>
      <c r="AL21" s="20">
        <f t="shared" si="1"/>
        <v>0</v>
      </c>
      <c r="AM21" s="19"/>
      <c r="AN21" s="20"/>
      <c r="AO21" s="21">
        <f t="shared" si="2"/>
        <v>0</v>
      </c>
      <c r="AP21" s="20">
        <f t="shared" si="3"/>
        <v>0</v>
      </c>
      <c r="AQ21" s="19"/>
      <c r="AR21" s="21">
        <f t="shared" si="4"/>
        <v>20</v>
      </c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</row>
    <row r="22" spans="2:59">
      <c r="B22" s="276"/>
      <c r="C22" s="86" t="s">
        <v>64</v>
      </c>
      <c r="D22" s="87" t="s">
        <v>65</v>
      </c>
      <c r="E22" s="74" t="s">
        <v>23</v>
      </c>
      <c r="F22" s="74" t="s">
        <v>23</v>
      </c>
      <c r="G22" s="74" t="s">
        <v>23</v>
      </c>
      <c r="H22" s="28" t="s">
        <v>22</v>
      </c>
      <c r="I22" s="28" t="s">
        <v>22</v>
      </c>
      <c r="J22" s="60" t="s">
        <v>21</v>
      </c>
      <c r="K22" s="60" t="s">
        <v>21</v>
      </c>
      <c r="L22" s="60" t="s">
        <v>21</v>
      </c>
      <c r="M22" s="60" t="s">
        <v>21</v>
      </c>
      <c r="N22" s="28" t="s">
        <v>22</v>
      </c>
      <c r="O22" s="28" t="s">
        <v>22</v>
      </c>
      <c r="P22" s="74" t="s">
        <v>23</v>
      </c>
      <c r="Q22" s="74" t="s">
        <v>23</v>
      </c>
      <c r="R22" s="74" t="s">
        <v>23</v>
      </c>
      <c r="S22" s="74" t="s">
        <v>23</v>
      </c>
      <c r="T22" s="28" t="s">
        <v>22</v>
      </c>
      <c r="U22" s="28" t="s">
        <v>22</v>
      </c>
      <c r="V22" s="60" t="s">
        <v>21</v>
      </c>
      <c r="W22" s="60" t="s">
        <v>21</v>
      </c>
      <c r="X22" s="60" t="s">
        <v>21</v>
      </c>
      <c r="Y22" s="60" t="s">
        <v>21</v>
      </c>
      <c r="Z22" s="28" t="s">
        <v>22</v>
      </c>
      <c r="AA22" s="28" t="s">
        <v>22</v>
      </c>
      <c r="AB22" s="60" t="s">
        <v>21</v>
      </c>
      <c r="AC22" s="60" t="s">
        <v>21</v>
      </c>
      <c r="AD22" s="60" t="s">
        <v>21</v>
      </c>
      <c r="AE22" s="60" t="s">
        <v>21</v>
      </c>
      <c r="AF22" s="28" t="s">
        <v>22</v>
      </c>
      <c r="AG22" s="28" t="s">
        <v>22</v>
      </c>
      <c r="AH22" s="107" t="s">
        <v>29</v>
      </c>
      <c r="AI22" s="19"/>
      <c r="AJ22" s="20"/>
      <c r="AK22" s="21">
        <f t="shared" si="0"/>
        <v>0</v>
      </c>
      <c r="AL22" s="20">
        <f t="shared" si="1"/>
        <v>0</v>
      </c>
      <c r="AM22" s="19"/>
      <c r="AN22" s="20"/>
      <c r="AO22" s="21">
        <f t="shared" si="2"/>
        <v>0</v>
      </c>
      <c r="AP22" s="20">
        <f t="shared" si="3"/>
        <v>0</v>
      </c>
      <c r="AQ22" s="19"/>
      <c r="AR22" s="21">
        <f t="shared" si="4"/>
        <v>20</v>
      </c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</row>
    <row r="23" spans="2:59" ht="15" customHeight="1">
      <c r="B23" s="276"/>
      <c r="C23" s="20" t="s">
        <v>68</v>
      </c>
      <c r="D23" s="20" t="s">
        <v>69</v>
      </c>
      <c r="E23" s="60" t="s">
        <v>21</v>
      </c>
      <c r="F23" s="28" t="s">
        <v>22</v>
      </c>
      <c r="G23" s="28" t="s">
        <v>22</v>
      </c>
      <c r="H23" s="74" t="s">
        <v>23</v>
      </c>
      <c r="I23" s="74" t="s">
        <v>23</v>
      </c>
      <c r="J23" s="74" t="s">
        <v>23</v>
      </c>
      <c r="K23" s="74" t="s">
        <v>23</v>
      </c>
      <c r="L23" s="28" t="s">
        <v>22</v>
      </c>
      <c r="M23" s="28" t="s">
        <v>22</v>
      </c>
      <c r="N23" s="60" t="s">
        <v>21</v>
      </c>
      <c r="O23" s="60" t="s">
        <v>21</v>
      </c>
      <c r="P23" s="60" t="s">
        <v>21</v>
      </c>
      <c r="Q23" s="60" t="s">
        <v>21</v>
      </c>
      <c r="R23" s="28" t="s">
        <v>22</v>
      </c>
      <c r="S23" s="28" t="s">
        <v>22</v>
      </c>
      <c r="T23" s="74" t="s">
        <v>23</v>
      </c>
      <c r="U23" s="74" t="s">
        <v>23</v>
      </c>
      <c r="V23" s="74" t="s">
        <v>23</v>
      </c>
      <c r="W23" s="74" t="s">
        <v>23</v>
      </c>
      <c r="X23" s="28" t="s">
        <v>22</v>
      </c>
      <c r="Y23" s="28" t="s">
        <v>22</v>
      </c>
      <c r="Z23" s="60" t="s">
        <v>21</v>
      </c>
      <c r="AA23" s="60" t="s">
        <v>21</v>
      </c>
      <c r="AB23" s="60" t="s">
        <v>21</v>
      </c>
      <c r="AC23" s="60" t="s">
        <v>21</v>
      </c>
      <c r="AD23" s="28" t="s">
        <v>22</v>
      </c>
      <c r="AE23" s="28" t="s">
        <v>22</v>
      </c>
      <c r="AF23" s="60" t="s">
        <v>21</v>
      </c>
      <c r="AG23" s="60" t="s">
        <v>21</v>
      </c>
      <c r="AH23" s="90" t="s">
        <v>21</v>
      </c>
      <c r="AI23" s="19"/>
      <c r="AJ23" s="20"/>
      <c r="AK23" s="21">
        <f t="shared" si="0"/>
        <v>0</v>
      </c>
      <c r="AL23" s="20">
        <f t="shared" si="1"/>
        <v>0</v>
      </c>
      <c r="AM23" s="19"/>
      <c r="AN23" s="20"/>
      <c r="AO23" s="21">
        <f t="shared" si="2"/>
        <v>0</v>
      </c>
      <c r="AP23" s="20">
        <f t="shared" si="3"/>
        <v>0</v>
      </c>
      <c r="AQ23" s="19"/>
      <c r="AR23" s="21">
        <f t="shared" si="4"/>
        <v>20</v>
      </c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</row>
    <row r="24" spans="2:59">
      <c r="B24" s="276"/>
      <c r="C24" s="108" t="s">
        <v>70</v>
      </c>
      <c r="D24" s="109" t="s">
        <v>71</v>
      </c>
      <c r="E24" s="110" t="s">
        <v>22</v>
      </c>
      <c r="F24" s="111" t="s">
        <v>21</v>
      </c>
      <c r="G24" s="111" t="s">
        <v>21</v>
      </c>
      <c r="H24" s="111" t="s">
        <v>21</v>
      </c>
      <c r="I24" s="111" t="s">
        <v>21</v>
      </c>
      <c r="J24" s="110" t="s">
        <v>22</v>
      </c>
      <c r="K24" s="110" t="s">
        <v>22</v>
      </c>
      <c r="L24" s="112" t="s">
        <v>23</v>
      </c>
      <c r="M24" s="112" t="s">
        <v>23</v>
      </c>
      <c r="N24" s="112" t="s">
        <v>23</v>
      </c>
      <c r="O24" s="112" t="s">
        <v>23</v>
      </c>
      <c r="P24" s="110" t="s">
        <v>22</v>
      </c>
      <c r="Q24" s="110" t="s">
        <v>22</v>
      </c>
      <c r="R24" s="111" t="s">
        <v>21</v>
      </c>
      <c r="S24" s="111" t="s">
        <v>21</v>
      </c>
      <c r="T24" s="111" t="s">
        <v>21</v>
      </c>
      <c r="U24" s="111" t="s">
        <v>21</v>
      </c>
      <c r="V24" s="110" t="s">
        <v>22</v>
      </c>
      <c r="W24" s="110" t="s">
        <v>22</v>
      </c>
      <c r="X24" s="112" t="s">
        <v>23</v>
      </c>
      <c r="Y24" s="112" t="s">
        <v>23</v>
      </c>
      <c r="Z24" s="112" t="s">
        <v>23</v>
      </c>
      <c r="AA24" s="112" t="s">
        <v>23</v>
      </c>
      <c r="AB24" s="110" t="s">
        <v>22</v>
      </c>
      <c r="AC24" s="110" t="s">
        <v>22</v>
      </c>
      <c r="AD24" s="111" t="s">
        <v>21</v>
      </c>
      <c r="AE24" s="111" t="s">
        <v>21</v>
      </c>
      <c r="AF24" s="111" t="s">
        <v>21</v>
      </c>
      <c r="AG24" s="111" t="s">
        <v>21</v>
      </c>
      <c r="AH24" s="113" t="s">
        <v>22</v>
      </c>
      <c r="AI24" s="19"/>
      <c r="AJ24" s="20"/>
      <c r="AK24" s="21">
        <f t="shared" si="0"/>
        <v>0</v>
      </c>
      <c r="AL24" s="20">
        <f t="shared" si="1"/>
        <v>0</v>
      </c>
      <c r="AM24" s="19"/>
      <c r="AN24" s="20"/>
      <c r="AO24" s="21">
        <f t="shared" si="2"/>
        <v>0</v>
      </c>
      <c r="AP24" s="20">
        <f t="shared" si="3"/>
        <v>0</v>
      </c>
      <c r="AQ24" s="19"/>
      <c r="AR24" s="21">
        <f t="shared" si="4"/>
        <v>20</v>
      </c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</row>
    <row r="25" spans="2:59" ht="15" customHeight="1">
      <c r="B25" s="280" t="s">
        <v>72</v>
      </c>
      <c r="C25" s="88" t="s">
        <v>73</v>
      </c>
      <c r="D25" s="88" t="s">
        <v>74</v>
      </c>
      <c r="E25" s="104" t="s">
        <v>21</v>
      </c>
      <c r="F25" s="104" t="s">
        <v>21</v>
      </c>
      <c r="G25" s="104" t="s">
        <v>21</v>
      </c>
      <c r="H25" s="103" t="s">
        <v>22</v>
      </c>
      <c r="I25" s="103" t="s">
        <v>22</v>
      </c>
      <c r="J25" s="115" t="s">
        <v>29</v>
      </c>
      <c r="K25" s="115" t="s">
        <v>29</v>
      </c>
      <c r="L25" s="115" t="s">
        <v>29</v>
      </c>
      <c r="M25" s="115" t="s">
        <v>29</v>
      </c>
      <c r="N25" s="103" t="s">
        <v>22</v>
      </c>
      <c r="O25" s="103" t="s">
        <v>22</v>
      </c>
      <c r="P25" s="102" t="s">
        <v>23</v>
      </c>
      <c r="Q25" s="102" t="s">
        <v>23</v>
      </c>
      <c r="R25" s="102" t="s">
        <v>23</v>
      </c>
      <c r="S25" s="102" t="s">
        <v>23</v>
      </c>
      <c r="T25" s="103" t="s">
        <v>22</v>
      </c>
      <c r="U25" s="103" t="s">
        <v>22</v>
      </c>
      <c r="V25" s="104" t="s">
        <v>21</v>
      </c>
      <c r="W25" s="104" t="s">
        <v>21</v>
      </c>
      <c r="X25" s="104" t="s">
        <v>21</v>
      </c>
      <c r="Y25" s="104" t="s">
        <v>21</v>
      </c>
      <c r="Z25" s="103" t="s">
        <v>22</v>
      </c>
      <c r="AA25" s="103" t="s">
        <v>22</v>
      </c>
      <c r="AB25" s="102" t="s">
        <v>23</v>
      </c>
      <c r="AC25" s="102" t="s">
        <v>23</v>
      </c>
      <c r="AD25" s="102" t="s">
        <v>23</v>
      </c>
      <c r="AE25" s="102" t="s">
        <v>23</v>
      </c>
      <c r="AF25" s="103" t="s">
        <v>22</v>
      </c>
      <c r="AG25" s="103" t="s">
        <v>22</v>
      </c>
      <c r="AH25" s="179" t="s">
        <v>21</v>
      </c>
      <c r="AI25" s="19"/>
      <c r="AJ25" s="20"/>
      <c r="AK25" s="21">
        <f t="shared" si="0"/>
        <v>0</v>
      </c>
      <c r="AL25" s="20">
        <f t="shared" si="1"/>
        <v>0</v>
      </c>
      <c r="AM25" s="19"/>
      <c r="AN25" s="20"/>
      <c r="AO25" s="21">
        <f t="shared" si="2"/>
        <v>0</v>
      </c>
      <c r="AP25" s="20">
        <f t="shared" si="3"/>
        <v>0</v>
      </c>
      <c r="AQ25" s="19"/>
      <c r="AR25" s="21">
        <f t="shared" si="4"/>
        <v>20</v>
      </c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</row>
    <row r="26" spans="2:59">
      <c r="B26" s="276"/>
      <c r="C26" s="22" t="s">
        <v>75</v>
      </c>
      <c r="D26" s="20" t="s">
        <v>76</v>
      </c>
      <c r="E26" s="60" t="s">
        <v>21</v>
      </c>
      <c r="F26" s="28" t="s">
        <v>22</v>
      </c>
      <c r="G26" s="28" t="s">
        <v>22</v>
      </c>
      <c r="H26" s="60" t="s">
        <v>21</v>
      </c>
      <c r="I26" s="60" t="s">
        <v>21</v>
      </c>
      <c r="J26" s="75" t="s">
        <v>26</v>
      </c>
      <c r="K26" s="60" t="s">
        <v>21</v>
      </c>
      <c r="L26" s="28" t="s">
        <v>22</v>
      </c>
      <c r="M26" s="28" t="s">
        <v>22</v>
      </c>
      <c r="N26" s="78" t="s">
        <v>29</v>
      </c>
      <c r="O26" s="78" t="s">
        <v>29</v>
      </c>
      <c r="P26" s="78" t="s">
        <v>29</v>
      </c>
      <c r="Q26" s="78" t="s">
        <v>29</v>
      </c>
      <c r="R26" s="28" t="s">
        <v>22</v>
      </c>
      <c r="S26" s="28" t="s">
        <v>22</v>
      </c>
      <c r="T26" s="74" t="s">
        <v>23</v>
      </c>
      <c r="U26" s="74" t="s">
        <v>23</v>
      </c>
      <c r="V26" s="74" t="s">
        <v>23</v>
      </c>
      <c r="W26" s="74" t="s">
        <v>23</v>
      </c>
      <c r="X26" s="28" t="s">
        <v>22</v>
      </c>
      <c r="Y26" s="28" t="s">
        <v>22</v>
      </c>
      <c r="Z26" s="60" t="s">
        <v>21</v>
      </c>
      <c r="AA26" s="60" t="s">
        <v>21</v>
      </c>
      <c r="AB26" s="60" t="s">
        <v>21</v>
      </c>
      <c r="AC26" s="60" t="s">
        <v>21</v>
      </c>
      <c r="AD26" s="28" t="s">
        <v>22</v>
      </c>
      <c r="AE26" s="28" t="s">
        <v>22</v>
      </c>
      <c r="AF26" s="74" t="s">
        <v>23</v>
      </c>
      <c r="AG26" s="74" t="s">
        <v>23</v>
      </c>
      <c r="AH26" s="89" t="s">
        <v>23</v>
      </c>
      <c r="AI26" s="19"/>
      <c r="AJ26" s="20"/>
      <c r="AK26" s="21">
        <f t="shared" si="0"/>
        <v>0</v>
      </c>
      <c r="AL26" s="20">
        <f t="shared" si="1"/>
        <v>0</v>
      </c>
      <c r="AM26" s="19"/>
      <c r="AN26" s="20"/>
      <c r="AO26" s="21">
        <f t="shared" si="2"/>
        <v>0</v>
      </c>
      <c r="AP26" s="20">
        <f t="shared" si="3"/>
        <v>0</v>
      </c>
      <c r="AQ26" s="19"/>
      <c r="AR26" s="21">
        <f t="shared" si="4"/>
        <v>19</v>
      </c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</row>
    <row r="27" spans="2:59">
      <c r="B27" s="276"/>
      <c r="C27" s="22" t="s">
        <v>77</v>
      </c>
      <c r="D27" s="20" t="s">
        <v>78</v>
      </c>
      <c r="E27" s="74" t="s">
        <v>23</v>
      </c>
      <c r="F27" s="74" t="s">
        <v>23</v>
      </c>
      <c r="G27" s="74" t="s">
        <v>23</v>
      </c>
      <c r="H27" s="28" t="s">
        <v>22</v>
      </c>
      <c r="I27" s="28" t="s">
        <v>22</v>
      </c>
      <c r="J27" s="60" t="s">
        <v>21</v>
      </c>
      <c r="K27" s="60" t="s">
        <v>21</v>
      </c>
      <c r="L27" s="60" t="s">
        <v>21</v>
      </c>
      <c r="M27" s="60" t="s">
        <v>21</v>
      </c>
      <c r="N27" s="28" t="s">
        <v>22</v>
      </c>
      <c r="O27" s="28" t="s">
        <v>22</v>
      </c>
      <c r="P27" s="60" t="s">
        <v>21</v>
      </c>
      <c r="Q27" s="60" t="s">
        <v>21</v>
      </c>
      <c r="R27" s="60" t="s">
        <v>21</v>
      </c>
      <c r="S27" s="60" t="s">
        <v>21</v>
      </c>
      <c r="T27" s="28" t="s">
        <v>22</v>
      </c>
      <c r="U27" s="28" t="s">
        <v>22</v>
      </c>
      <c r="V27" s="78" t="s">
        <v>29</v>
      </c>
      <c r="W27" s="78" t="s">
        <v>29</v>
      </c>
      <c r="X27" s="78" t="s">
        <v>29</v>
      </c>
      <c r="Y27" s="78" t="s">
        <v>29</v>
      </c>
      <c r="Z27" s="28" t="s">
        <v>22</v>
      </c>
      <c r="AA27" s="28" t="s">
        <v>22</v>
      </c>
      <c r="AB27" s="74" t="s">
        <v>23</v>
      </c>
      <c r="AC27" s="74" t="s">
        <v>23</v>
      </c>
      <c r="AD27" s="74" t="s">
        <v>23</v>
      </c>
      <c r="AE27" s="74" t="s">
        <v>23</v>
      </c>
      <c r="AF27" s="28" t="s">
        <v>22</v>
      </c>
      <c r="AG27" s="28" t="s">
        <v>22</v>
      </c>
      <c r="AH27" s="90" t="s">
        <v>21</v>
      </c>
      <c r="AI27" s="19"/>
      <c r="AJ27" s="20"/>
      <c r="AK27" s="21">
        <f t="shared" si="0"/>
        <v>0</v>
      </c>
      <c r="AL27" s="20">
        <f t="shared" si="1"/>
        <v>0</v>
      </c>
      <c r="AM27" s="19"/>
      <c r="AN27" s="20"/>
      <c r="AO27" s="21">
        <f t="shared" si="2"/>
        <v>0</v>
      </c>
      <c r="AP27" s="20">
        <f t="shared" si="3"/>
        <v>0</v>
      </c>
      <c r="AQ27" s="19"/>
      <c r="AR27" s="21">
        <f t="shared" si="4"/>
        <v>20</v>
      </c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</row>
    <row r="28" spans="2:59" ht="15" customHeight="1">
      <c r="B28" s="276"/>
      <c r="C28" s="20" t="s">
        <v>79</v>
      </c>
      <c r="D28" s="20" t="s">
        <v>80</v>
      </c>
      <c r="E28" s="60" t="s">
        <v>21</v>
      </c>
      <c r="F28" s="28" t="s">
        <v>22</v>
      </c>
      <c r="G28" s="28" t="s">
        <v>22</v>
      </c>
      <c r="H28" s="74" t="s">
        <v>23</v>
      </c>
      <c r="I28" s="74" t="s">
        <v>23</v>
      </c>
      <c r="J28" s="74" t="s">
        <v>23</v>
      </c>
      <c r="K28" s="74" t="s">
        <v>23</v>
      </c>
      <c r="L28" s="28" t="s">
        <v>22</v>
      </c>
      <c r="M28" s="28" t="s">
        <v>22</v>
      </c>
      <c r="N28" s="60" t="s">
        <v>21</v>
      </c>
      <c r="O28" s="60" t="s">
        <v>21</v>
      </c>
      <c r="P28" s="60" t="s">
        <v>21</v>
      </c>
      <c r="Q28" s="60" t="s">
        <v>21</v>
      </c>
      <c r="R28" s="28" t="s">
        <v>22</v>
      </c>
      <c r="S28" s="28" t="s">
        <v>22</v>
      </c>
      <c r="T28" s="60" t="s">
        <v>21</v>
      </c>
      <c r="U28" s="60" t="s">
        <v>21</v>
      </c>
      <c r="V28" s="60" t="s">
        <v>21</v>
      </c>
      <c r="W28" s="60" t="s">
        <v>21</v>
      </c>
      <c r="X28" s="28" t="s">
        <v>22</v>
      </c>
      <c r="Y28" s="28" t="s">
        <v>22</v>
      </c>
      <c r="Z28" s="78" t="s">
        <v>29</v>
      </c>
      <c r="AA28" s="78" t="s">
        <v>29</v>
      </c>
      <c r="AB28" s="78" t="s">
        <v>29</v>
      </c>
      <c r="AC28" s="78" t="s">
        <v>29</v>
      </c>
      <c r="AD28" s="28" t="s">
        <v>22</v>
      </c>
      <c r="AE28" s="28" t="s">
        <v>22</v>
      </c>
      <c r="AF28" s="74" t="s">
        <v>23</v>
      </c>
      <c r="AG28" s="74" t="s">
        <v>23</v>
      </c>
      <c r="AH28" s="89" t="s">
        <v>23</v>
      </c>
      <c r="AI28" s="19"/>
      <c r="AJ28" s="20"/>
      <c r="AK28" s="21">
        <f t="shared" si="0"/>
        <v>0</v>
      </c>
      <c r="AL28" s="20">
        <f t="shared" si="1"/>
        <v>0</v>
      </c>
      <c r="AM28" s="19"/>
      <c r="AN28" s="20"/>
      <c r="AO28" s="21">
        <f t="shared" si="2"/>
        <v>0</v>
      </c>
      <c r="AP28" s="20">
        <f t="shared" si="3"/>
        <v>0</v>
      </c>
      <c r="AQ28" s="19"/>
      <c r="AR28" s="21">
        <f t="shared" si="4"/>
        <v>20</v>
      </c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</row>
    <row r="29" spans="2:59">
      <c r="B29" s="276"/>
      <c r="C29" s="22" t="s">
        <v>82</v>
      </c>
      <c r="D29" s="20" t="s">
        <v>83</v>
      </c>
      <c r="E29" s="28" t="s">
        <v>22</v>
      </c>
      <c r="F29" s="60" t="s">
        <v>21</v>
      </c>
      <c r="G29" s="60" t="s">
        <v>21</v>
      </c>
      <c r="H29" s="60" t="s">
        <v>21</v>
      </c>
      <c r="I29" s="60" t="s">
        <v>21</v>
      </c>
      <c r="J29" s="28" t="s">
        <v>22</v>
      </c>
      <c r="K29" s="28" t="s">
        <v>22</v>
      </c>
      <c r="L29" s="74" t="s">
        <v>23</v>
      </c>
      <c r="M29" s="74" t="s">
        <v>23</v>
      </c>
      <c r="N29" s="74" t="s">
        <v>23</v>
      </c>
      <c r="O29" s="74" t="s">
        <v>23</v>
      </c>
      <c r="P29" s="28" t="s">
        <v>22</v>
      </c>
      <c r="Q29" s="28" t="s">
        <v>22</v>
      </c>
      <c r="R29" s="60" t="s">
        <v>21</v>
      </c>
      <c r="S29" s="60" t="s">
        <v>21</v>
      </c>
      <c r="T29" s="60" t="s">
        <v>21</v>
      </c>
      <c r="U29" s="60" t="s">
        <v>21</v>
      </c>
      <c r="V29" s="28" t="s">
        <v>22</v>
      </c>
      <c r="W29" s="28" t="s">
        <v>22</v>
      </c>
      <c r="X29" s="60" t="s">
        <v>21</v>
      </c>
      <c r="Y29" s="60" t="s">
        <v>21</v>
      </c>
      <c r="Z29" s="60" t="s">
        <v>21</v>
      </c>
      <c r="AA29" s="60" t="s">
        <v>21</v>
      </c>
      <c r="AB29" s="28" t="s">
        <v>22</v>
      </c>
      <c r="AC29" s="28" t="s">
        <v>22</v>
      </c>
      <c r="AD29" s="78" t="s">
        <v>29</v>
      </c>
      <c r="AE29" s="78" t="s">
        <v>29</v>
      </c>
      <c r="AF29" s="78" t="s">
        <v>29</v>
      </c>
      <c r="AG29" s="78" t="s">
        <v>29</v>
      </c>
      <c r="AH29" s="91" t="s">
        <v>22</v>
      </c>
      <c r="AI29" s="19"/>
      <c r="AJ29" s="20"/>
      <c r="AK29" s="21">
        <f t="shared" si="0"/>
        <v>0</v>
      </c>
      <c r="AL29" s="20">
        <f t="shared" si="1"/>
        <v>0</v>
      </c>
      <c r="AM29" s="19"/>
      <c r="AN29" s="20"/>
      <c r="AO29" s="21">
        <f t="shared" si="2"/>
        <v>0</v>
      </c>
      <c r="AP29" s="20">
        <f t="shared" si="3"/>
        <v>0</v>
      </c>
      <c r="AQ29" s="19"/>
      <c r="AR29" s="21">
        <f t="shared" si="4"/>
        <v>20</v>
      </c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</row>
    <row r="30" spans="2:59">
      <c r="B30" s="276"/>
      <c r="C30" s="20" t="s">
        <v>85</v>
      </c>
      <c r="D30" s="20" t="s">
        <v>86</v>
      </c>
      <c r="E30" s="60" t="s">
        <v>21</v>
      </c>
      <c r="F30" s="60" t="s">
        <v>21</v>
      </c>
      <c r="G30" s="60" t="s">
        <v>21</v>
      </c>
      <c r="H30" s="28" t="s">
        <v>22</v>
      </c>
      <c r="I30" s="28" t="s">
        <v>22</v>
      </c>
      <c r="J30" s="60" t="s">
        <v>21</v>
      </c>
      <c r="K30" s="60" t="s">
        <v>21</v>
      </c>
      <c r="L30" s="60" t="s">
        <v>21</v>
      </c>
      <c r="M30" s="60" t="s">
        <v>21</v>
      </c>
      <c r="N30" s="28" t="s">
        <v>22</v>
      </c>
      <c r="O30" s="28" t="s">
        <v>22</v>
      </c>
      <c r="P30" s="74" t="s">
        <v>23</v>
      </c>
      <c r="Q30" s="74" t="s">
        <v>23</v>
      </c>
      <c r="R30" s="74" t="s">
        <v>23</v>
      </c>
      <c r="S30" s="74" t="s">
        <v>23</v>
      </c>
      <c r="T30" s="28" t="s">
        <v>22</v>
      </c>
      <c r="U30" s="28" t="s">
        <v>22</v>
      </c>
      <c r="V30" s="60" t="s">
        <v>21</v>
      </c>
      <c r="W30" s="60" t="s">
        <v>21</v>
      </c>
      <c r="X30" s="60" t="s">
        <v>21</v>
      </c>
      <c r="Y30" s="60" t="s">
        <v>21</v>
      </c>
      <c r="Z30" s="28" t="s">
        <v>22</v>
      </c>
      <c r="AA30" s="28" t="s">
        <v>22</v>
      </c>
      <c r="AB30" s="60" t="s">
        <v>21</v>
      </c>
      <c r="AC30" s="60" t="s">
        <v>21</v>
      </c>
      <c r="AD30" s="60" t="s">
        <v>21</v>
      </c>
      <c r="AE30" s="60" t="s">
        <v>21</v>
      </c>
      <c r="AF30" s="28" t="s">
        <v>22</v>
      </c>
      <c r="AG30" s="28" t="s">
        <v>22</v>
      </c>
      <c r="AH30" s="107" t="s">
        <v>29</v>
      </c>
      <c r="AI30" s="19"/>
      <c r="AJ30" s="20"/>
      <c r="AK30" s="21">
        <f t="shared" si="0"/>
        <v>0</v>
      </c>
      <c r="AL30" s="20">
        <f t="shared" si="1"/>
        <v>0</v>
      </c>
      <c r="AM30" s="19"/>
      <c r="AN30" s="26"/>
      <c r="AO30" s="21">
        <f t="shared" si="2"/>
        <v>0</v>
      </c>
      <c r="AP30" s="44">
        <f t="shared" si="3"/>
        <v>0</v>
      </c>
      <c r="AQ30" s="19"/>
      <c r="AR30" s="21">
        <f t="shared" si="4"/>
        <v>20</v>
      </c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</row>
    <row r="31" spans="2:59">
      <c r="B31" s="276"/>
      <c r="C31" s="22" t="s">
        <v>87</v>
      </c>
      <c r="D31" s="20" t="s">
        <v>88</v>
      </c>
      <c r="E31" s="78" t="s">
        <v>29</v>
      </c>
      <c r="F31" s="28" t="s">
        <v>22</v>
      </c>
      <c r="G31" s="28" t="s">
        <v>22</v>
      </c>
      <c r="H31" s="74" t="s">
        <v>23</v>
      </c>
      <c r="I31" s="74" t="s">
        <v>23</v>
      </c>
      <c r="J31" s="74" t="s">
        <v>23</v>
      </c>
      <c r="K31" s="74" t="s">
        <v>23</v>
      </c>
      <c r="L31" s="28" t="s">
        <v>22</v>
      </c>
      <c r="M31" s="28" t="s">
        <v>22</v>
      </c>
      <c r="N31" s="60" t="s">
        <v>21</v>
      </c>
      <c r="O31" s="60" t="s">
        <v>21</v>
      </c>
      <c r="P31" s="60" t="s">
        <v>21</v>
      </c>
      <c r="Q31" s="60" t="s">
        <v>21</v>
      </c>
      <c r="R31" s="28" t="s">
        <v>22</v>
      </c>
      <c r="S31" s="28" t="s">
        <v>22</v>
      </c>
      <c r="T31" s="74" t="s">
        <v>23</v>
      </c>
      <c r="U31" s="74" t="s">
        <v>23</v>
      </c>
      <c r="V31" s="74" t="s">
        <v>23</v>
      </c>
      <c r="W31" s="74" t="s">
        <v>23</v>
      </c>
      <c r="X31" s="28" t="s">
        <v>22</v>
      </c>
      <c r="Y31" s="28" t="s">
        <v>22</v>
      </c>
      <c r="Z31" s="60" t="s">
        <v>21</v>
      </c>
      <c r="AA31" s="60" t="s">
        <v>21</v>
      </c>
      <c r="AB31" s="60" t="s">
        <v>21</v>
      </c>
      <c r="AC31" s="60" t="s">
        <v>21</v>
      </c>
      <c r="AD31" s="28" t="s">
        <v>22</v>
      </c>
      <c r="AE31" s="28" t="s">
        <v>22</v>
      </c>
      <c r="AF31" s="60" t="s">
        <v>21</v>
      </c>
      <c r="AG31" s="60" t="s">
        <v>21</v>
      </c>
      <c r="AH31" s="90" t="s">
        <v>21</v>
      </c>
      <c r="AI31" s="19"/>
      <c r="AJ31" s="20"/>
      <c r="AK31" s="21">
        <f t="shared" si="0"/>
        <v>0</v>
      </c>
      <c r="AL31" s="20">
        <f t="shared" si="1"/>
        <v>0</v>
      </c>
      <c r="AM31" s="19"/>
      <c r="AN31" s="20"/>
      <c r="AO31" s="21">
        <f t="shared" si="2"/>
        <v>0</v>
      </c>
      <c r="AP31" s="20">
        <f t="shared" si="3"/>
        <v>0</v>
      </c>
      <c r="AQ31" s="19"/>
      <c r="AR31" s="21">
        <f t="shared" si="4"/>
        <v>20</v>
      </c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</row>
    <row r="32" spans="2:59">
      <c r="B32" s="276"/>
      <c r="C32" s="20" t="s">
        <v>89</v>
      </c>
      <c r="D32" s="20" t="s">
        <v>90</v>
      </c>
      <c r="E32" s="28" t="s">
        <v>22</v>
      </c>
      <c r="F32" s="78" t="s">
        <v>29</v>
      </c>
      <c r="G32" s="78" t="s">
        <v>29</v>
      </c>
      <c r="H32" s="78" t="s">
        <v>29</v>
      </c>
      <c r="I32" s="78" t="s">
        <v>29</v>
      </c>
      <c r="J32" s="28" t="s">
        <v>22</v>
      </c>
      <c r="K32" s="28" t="s">
        <v>22</v>
      </c>
      <c r="L32" s="74" t="s">
        <v>23</v>
      </c>
      <c r="M32" s="74" t="s">
        <v>23</v>
      </c>
      <c r="N32" s="74" t="s">
        <v>23</v>
      </c>
      <c r="O32" s="74" t="s">
        <v>23</v>
      </c>
      <c r="P32" s="28" t="s">
        <v>22</v>
      </c>
      <c r="Q32" s="28" t="s">
        <v>22</v>
      </c>
      <c r="R32" s="60" t="s">
        <v>21</v>
      </c>
      <c r="S32" s="60" t="s">
        <v>21</v>
      </c>
      <c r="T32" s="60" t="s">
        <v>21</v>
      </c>
      <c r="U32" s="60" t="s">
        <v>21</v>
      </c>
      <c r="V32" s="28" t="s">
        <v>22</v>
      </c>
      <c r="W32" s="28" t="s">
        <v>22</v>
      </c>
      <c r="X32" s="74" t="s">
        <v>23</v>
      </c>
      <c r="Y32" s="74" t="s">
        <v>23</v>
      </c>
      <c r="Z32" s="74" t="s">
        <v>23</v>
      </c>
      <c r="AA32" s="74" t="s">
        <v>23</v>
      </c>
      <c r="AB32" s="28" t="s">
        <v>22</v>
      </c>
      <c r="AC32" s="28" t="s">
        <v>22</v>
      </c>
      <c r="AD32" s="60" t="s">
        <v>21</v>
      </c>
      <c r="AE32" s="60" t="s">
        <v>21</v>
      </c>
      <c r="AF32" s="60" t="s">
        <v>21</v>
      </c>
      <c r="AG32" s="60" t="s">
        <v>21</v>
      </c>
      <c r="AH32" s="91" t="s">
        <v>22</v>
      </c>
      <c r="AI32" s="19"/>
      <c r="AJ32" s="20"/>
      <c r="AK32" s="21">
        <f t="shared" si="0"/>
        <v>0</v>
      </c>
      <c r="AL32" s="20">
        <f t="shared" si="1"/>
        <v>0</v>
      </c>
      <c r="AM32" s="19"/>
      <c r="AN32" s="20"/>
      <c r="AO32" s="21">
        <f t="shared" si="2"/>
        <v>0</v>
      </c>
      <c r="AP32" s="20">
        <f t="shared" si="3"/>
        <v>0</v>
      </c>
      <c r="AQ32" s="19"/>
      <c r="AR32" s="21">
        <f t="shared" si="4"/>
        <v>20</v>
      </c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</row>
    <row r="33" spans="2:60">
      <c r="B33" s="276"/>
      <c r="C33" s="22" t="s">
        <v>91</v>
      </c>
      <c r="D33" s="20" t="s">
        <v>92</v>
      </c>
      <c r="E33" s="74" t="s">
        <v>23</v>
      </c>
      <c r="F33" s="74" t="s">
        <v>23</v>
      </c>
      <c r="G33" s="28" t="s">
        <v>22</v>
      </c>
      <c r="H33" s="28" t="s">
        <v>22</v>
      </c>
      <c r="I33" s="60" t="s">
        <v>21</v>
      </c>
      <c r="J33" s="60" t="s">
        <v>21</v>
      </c>
      <c r="K33" s="60" t="s">
        <v>21</v>
      </c>
      <c r="L33" s="60" t="s">
        <v>21</v>
      </c>
      <c r="M33" s="28" t="s">
        <v>22</v>
      </c>
      <c r="N33" s="28" t="s">
        <v>22</v>
      </c>
      <c r="O33" s="74" t="s">
        <v>23</v>
      </c>
      <c r="P33" s="74" t="s">
        <v>23</v>
      </c>
      <c r="Q33" s="74" t="s">
        <v>23</v>
      </c>
      <c r="R33" s="74" t="s">
        <v>23</v>
      </c>
      <c r="S33" s="28" t="s">
        <v>22</v>
      </c>
      <c r="T33" s="28" t="s">
        <v>22</v>
      </c>
      <c r="U33" s="60" t="s">
        <v>21</v>
      </c>
      <c r="V33" s="60" t="s">
        <v>21</v>
      </c>
      <c r="W33" s="60" t="s">
        <v>21</v>
      </c>
      <c r="X33" s="60" t="s">
        <v>21</v>
      </c>
      <c r="Y33" s="28" t="s">
        <v>22</v>
      </c>
      <c r="Z33" s="28" t="s">
        <v>22</v>
      </c>
      <c r="AA33" s="74" t="s">
        <v>23</v>
      </c>
      <c r="AB33" s="74" t="s">
        <v>23</v>
      </c>
      <c r="AC33" s="74" t="s">
        <v>23</v>
      </c>
      <c r="AD33" s="74" t="s">
        <v>23</v>
      </c>
      <c r="AE33" s="28" t="s">
        <v>22</v>
      </c>
      <c r="AF33" s="28" t="s">
        <v>22</v>
      </c>
      <c r="AG33" s="60" t="s">
        <v>21</v>
      </c>
      <c r="AH33" s="90" t="s">
        <v>21</v>
      </c>
      <c r="AI33" s="19"/>
      <c r="AJ33" s="20"/>
      <c r="AK33" s="21">
        <f t="shared" si="0"/>
        <v>0</v>
      </c>
      <c r="AL33" s="20">
        <f t="shared" si="1"/>
        <v>0</v>
      </c>
      <c r="AM33" s="19"/>
      <c r="AN33" s="20"/>
      <c r="AO33" s="21">
        <f t="shared" si="2"/>
        <v>0</v>
      </c>
      <c r="AP33" s="20">
        <f t="shared" si="3"/>
        <v>0</v>
      </c>
      <c r="AQ33" s="19"/>
      <c r="AR33" s="21">
        <f t="shared" si="4"/>
        <v>20</v>
      </c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</row>
    <row r="34" spans="2:60" ht="15" customHeight="1">
      <c r="B34" s="276"/>
      <c r="C34" s="20" t="s">
        <v>93</v>
      </c>
      <c r="D34" s="20" t="s">
        <v>94</v>
      </c>
      <c r="E34" s="28" t="s">
        <v>22</v>
      </c>
      <c r="F34" s="28" t="s">
        <v>22</v>
      </c>
      <c r="G34" s="74" t="s">
        <v>23</v>
      </c>
      <c r="H34" s="74" t="s">
        <v>23</v>
      </c>
      <c r="I34" s="74" t="s">
        <v>23</v>
      </c>
      <c r="J34" s="74" t="s">
        <v>23</v>
      </c>
      <c r="K34" s="28" t="s">
        <v>22</v>
      </c>
      <c r="L34" s="28" t="s">
        <v>22</v>
      </c>
      <c r="M34" s="60" t="s">
        <v>21</v>
      </c>
      <c r="N34" s="60" t="s">
        <v>21</v>
      </c>
      <c r="O34" s="60" t="s">
        <v>21</v>
      </c>
      <c r="P34" s="60" t="s">
        <v>21</v>
      </c>
      <c r="Q34" s="28" t="s">
        <v>22</v>
      </c>
      <c r="R34" s="28" t="s">
        <v>22</v>
      </c>
      <c r="S34" s="74" t="s">
        <v>23</v>
      </c>
      <c r="T34" s="74" t="s">
        <v>23</v>
      </c>
      <c r="U34" s="75" t="s">
        <v>26</v>
      </c>
      <c r="V34" s="74" t="s">
        <v>23</v>
      </c>
      <c r="W34" s="28" t="s">
        <v>22</v>
      </c>
      <c r="X34" s="28" t="s">
        <v>22</v>
      </c>
      <c r="Y34" s="60" t="s">
        <v>21</v>
      </c>
      <c r="Z34" s="60" t="s">
        <v>21</v>
      </c>
      <c r="AA34" s="60" t="s">
        <v>21</v>
      </c>
      <c r="AB34" s="60" t="s">
        <v>21</v>
      </c>
      <c r="AC34" s="28" t="s">
        <v>22</v>
      </c>
      <c r="AD34" s="28" t="s">
        <v>22</v>
      </c>
      <c r="AE34" s="74" t="s">
        <v>23</v>
      </c>
      <c r="AF34" s="74" t="s">
        <v>23</v>
      </c>
      <c r="AG34" s="74" t="s">
        <v>23</v>
      </c>
      <c r="AH34" s="89" t="s">
        <v>23</v>
      </c>
      <c r="AI34" s="19"/>
      <c r="AJ34" s="20"/>
      <c r="AK34" s="21">
        <f t="shared" si="0"/>
        <v>0</v>
      </c>
      <c r="AL34" s="20">
        <f t="shared" si="1"/>
        <v>0</v>
      </c>
      <c r="AM34" s="19"/>
      <c r="AN34" s="20"/>
      <c r="AO34" s="21">
        <f t="shared" si="2"/>
        <v>0</v>
      </c>
      <c r="AP34" s="20">
        <f t="shared" si="3"/>
        <v>0</v>
      </c>
      <c r="AQ34" s="19"/>
      <c r="AR34" s="21">
        <f t="shared" si="4"/>
        <v>19</v>
      </c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</row>
    <row r="35" spans="2:60">
      <c r="B35" s="276"/>
      <c r="C35" s="108" t="s">
        <v>95</v>
      </c>
      <c r="D35" s="109" t="s">
        <v>96</v>
      </c>
      <c r="E35" s="111" t="s">
        <v>21</v>
      </c>
      <c r="F35" s="111" t="s">
        <v>21</v>
      </c>
      <c r="G35" s="111" t="s">
        <v>21</v>
      </c>
      <c r="H35" s="111" t="s">
        <v>21</v>
      </c>
      <c r="I35" s="110" t="s">
        <v>22</v>
      </c>
      <c r="J35" s="110" t="s">
        <v>22</v>
      </c>
      <c r="K35" s="112" t="s">
        <v>23</v>
      </c>
      <c r="L35" s="112" t="s">
        <v>23</v>
      </c>
      <c r="M35" s="112" t="s">
        <v>23</v>
      </c>
      <c r="N35" s="112" t="s">
        <v>23</v>
      </c>
      <c r="O35" s="110" t="s">
        <v>22</v>
      </c>
      <c r="P35" s="110" t="s">
        <v>22</v>
      </c>
      <c r="Q35" s="111" t="s">
        <v>21</v>
      </c>
      <c r="R35" s="111" t="s">
        <v>21</v>
      </c>
      <c r="S35" s="111" t="s">
        <v>21</v>
      </c>
      <c r="T35" s="111" t="s">
        <v>21</v>
      </c>
      <c r="U35" s="110" t="s">
        <v>22</v>
      </c>
      <c r="V35" s="110" t="s">
        <v>22</v>
      </c>
      <c r="W35" s="112" t="s">
        <v>23</v>
      </c>
      <c r="X35" s="112" t="s">
        <v>23</v>
      </c>
      <c r="Y35" s="112" t="s">
        <v>23</v>
      </c>
      <c r="Z35" s="112" t="s">
        <v>23</v>
      </c>
      <c r="AA35" s="110" t="s">
        <v>22</v>
      </c>
      <c r="AB35" s="110" t="s">
        <v>22</v>
      </c>
      <c r="AC35" s="111" t="s">
        <v>21</v>
      </c>
      <c r="AD35" s="111" t="s">
        <v>21</v>
      </c>
      <c r="AE35" s="111" t="s">
        <v>21</v>
      </c>
      <c r="AF35" s="111" t="s">
        <v>21</v>
      </c>
      <c r="AG35" s="110" t="s">
        <v>22</v>
      </c>
      <c r="AH35" s="113" t="s">
        <v>22</v>
      </c>
      <c r="AI35" s="19"/>
      <c r="AJ35" s="20"/>
      <c r="AK35" s="21">
        <f t="shared" si="0"/>
        <v>0</v>
      </c>
      <c r="AL35" s="20">
        <f t="shared" si="1"/>
        <v>0</v>
      </c>
      <c r="AM35" s="19"/>
      <c r="AN35" s="20"/>
      <c r="AO35" s="21">
        <f t="shared" si="2"/>
        <v>0</v>
      </c>
      <c r="AP35" s="20">
        <f t="shared" si="3"/>
        <v>0</v>
      </c>
      <c r="AQ35" s="19"/>
      <c r="AR35" s="21">
        <f t="shared" si="4"/>
        <v>20</v>
      </c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</row>
    <row r="36" spans="2:60">
      <c r="B36" s="285" t="s">
        <v>97</v>
      </c>
      <c r="C36" s="88" t="s">
        <v>98</v>
      </c>
      <c r="D36" s="88" t="s">
        <v>99</v>
      </c>
      <c r="E36" s="119" t="s">
        <v>66</v>
      </c>
      <c r="F36" s="119" t="s">
        <v>66</v>
      </c>
      <c r="G36" s="119" t="s">
        <v>66</v>
      </c>
      <c r="H36" s="119" t="s">
        <v>66</v>
      </c>
      <c r="I36" s="103" t="s">
        <v>22</v>
      </c>
      <c r="J36" s="103" t="s">
        <v>22</v>
      </c>
      <c r="K36" s="118" t="s">
        <v>100</v>
      </c>
      <c r="L36" s="118" t="s">
        <v>100</v>
      </c>
      <c r="M36" s="118" t="s">
        <v>100</v>
      </c>
      <c r="N36" s="118" t="s">
        <v>100</v>
      </c>
      <c r="O36" s="103" t="s">
        <v>22</v>
      </c>
      <c r="P36" s="103" t="s">
        <v>22</v>
      </c>
      <c r="Q36" s="119" t="s">
        <v>66</v>
      </c>
      <c r="R36" s="119" t="s">
        <v>66</v>
      </c>
      <c r="S36" s="119" t="s">
        <v>66</v>
      </c>
      <c r="T36" s="119" t="s">
        <v>66</v>
      </c>
      <c r="U36" s="103" t="s">
        <v>22</v>
      </c>
      <c r="V36" s="103" t="s">
        <v>22</v>
      </c>
      <c r="W36" s="118" t="s">
        <v>100</v>
      </c>
      <c r="X36" s="118" t="s">
        <v>100</v>
      </c>
      <c r="Y36" s="118" t="s">
        <v>100</v>
      </c>
      <c r="Z36" s="118" t="s">
        <v>100</v>
      </c>
      <c r="AA36" s="103" t="s">
        <v>22</v>
      </c>
      <c r="AB36" s="103" t="s">
        <v>22</v>
      </c>
      <c r="AC36" s="119" t="s">
        <v>66</v>
      </c>
      <c r="AD36" s="119" t="s">
        <v>66</v>
      </c>
      <c r="AE36" s="119" t="s">
        <v>66</v>
      </c>
      <c r="AF36" s="119" t="s">
        <v>66</v>
      </c>
      <c r="AG36" s="103" t="s">
        <v>22</v>
      </c>
      <c r="AH36" s="120" t="s">
        <v>22</v>
      </c>
      <c r="AI36" s="19"/>
      <c r="AJ36" s="20"/>
      <c r="AK36" s="21">
        <f t="shared" si="0"/>
        <v>0</v>
      </c>
      <c r="AL36" s="20">
        <f t="shared" si="1"/>
        <v>0</v>
      </c>
      <c r="AM36" s="19"/>
      <c r="AN36" s="20"/>
      <c r="AO36" s="21">
        <f t="shared" si="2"/>
        <v>0</v>
      </c>
      <c r="AP36" s="20">
        <f t="shared" si="3"/>
        <v>0</v>
      </c>
      <c r="AQ36" s="19"/>
      <c r="AR36" s="21">
        <f t="shared" si="4"/>
        <v>20</v>
      </c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</row>
    <row r="37" spans="2:60">
      <c r="B37" s="278"/>
      <c r="C37" s="22" t="s">
        <v>101</v>
      </c>
      <c r="D37" s="20" t="s">
        <v>102</v>
      </c>
      <c r="E37" s="28" t="s">
        <v>22</v>
      </c>
      <c r="F37" s="28" t="s">
        <v>22</v>
      </c>
      <c r="G37" s="85" t="s">
        <v>100</v>
      </c>
      <c r="H37" s="85" t="s">
        <v>100</v>
      </c>
      <c r="I37" s="85" t="s">
        <v>100</v>
      </c>
      <c r="J37" s="85" t="s">
        <v>100</v>
      </c>
      <c r="K37" s="28" t="s">
        <v>22</v>
      </c>
      <c r="L37" s="28" t="s">
        <v>22</v>
      </c>
      <c r="M37" s="79" t="s">
        <v>66</v>
      </c>
      <c r="N37" s="79" t="s">
        <v>66</v>
      </c>
      <c r="O37" s="79" t="s">
        <v>66</v>
      </c>
      <c r="P37" s="79" t="s">
        <v>66</v>
      </c>
      <c r="Q37" s="28" t="s">
        <v>22</v>
      </c>
      <c r="R37" s="28" t="s">
        <v>22</v>
      </c>
      <c r="S37" s="85" t="s">
        <v>100</v>
      </c>
      <c r="T37" s="85" t="s">
        <v>100</v>
      </c>
      <c r="U37" s="85" t="s">
        <v>100</v>
      </c>
      <c r="V37" s="85" t="s">
        <v>100</v>
      </c>
      <c r="W37" s="28" t="s">
        <v>22</v>
      </c>
      <c r="X37" s="28" t="s">
        <v>22</v>
      </c>
      <c r="Y37" s="79" t="s">
        <v>66</v>
      </c>
      <c r="Z37" s="79" t="s">
        <v>66</v>
      </c>
      <c r="AA37" s="79" t="s">
        <v>66</v>
      </c>
      <c r="AB37" s="79" t="s">
        <v>66</v>
      </c>
      <c r="AC37" s="28" t="s">
        <v>22</v>
      </c>
      <c r="AD37" s="28" t="s">
        <v>22</v>
      </c>
      <c r="AE37" s="85" t="s">
        <v>100</v>
      </c>
      <c r="AF37" s="85" t="s">
        <v>100</v>
      </c>
      <c r="AG37" s="85" t="s">
        <v>100</v>
      </c>
      <c r="AH37" s="121" t="s">
        <v>100</v>
      </c>
      <c r="AI37" s="19"/>
      <c r="AJ37" s="20"/>
      <c r="AK37" s="21">
        <f t="shared" si="0"/>
        <v>0</v>
      </c>
      <c r="AL37" s="20">
        <f t="shared" si="1"/>
        <v>0</v>
      </c>
      <c r="AM37" s="19"/>
      <c r="AN37" s="20"/>
      <c r="AO37" s="21">
        <f t="shared" si="2"/>
        <v>0</v>
      </c>
      <c r="AP37" s="20">
        <f t="shared" si="3"/>
        <v>0</v>
      </c>
      <c r="AQ37" s="19"/>
      <c r="AR37" s="21">
        <f t="shared" si="4"/>
        <v>20</v>
      </c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</row>
    <row r="38" spans="2:60">
      <c r="B38" s="278"/>
      <c r="C38" s="20" t="s">
        <v>103</v>
      </c>
      <c r="D38" s="20" t="s">
        <v>104</v>
      </c>
      <c r="E38" s="85" t="s">
        <v>100</v>
      </c>
      <c r="F38" s="85" t="s">
        <v>100</v>
      </c>
      <c r="G38" s="28" t="s">
        <v>22</v>
      </c>
      <c r="H38" s="28" t="s">
        <v>22</v>
      </c>
      <c r="I38" s="79" t="s">
        <v>66</v>
      </c>
      <c r="J38" s="79" t="s">
        <v>66</v>
      </c>
      <c r="K38" s="79" t="s">
        <v>66</v>
      </c>
      <c r="L38" s="79" t="s">
        <v>66</v>
      </c>
      <c r="M38" s="28" t="s">
        <v>22</v>
      </c>
      <c r="N38" s="28" t="s">
        <v>22</v>
      </c>
      <c r="O38" s="85" t="s">
        <v>100</v>
      </c>
      <c r="P38" s="85" t="s">
        <v>100</v>
      </c>
      <c r="Q38" s="85" t="s">
        <v>100</v>
      </c>
      <c r="R38" s="85" t="s">
        <v>100</v>
      </c>
      <c r="S38" s="28" t="s">
        <v>22</v>
      </c>
      <c r="T38" s="28" t="s">
        <v>22</v>
      </c>
      <c r="U38" s="79" t="s">
        <v>66</v>
      </c>
      <c r="V38" s="79" t="s">
        <v>66</v>
      </c>
      <c r="W38" s="79" t="s">
        <v>66</v>
      </c>
      <c r="X38" s="79" t="s">
        <v>66</v>
      </c>
      <c r="Y38" s="28" t="s">
        <v>22</v>
      </c>
      <c r="Z38" s="28" t="s">
        <v>22</v>
      </c>
      <c r="AA38" s="75" t="s">
        <v>26</v>
      </c>
      <c r="AB38" s="85" t="s">
        <v>100</v>
      </c>
      <c r="AC38" s="85" t="s">
        <v>100</v>
      </c>
      <c r="AD38" s="85" t="s">
        <v>100</v>
      </c>
      <c r="AE38" s="28" t="s">
        <v>22</v>
      </c>
      <c r="AF38" s="28" t="s">
        <v>22</v>
      </c>
      <c r="AG38" s="79" t="s">
        <v>66</v>
      </c>
      <c r="AH38" s="189" t="s">
        <v>66</v>
      </c>
      <c r="AI38" s="19"/>
      <c r="AJ38" s="20"/>
      <c r="AK38" s="21">
        <f t="shared" si="0"/>
        <v>0</v>
      </c>
      <c r="AL38" s="20">
        <f t="shared" si="1"/>
        <v>0</v>
      </c>
      <c r="AM38" s="19"/>
      <c r="AN38" s="20"/>
      <c r="AO38" s="21">
        <f t="shared" si="2"/>
        <v>0</v>
      </c>
      <c r="AP38" s="20">
        <f t="shared" si="3"/>
        <v>0</v>
      </c>
      <c r="AQ38" s="19"/>
      <c r="AR38" s="21">
        <f t="shared" si="4"/>
        <v>19</v>
      </c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</row>
    <row r="39" spans="2:60">
      <c r="B39" s="279"/>
      <c r="C39" s="108" t="s">
        <v>105</v>
      </c>
      <c r="D39" s="109" t="s">
        <v>106</v>
      </c>
      <c r="E39" s="200" t="s">
        <v>100</v>
      </c>
      <c r="F39" s="200" t="s">
        <v>100</v>
      </c>
      <c r="G39" s="110" t="s">
        <v>22</v>
      </c>
      <c r="H39" s="110" t="s">
        <v>22</v>
      </c>
      <c r="I39" s="199" t="s">
        <v>66</v>
      </c>
      <c r="J39" s="199" t="s">
        <v>66</v>
      </c>
      <c r="K39" s="199" t="s">
        <v>66</v>
      </c>
      <c r="L39" s="199" t="s">
        <v>66</v>
      </c>
      <c r="M39" s="110" t="s">
        <v>22</v>
      </c>
      <c r="N39" s="110" t="s">
        <v>22</v>
      </c>
      <c r="O39" s="200" t="s">
        <v>100</v>
      </c>
      <c r="P39" s="200" t="s">
        <v>100</v>
      </c>
      <c r="Q39" s="200" t="s">
        <v>100</v>
      </c>
      <c r="R39" s="200" t="s">
        <v>100</v>
      </c>
      <c r="S39" s="110" t="s">
        <v>22</v>
      </c>
      <c r="T39" s="110" t="s">
        <v>22</v>
      </c>
      <c r="U39" s="199" t="s">
        <v>66</v>
      </c>
      <c r="V39" s="199" t="s">
        <v>66</v>
      </c>
      <c r="W39" s="199" t="s">
        <v>66</v>
      </c>
      <c r="X39" s="199" t="s">
        <v>66</v>
      </c>
      <c r="Y39" s="110" t="s">
        <v>22</v>
      </c>
      <c r="Z39" s="110" t="s">
        <v>22</v>
      </c>
      <c r="AA39" s="200" t="s">
        <v>100</v>
      </c>
      <c r="AB39" s="200" t="s">
        <v>100</v>
      </c>
      <c r="AC39" s="200" t="s">
        <v>100</v>
      </c>
      <c r="AD39" s="200" t="s">
        <v>100</v>
      </c>
      <c r="AE39" s="110" t="s">
        <v>22</v>
      </c>
      <c r="AF39" s="110" t="s">
        <v>22</v>
      </c>
      <c r="AG39" s="199" t="s">
        <v>66</v>
      </c>
      <c r="AH39" s="197" t="s">
        <v>66</v>
      </c>
      <c r="AI39" s="19"/>
      <c r="AJ39" s="20"/>
      <c r="AK39" s="21">
        <f t="shared" si="0"/>
        <v>0</v>
      </c>
      <c r="AL39" s="20">
        <f t="shared" si="1"/>
        <v>0</v>
      </c>
      <c r="AM39" s="19"/>
      <c r="AN39" s="20"/>
      <c r="AO39" s="21">
        <f t="shared" si="2"/>
        <v>0</v>
      </c>
      <c r="AP39" s="20">
        <f t="shared" si="3"/>
        <v>0</v>
      </c>
      <c r="AQ39" s="19"/>
      <c r="AR39" s="21">
        <f t="shared" si="4"/>
        <v>20</v>
      </c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</row>
    <row r="40" spans="2:60" ht="15" customHeight="1">
      <c r="B40" s="280" t="s">
        <v>108</v>
      </c>
      <c r="C40" s="88" t="s">
        <v>109</v>
      </c>
      <c r="D40" s="88" t="s">
        <v>110</v>
      </c>
      <c r="E40" s="238" t="s">
        <v>107</v>
      </c>
      <c r="F40" s="238" t="s">
        <v>107</v>
      </c>
      <c r="G40" s="238" t="s">
        <v>107</v>
      </c>
      <c r="H40" s="238" t="s">
        <v>107</v>
      </c>
      <c r="I40" s="238" t="s">
        <v>107</v>
      </c>
      <c r="J40" s="238" t="s">
        <v>107</v>
      </c>
      <c r="K40" s="238" t="s">
        <v>107</v>
      </c>
      <c r="L40" s="238" t="s">
        <v>107</v>
      </c>
      <c r="M40" s="238" t="s">
        <v>107</v>
      </c>
      <c r="N40" s="238" t="s">
        <v>107</v>
      </c>
      <c r="O40" s="238" t="s">
        <v>107</v>
      </c>
      <c r="P40" s="238" t="s">
        <v>107</v>
      </c>
      <c r="Q40" s="238" t="s">
        <v>107</v>
      </c>
      <c r="R40" s="238" t="s">
        <v>107</v>
      </c>
      <c r="S40" s="238" t="s">
        <v>107</v>
      </c>
      <c r="T40" s="238" t="s">
        <v>107</v>
      </c>
      <c r="U40" s="238" t="s">
        <v>107</v>
      </c>
      <c r="V40" s="238" t="s">
        <v>107</v>
      </c>
      <c r="W40" s="238" t="s">
        <v>107</v>
      </c>
      <c r="X40" s="238" t="s">
        <v>107</v>
      </c>
      <c r="Y40" s="238" t="s">
        <v>107</v>
      </c>
      <c r="Z40" s="238" t="s">
        <v>107</v>
      </c>
      <c r="AA40" s="238" t="s">
        <v>107</v>
      </c>
      <c r="AB40" s="238" t="s">
        <v>107</v>
      </c>
      <c r="AC40" s="238" t="s">
        <v>107</v>
      </c>
      <c r="AD40" s="238" t="s">
        <v>107</v>
      </c>
      <c r="AE40" s="238" t="s">
        <v>107</v>
      </c>
      <c r="AF40" s="238" t="s">
        <v>107</v>
      </c>
      <c r="AG40" s="238" t="s">
        <v>107</v>
      </c>
      <c r="AH40" s="162" t="s">
        <v>107</v>
      </c>
      <c r="AI40" s="19"/>
      <c r="AJ40" s="20"/>
      <c r="AK40" s="21">
        <f t="shared" si="0"/>
        <v>0</v>
      </c>
      <c r="AL40" s="20">
        <f t="shared" si="1"/>
        <v>0</v>
      </c>
      <c r="AM40" s="19"/>
      <c r="AN40" s="20"/>
      <c r="AO40" s="21">
        <f t="shared" si="2"/>
        <v>0</v>
      </c>
      <c r="AP40" s="20">
        <f t="shared" si="3"/>
        <v>0</v>
      </c>
      <c r="AQ40" s="19"/>
      <c r="AR40" s="21">
        <f t="shared" si="4"/>
        <v>0</v>
      </c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</row>
    <row r="41" spans="2:60">
      <c r="B41" s="276"/>
      <c r="C41" s="22" t="s">
        <v>111</v>
      </c>
      <c r="D41" s="20" t="s">
        <v>112</v>
      </c>
      <c r="E41" s="80" t="s">
        <v>113</v>
      </c>
      <c r="F41" s="80" t="s">
        <v>113</v>
      </c>
      <c r="G41" s="80" t="s">
        <v>113</v>
      </c>
      <c r="H41" s="80" t="s">
        <v>113</v>
      </c>
      <c r="I41" s="80" t="s">
        <v>113</v>
      </c>
      <c r="J41" s="28" t="s">
        <v>22</v>
      </c>
      <c r="K41" s="28" t="s">
        <v>22</v>
      </c>
      <c r="L41" s="80" t="s">
        <v>113</v>
      </c>
      <c r="M41" s="80" t="s">
        <v>113</v>
      </c>
      <c r="N41" s="80" t="s">
        <v>113</v>
      </c>
      <c r="O41" s="80" t="s">
        <v>113</v>
      </c>
      <c r="P41" s="80" t="s">
        <v>113</v>
      </c>
      <c r="Q41" s="28" t="s">
        <v>22</v>
      </c>
      <c r="R41" s="28" t="s">
        <v>22</v>
      </c>
      <c r="S41" s="80" t="s">
        <v>113</v>
      </c>
      <c r="T41" s="80" t="s">
        <v>113</v>
      </c>
      <c r="U41" s="80" t="s">
        <v>113</v>
      </c>
      <c r="V41" s="80" t="s">
        <v>113</v>
      </c>
      <c r="W41" s="80" t="s">
        <v>113</v>
      </c>
      <c r="X41" s="28" t="s">
        <v>22</v>
      </c>
      <c r="Y41" s="28" t="s">
        <v>22</v>
      </c>
      <c r="Z41" s="80" t="s">
        <v>113</v>
      </c>
      <c r="AA41" s="80" t="s">
        <v>113</v>
      </c>
      <c r="AB41" s="80" t="s">
        <v>113</v>
      </c>
      <c r="AC41" s="80" t="s">
        <v>113</v>
      </c>
      <c r="AD41" s="80" t="s">
        <v>113</v>
      </c>
      <c r="AE41" s="28" t="s">
        <v>22</v>
      </c>
      <c r="AF41" s="28" t="s">
        <v>22</v>
      </c>
      <c r="AG41" s="80" t="s">
        <v>113</v>
      </c>
      <c r="AH41" s="190" t="s">
        <v>113</v>
      </c>
      <c r="AI41" s="19"/>
      <c r="AJ41" s="20"/>
      <c r="AK41" s="21">
        <f t="shared" si="0"/>
        <v>0</v>
      </c>
      <c r="AL41" s="20">
        <f t="shared" si="1"/>
        <v>0</v>
      </c>
      <c r="AM41" s="19"/>
      <c r="AN41" s="20"/>
      <c r="AO41" s="21">
        <f t="shared" si="2"/>
        <v>0</v>
      </c>
      <c r="AP41" s="20">
        <f t="shared" si="3"/>
        <v>0</v>
      </c>
      <c r="AQ41" s="19"/>
      <c r="AR41" s="21">
        <f t="shared" si="4"/>
        <v>22</v>
      </c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</row>
    <row r="42" spans="2:60">
      <c r="B42" s="276"/>
      <c r="C42" s="20" t="s">
        <v>114</v>
      </c>
      <c r="D42" s="20" t="s">
        <v>115</v>
      </c>
      <c r="E42" s="81" t="s">
        <v>116</v>
      </c>
      <c r="F42" s="81" t="s">
        <v>116</v>
      </c>
      <c r="G42" s="81" t="s">
        <v>116</v>
      </c>
      <c r="H42" s="81" t="s">
        <v>116</v>
      </c>
      <c r="I42" s="81" t="s">
        <v>116</v>
      </c>
      <c r="J42" s="28" t="s">
        <v>22</v>
      </c>
      <c r="K42" s="28" t="s">
        <v>22</v>
      </c>
      <c r="L42" s="81" t="s">
        <v>116</v>
      </c>
      <c r="M42" s="81" t="s">
        <v>116</v>
      </c>
      <c r="N42" s="81" t="s">
        <v>116</v>
      </c>
      <c r="O42" s="81" t="s">
        <v>116</v>
      </c>
      <c r="P42" s="81" t="s">
        <v>116</v>
      </c>
      <c r="Q42" s="28" t="s">
        <v>22</v>
      </c>
      <c r="R42" s="75" t="s">
        <v>26</v>
      </c>
      <c r="S42" s="75" t="s">
        <v>176</v>
      </c>
      <c r="T42" s="81" t="s">
        <v>116</v>
      </c>
      <c r="U42" s="81" t="s">
        <v>116</v>
      </c>
      <c r="V42" s="81" t="s">
        <v>116</v>
      </c>
      <c r="W42" s="81" t="s">
        <v>116</v>
      </c>
      <c r="X42" s="28" t="s">
        <v>22</v>
      </c>
      <c r="Y42" s="28" t="s">
        <v>22</v>
      </c>
      <c r="Z42" s="81" t="s">
        <v>116</v>
      </c>
      <c r="AA42" s="81" t="s">
        <v>116</v>
      </c>
      <c r="AB42" s="81" t="s">
        <v>116</v>
      </c>
      <c r="AC42" s="81" t="s">
        <v>116</v>
      </c>
      <c r="AD42" s="81" t="s">
        <v>116</v>
      </c>
      <c r="AE42" s="28" t="s">
        <v>22</v>
      </c>
      <c r="AF42" s="28" t="s">
        <v>22</v>
      </c>
      <c r="AG42" s="81" t="s">
        <v>116</v>
      </c>
      <c r="AH42" s="191" t="s">
        <v>116</v>
      </c>
      <c r="AI42" s="19"/>
      <c r="AJ42" s="20"/>
      <c r="AK42" s="21">
        <f t="shared" si="0"/>
        <v>0</v>
      </c>
      <c r="AL42" s="20">
        <f t="shared" si="1"/>
        <v>0</v>
      </c>
      <c r="AM42" s="19"/>
      <c r="AN42" s="26"/>
      <c r="AO42" s="21">
        <f t="shared" si="2"/>
        <v>0</v>
      </c>
      <c r="AP42" s="44">
        <f t="shared" si="3"/>
        <v>0</v>
      </c>
      <c r="AQ42" s="19"/>
      <c r="AR42" s="21">
        <f t="shared" si="4"/>
        <v>21</v>
      </c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</row>
    <row r="43" spans="2:60">
      <c r="B43" s="276"/>
      <c r="C43" s="22" t="s">
        <v>117</v>
      </c>
      <c r="D43" s="20" t="s">
        <v>118</v>
      </c>
      <c r="E43" s="28" t="s">
        <v>22</v>
      </c>
      <c r="F43" s="28" t="s">
        <v>22</v>
      </c>
      <c r="G43" s="60" t="s">
        <v>21</v>
      </c>
      <c r="H43" s="60" t="s">
        <v>21</v>
      </c>
      <c r="I43" s="60" t="s">
        <v>21</v>
      </c>
      <c r="J43" s="60" t="s">
        <v>21</v>
      </c>
      <c r="K43" s="28" t="s">
        <v>22</v>
      </c>
      <c r="L43" s="28" t="s">
        <v>22</v>
      </c>
      <c r="M43" s="74" t="s">
        <v>23</v>
      </c>
      <c r="N43" s="74" t="s">
        <v>23</v>
      </c>
      <c r="O43" s="74" t="s">
        <v>23</v>
      </c>
      <c r="P43" s="74" t="s">
        <v>23</v>
      </c>
      <c r="Q43" s="28" t="s">
        <v>22</v>
      </c>
      <c r="R43" s="28" t="s">
        <v>22</v>
      </c>
      <c r="S43" s="60" t="s">
        <v>21</v>
      </c>
      <c r="T43" s="60" t="s">
        <v>21</v>
      </c>
      <c r="U43" s="60" t="s">
        <v>21</v>
      </c>
      <c r="V43" s="60" t="s">
        <v>21</v>
      </c>
      <c r="W43" s="28" t="s">
        <v>22</v>
      </c>
      <c r="X43" s="28" t="s">
        <v>22</v>
      </c>
      <c r="Y43" s="74" t="s">
        <v>23</v>
      </c>
      <c r="Z43" s="74" t="s">
        <v>23</v>
      </c>
      <c r="AA43" s="74" t="s">
        <v>23</v>
      </c>
      <c r="AB43" s="74" t="s">
        <v>23</v>
      </c>
      <c r="AC43" s="28" t="s">
        <v>22</v>
      </c>
      <c r="AD43" s="28" t="s">
        <v>22</v>
      </c>
      <c r="AE43" s="60" t="s">
        <v>21</v>
      </c>
      <c r="AF43" s="60" t="s">
        <v>21</v>
      </c>
      <c r="AG43" s="60" t="s">
        <v>21</v>
      </c>
      <c r="AH43" s="90" t="s">
        <v>21</v>
      </c>
      <c r="AI43" s="19"/>
      <c r="AJ43" s="20"/>
      <c r="AK43" s="21">
        <f t="shared" si="0"/>
        <v>0</v>
      </c>
      <c r="AL43" s="20">
        <f t="shared" si="1"/>
        <v>0</v>
      </c>
      <c r="AM43" s="19"/>
      <c r="AN43" s="20"/>
      <c r="AO43" s="21">
        <f t="shared" si="2"/>
        <v>0</v>
      </c>
      <c r="AP43" s="20">
        <f t="shared" si="3"/>
        <v>0</v>
      </c>
      <c r="AQ43" s="19"/>
      <c r="AR43" s="21">
        <f t="shared" si="4"/>
        <v>20</v>
      </c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</row>
    <row r="44" spans="2:60">
      <c r="B44" s="276"/>
      <c r="C44" s="20" t="s">
        <v>119</v>
      </c>
      <c r="D44" s="20" t="s">
        <v>120</v>
      </c>
      <c r="E44" s="28" t="s">
        <v>22</v>
      </c>
      <c r="F44" s="28" t="s">
        <v>22</v>
      </c>
      <c r="G44" s="60" t="s">
        <v>21</v>
      </c>
      <c r="H44" s="60" t="s">
        <v>21</v>
      </c>
      <c r="I44" s="60" t="s">
        <v>21</v>
      </c>
      <c r="J44" s="60" t="s">
        <v>21</v>
      </c>
      <c r="K44" s="28" t="s">
        <v>22</v>
      </c>
      <c r="L44" s="28" t="s">
        <v>22</v>
      </c>
      <c r="M44" s="74" t="s">
        <v>23</v>
      </c>
      <c r="N44" s="74" t="s">
        <v>23</v>
      </c>
      <c r="O44" s="74" t="s">
        <v>23</v>
      </c>
      <c r="P44" s="74" t="s">
        <v>23</v>
      </c>
      <c r="Q44" s="28" t="s">
        <v>22</v>
      </c>
      <c r="R44" s="28" t="s">
        <v>22</v>
      </c>
      <c r="S44" s="60" t="s">
        <v>21</v>
      </c>
      <c r="T44" s="60" t="s">
        <v>21</v>
      </c>
      <c r="U44" s="60" t="s">
        <v>21</v>
      </c>
      <c r="V44" s="60" t="s">
        <v>21</v>
      </c>
      <c r="W44" s="28" t="s">
        <v>22</v>
      </c>
      <c r="X44" s="28" t="s">
        <v>22</v>
      </c>
      <c r="Y44" s="74" t="s">
        <v>23</v>
      </c>
      <c r="Z44" s="74" t="s">
        <v>23</v>
      </c>
      <c r="AA44" s="74" t="s">
        <v>23</v>
      </c>
      <c r="AB44" s="74" t="s">
        <v>23</v>
      </c>
      <c r="AC44" s="28" t="s">
        <v>22</v>
      </c>
      <c r="AD44" s="28" t="s">
        <v>22</v>
      </c>
      <c r="AE44" s="60" t="s">
        <v>21</v>
      </c>
      <c r="AF44" s="60" t="s">
        <v>21</v>
      </c>
      <c r="AG44" s="60" t="s">
        <v>21</v>
      </c>
      <c r="AH44" s="90" t="s">
        <v>21</v>
      </c>
      <c r="AI44" s="19"/>
      <c r="AJ44" s="20"/>
      <c r="AK44" s="21">
        <f t="shared" si="0"/>
        <v>0</v>
      </c>
      <c r="AL44" s="20">
        <f t="shared" si="1"/>
        <v>0</v>
      </c>
      <c r="AM44" s="19"/>
      <c r="AN44" s="20"/>
      <c r="AO44" s="21">
        <f t="shared" si="2"/>
        <v>0</v>
      </c>
      <c r="AP44" s="20">
        <f t="shared" si="3"/>
        <v>0</v>
      </c>
      <c r="AQ44" s="19"/>
      <c r="AR44" s="21">
        <f t="shared" si="4"/>
        <v>20</v>
      </c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</row>
    <row r="45" spans="2:60">
      <c r="B45" s="276"/>
      <c r="C45" s="22" t="s">
        <v>121</v>
      </c>
      <c r="D45" s="20" t="s">
        <v>122</v>
      </c>
      <c r="E45" s="74" t="s">
        <v>23</v>
      </c>
      <c r="F45" s="74" t="s">
        <v>23</v>
      </c>
      <c r="G45" s="74" t="s">
        <v>23</v>
      </c>
      <c r="H45" s="74" t="s">
        <v>23</v>
      </c>
      <c r="I45" s="28" t="s">
        <v>22</v>
      </c>
      <c r="J45" s="28" t="s">
        <v>22</v>
      </c>
      <c r="K45" s="60" t="s">
        <v>21</v>
      </c>
      <c r="L45" s="60" t="s">
        <v>21</v>
      </c>
      <c r="M45" s="60" t="s">
        <v>21</v>
      </c>
      <c r="N45" s="60" t="s">
        <v>21</v>
      </c>
      <c r="O45" s="28" t="s">
        <v>22</v>
      </c>
      <c r="P45" s="28" t="s">
        <v>22</v>
      </c>
      <c r="Q45" s="74" t="s">
        <v>23</v>
      </c>
      <c r="R45" s="74" t="s">
        <v>23</v>
      </c>
      <c r="S45" s="74" t="s">
        <v>23</v>
      </c>
      <c r="T45" s="74" t="s">
        <v>23</v>
      </c>
      <c r="U45" s="28" t="s">
        <v>22</v>
      </c>
      <c r="V45" s="28" t="s">
        <v>22</v>
      </c>
      <c r="W45" s="60" t="s">
        <v>21</v>
      </c>
      <c r="X45" s="60" t="s">
        <v>21</v>
      </c>
      <c r="Y45" s="60" t="s">
        <v>21</v>
      </c>
      <c r="Z45" s="60" t="s">
        <v>21</v>
      </c>
      <c r="AA45" s="28" t="s">
        <v>22</v>
      </c>
      <c r="AB45" s="28" t="s">
        <v>22</v>
      </c>
      <c r="AC45" s="74" t="s">
        <v>23</v>
      </c>
      <c r="AD45" s="74" t="s">
        <v>23</v>
      </c>
      <c r="AE45" s="74" t="s">
        <v>23</v>
      </c>
      <c r="AF45" s="74" t="s">
        <v>23</v>
      </c>
      <c r="AG45" s="28" t="s">
        <v>22</v>
      </c>
      <c r="AH45" s="91" t="s">
        <v>22</v>
      </c>
      <c r="AI45" s="19"/>
      <c r="AJ45" s="20"/>
      <c r="AK45" s="21">
        <f t="shared" si="0"/>
        <v>0</v>
      </c>
      <c r="AL45" s="20">
        <f t="shared" si="1"/>
        <v>0</v>
      </c>
      <c r="AM45" s="19"/>
      <c r="AN45" s="20"/>
      <c r="AO45" s="21">
        <f t="shared" si="2"/>
        <v>0</v>
      </c>
      <c r="AP45" s="20">
        <f t="shared" si="3"/>
        <v>0</v>
      </c>
      <c r="AQ45" s="19"/>
      <c r="AR45" s="21">
        <f t="shared" si="4"/>
        <v>20</v>
      </c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</row>
    <row r="46" spans="2:60" ht="15" customHeight="1">
      <c r="B46" s="276"/>
      <c r="C46" s="20" t="s">
        <v>124</v>
      </c>
      <c r="D46" s="20" t="s">
        <v>125</v>
      </c>
      <c r="E46" s="74" t="s">
        <v>23</v>
      </c>
      <c r="F46" s="74" t="s">
        <v>23</v>
      </c>
      <c r="G46" s="74" t="s">
        <v>23</v>
      </c>
      <c r="H46" s="74" t="s">
        <v>23</v>
      </c>
      <c r="I46" s="28" t="s">
        <v>22</v>
      </c>
      <c r="J46" s="28" t="s">
        <v>22</v>
      </c>
      <c r="K46" s="60" t="s">
        <v>21</v>
      </c>
      <c r="L46" s="60" t="s">
        <v>21</v>
      </c>
      <c r="M46" s="60" t="s">
        <v>21</v>
      </c>
      <c r="N46" s="60" t="s">
        <v>21</v>
      </c>
      <c r="O46" s="28" t="s">
        <v>22</v>
      </c>
      <c r="P46" s="28" t="s">
        <v>22</v>
      </c>
      <c r="Q46" s="74" t="s">
        <v>23</v>
      </c>
      <c r="R46" s="74" t="s">
        <v>23</v>
      </c>
      <c r="S46" s="74" t="s">
        <v>23</v>
      </c>
      <c r="T46" s="74" t="s">
        <v>23</v>
      </c>
      <c r="U46" s="28" t="s">
        <v>22</v>
      </c>
      <c r="V46" s="28" t="s">
        <v>22</v>
      </c>
      <c r="W46" s="60" t="s">
        <v>21</v>
      </c>
      <c r="X46" s="60" t="s">
        <v>21</v>
      </c>
      <c r="Y46" s="60" t="s">
        <v>21</v>
      </c>
      <c r="Z46" s="60" t="s">
        <v>21</v>
      </c>
      <c r="AA46" s="28" t="s">
        <v>22</v>
      </c>
      <c r="AB46" s="28" t="s">
        <v>22</v>
      </c>
      <c r="AC46" s="74" t="s">
        <v>23</v>
      </c>
      <c r="AD46" s="74" t="s">
        <v>23</v>
      </c>
      <c r="AE46" s="74" t="s">
        <v>23</v>
      </c>
      <c r="AF46" s="74" t="s">
        <v>23</v>
      </c>
      <c r="AG46" s="28" t="s">
        <v>22</v>
      </c>
      <c r="AH46" s="91" t="s">
        <v>22</v>
      </c>
      <c r="AI46" s="19"/>
      <c r="AJ46" s="20"/>
      <c r="AK46" s="21">
        <f t="shared" si="0"/>
        <v>0</v>
      </c>
      <c r="AL46" s="20">
        <f t="shared" si="1"/>
        <v>0</v>
      </c>
      <c r="AM46" s="19"/>
      <c r="AN46" s="20"/>
      <c r="AO46" s="21">
        <f t="shared" si="2"/>
        <v>0</v>
      </c>
      <c r="AP46" s="20">
        <f t="shared" si="3"/>
        <v>0</v>
      </c>
      <c r="AQ46" s="19"/>
      <c r="AR46" s="21">
        <f t="shared" si="4"/>
        <v>20</v>
      </c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</row>
    <row r="47" spans="2:60">
      <c r="B47" s="281"/>
      <c r="C47" s="92" t="s">
        <v>126</v>
      </c>
      <c r="D47" s="93" t="s">
        <v>127</v>
      </c>
      <c r="E47" s="95" t="s">
        <v>21</v>
      </c>
      <c r="F47" s="95" t="s">
        <v>21</v>
      </c>
      <c r="G47" s="94" t="s">
        <v>22</v>
      </c>
      <c r="H47" s="94" t="s">
        <v>22</v>
      </c>
      <c r="I47" s="96" t="s">
        <v>23</v>
      </c>
      <c r="J47" s="96" t="s">
        <v>23</v>
      </c>
      <c r="K47" s="96" t="s">
        <v>23</v>
      </c>
      <c r="L47" s="96" t="s">
        <v>23</v>
      </c>
      <c r="M47" s="94" t="s">
        <v>22</v>
      </c>
      <c r="N47" s="94" t="s">
        <v>22</v>
      </c>
      <c r="O47" s="95" t="s">
        <v>21</v>
      </c>
      <c r="P47" s="95" t="s">
        <v>21</v>
      </c>
      <c r="Q47" s="95" t="s">
        <v>21</v>
      </c>
      <c r="R47" s="95" t="s">
        <v>21</v>
      </c>
      <c r="S47" s="94" t="s">
        <v>22</v>
      </c>
      <c r="T47" s="94" t="s">
        <v>22</v>
      </c>
      <c r="U47" s="96" t="s">
        <v>23</v>
      </c>
      <c r="V47" s="96" t="s">
        <v>23</v>
      </c>
      <c r="W47" s="96" t="s">
        <v>23</v>
      </c>
      <c r="X47" s="96" t="s">
        <v>23</v>
      </c>
      <c r="Y47" s="94" t="s">
        <v>22</v>
      </c>
      <c r="Z47" s="94" t="s">
        <v>22</v>
      </c>
      <c r="AA47" s="95" t="s">
        <v>21</v>
      </c>
      <c r="AB47" s="95" t="s">
        <v>21</v>
      </c>
      <c r="AC47" s="95" t="s">
        <v>21</v>
      </c>
      <c r="AD47" s="95" t="s">
        <v>21</v>
      </c>
      <c r="AE47" s="94" t="s">
        <v>22</v>
      </c>
      <c r="AF47" s="94" t="s">
        <v>22</v>
      </c>
      <c r="AG47" s="96" t="s">
        <v>23</v>
      </c>
      <c r="AH47" s="181" t="s">
        <v>23</v>
      </c>
      <c r="AI47" s="19"/>
      <c r="AJ47" s="20"/>
      <c r="AK47" s="21">
        <f t="shared" si="0"/>
        <v>0</v>
      </c>
      <c r="AL47" s="20">
        <f t="shared" si="1"/>
        <v>0</v>
      </c>
      <c r="AM47" s="19"/>
      <c r="AN47" s="20"/>
      <c r="AO47" s="21">
        <f t="shared" si="2"/>
        <v>0</v>
      </c>
      <c r="AP47" s="20">
        <f t="shared" si="3"/>
        <v>0</v>
      </c>
      <c r="AQ47" s="19"/>
      <c r="AR47" s="21">
        <f t="shared" si="4"/>
        <v>20</v>
      </c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</row>
    <row r="48" spans="2:60">
      <c r="B48" s="42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</row>
    <row r="49" spans="2:60">
      <c r="B49" s="282" t="s">
        <v>252</v>
      </c>
      <c r="C49" s="286" t="s">
        <v>253</v>
      </c>
      <c r="D49" s="286"/>
      <c r="E49" s="21">
        <f>COUNTIF(C5:C47,$C$49)</f>
        <v>0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</row>
    <row r="50" spans="2:60">
      <c r="B50" s="282"/>
      <c r="C50" s="286" t="s">
        <v>253</v>
      </c>
      <c r="D50" s="286"/>
      <c r="E50" s="21">
        <f>COUNTIF(C5:C47,$C$50)</f>
        <v>0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</row>
    <row r="51" spans="2:60">
      <c r="C51" s="286" t="s">
        <v>128</v>
      </c>
      <c r="D51" s="286"/>
      <c r="E51" s="21">
        <f>E49+E50</f>
        <v>0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</row>
    <row r="52" spans="2:60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</row>
    <row r="53" spans="2:60"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</row>
    <row r="54" spans="2:60">
      <c r="C54" s="19"/>
      <c r="D54" s="19"/>
      <c r="E54" s="28" t="s">
        <v>22</v>
      </c>
      <c r="F54" s="250" t="s">
        <v>129</v>
      </c>
      <c r="G54" s="251"/>
      <c r="H54" s="251"/>
      <c r="I54" s="252"/>
      <c r="J54" s="19"/>
      <c r="K54" s="29" t="s">
        <v>130</v>
      </c>
      <c r="L54" s="250" t="s">
        <v>131</v>
      </c>
      <c r="M54" s="251"/>
      <c r="N54" s="251"/>
      <c r="O54" s="252"/>
      <c r="P54" s="19"/>
      <c r="Q54" s="256" t="s">
        <v>132</v>
      </c>
      <c r="R54" s="256"/>
      <c r="S54" s="256"/>
      <c r="T54" s="25"/>
      <c r="V54" s="258" t="s">
        <v>133</v>
      </c>
      <c r="W54" s="258"/>
      <c r="X54" s="258"/>
      <c r="Y54" s="258" t="s">
        <v>134</v>
      </c>
      <c r="Z54" s="258"/>
      <c r="AA54" s="258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</row>
    <row r="55" spans="2:60">
      <c r="C55" s="19"/>
      <c r="D55" s="19"/>
      <c r="E55" s="28" t="s">
        <v>135</v>
      </c>
      <c r="F55" s="250" t="s">
        <v>136</v>
      </c>
      <c r="G55" s="251"/>
      <c r="H55" s="251"/>
      <c r="I55" s="252"/>
      <c r="J55" s="19"/>
      <c r="K55" s="29" t="s">
        <v>123</v>
      </c>
      <c r="L55" s="250" t="s">
        <v>137</v>
      </c>
      <c r="M55" s="251"/>
      <c r="N55" s="251"/>
      <c r="O55" s="252"/>
      <c r="P55" s="19"/>
      <c r="Q55" s="21" t="s">
        <v>20</v>
      </c>
      <c r="R55" s="283" t="s">
        <v>138</v>
      </c>
      <c r="S55" s="284"/>
      <c r="U55" s="57" t="s">
        <v>29</v>
      </c>
      <c r="V55" s="240" t="s">
        <v>139</v>
      </c>
      <c r="W55" s="240"/>
      <c r="X55" s="240"/>
      <c r="Y55" s="240" t="s">
        <v>140</v>
      </c>
      <c r="Z55" s="240"/>
      <c r="AA55" s="240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</row>
    <row r="56" spans="2:60">
      <c r="C56" s="19"/>
      <c r="D56" s="19"/>
      <c r="E56" s="30" t="s">
        <v>20</v>
      </c>
      <c r="F56" s="250" t="s">
        <v>141</v>
      </c>
      <c r="G56" s="251"/>
      <c r="H56" s="251"/>
      <c r="I56" s="252"/>
      <c r="J56" s="19"/>
      <c r="K56" s="28" t="s">
        <v>107</v>
      </c>
      <c r="L56" s="250" t="s">
        <v>142</v>
      </c>
      <c r="M56" s="251"/>
      <c r="N56" s="251"/>
      <c r="O56" s="252"/>
      <c r="P56" s="19"/>
      <c r="Q56" s="21" t="s">
        <v>143</v>
      </c>
      <c r="R56" s="283" t="s">
        <v>144</v>
      </c>
      <c r="S56" s="284"/>
      <c r="U56" s="46" t="s">
        <v>145</v>
      </c>
      <c r="V56" s="240" t="s">
        <v>146</v>
      </c>
      <c r="W56" s="240"/>
      <c r="X56" s="240"/>
      <c r="Y56" s="240" t="s">
        <v>147</v>
      </c>
      <c r="Z56" s="240"/>
      <c r="AA56" s="240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</row>
    <row r="57" spans="2:60">
      <c r="C57" s="19"/>
      <c r="D57" s="19"/>
      <c r="E57" s="31" t="s">
        <v>36</v>
      </c>
      <c r="F57" s="250" t="s">
        <v>148</v>
      </c>
      <c r="G57" s="251"/>
      <c r="H57" s="251"/>
      <c r="I57" s="252"/>
      <c r="J57" s="19"/>
      <c r="K57" s="28" t="s">
        <v>143</v>
      </c>
      <c r="L57" s="250" t="s">
        <v>142</v>
      </c>
      <c r="M57" s="251"/>
      <c r="N57" s="251"/>
      <c r="O57" s="252"/>
      <c r="P57" s="19"/>
      <c r="Q57" s="21" t="s">
        <v>149</v>
      </c>
      <c r="R57" s="259" t="s">
        <v>150</v>
      </c>
      <c r="S57" s="260"/>
      <c r="U57" s="47" t="s">
        <v>151</v>
      </c>
      <c r="V57" s="240" t="s">
        <v>152</v>
      </c>
      <c r="W57" s="240"/>
      <c r="X57" s="240"/>
      <c r="Y57" s="240" t="s">
        <v>153</v>
      </c>
      <c r="Z57" s="240"/>
      <c r="AA57" s="240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</row>
    <row r="58" spans="2:60">
      <c r="C58" s="19"/>
      <c r="D58" s="19"/>
      <c r="E58" s="31" t="s">
        <v>33</v>
      </c>
      <c r="F58" s="250" t="s">
        <v>154</v>
      </c>
      <c r="G58" s="251"/>
      <c r="H58" s="251"/>
      <c r="I58" s="252"/>
      <c r="J58" s="19"/>
      <c r="K58" s="28" t="s">
        <v>155</v>
      </c>
      <c r="L58" s="250" t="s">
        <v>142</v>
      </c>
      <c r="M58" s="251"/>
      <c r="N58" s="251"/>
      <c r="O58" s="252"/>
      <c r="P58" s="19"/>
      <c r="Q58" s="21" t="s">
        <v>156</v>
      </c>
      <c r="R58" s="282" t="s">
        <v>157</v>
      </c>
      <c r="S58" s="282"/>
      <c r="U58" s="58" t="s">
        <v>100</v>
      </c>
      <c r="V58" s="240" t="s">
        <v>158</v>
      </c>
      <c r="W58" s="240"/>
      <c r="X58" s="240"/>
      <c r="Y58" s="240" t="s">
        <v>159</v>
      </c>
      <c r="Z58" s="240"/>
      <c r="AA58" s="240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</row>
    <row r="59" spans="2:60">
      <c r="C59" s="19"/>
      <c r="D59" s="19"/>
      <c r="E59" s="32" t="s">
        <v>20</v>
      </c>
      <c r="F59" s="250" t="s">
        <v>160</v>
      </c>
      <c r="G59" s="251"/>
      <c r="H59" s="251"/>
      <c r="I59" s="252"/>
      <c r="J59" s="19"/>
      <c r="K59" s="33" t="s">
        <v>81</v>
      </c>
      <c r="L59" s="250" t="s">
        <v>161</v>
      </c>
      <c r="M59" s="251"/>
      <c r="N59" s="251"/>
      <c r="O59" s="252"/>
      <c r="P59" s="19"/>
      <c r="Q59" s="21" t="s">
        <v>162</v>
      </c>
      <c r="R59" s="282" t="s">
        <v>163</v>
      </c>
      <c r="S59" s="282"/>
      <c r="U59" s="59" t="s">
        <v>164</v>
      </c>
      <c r="V59" s="240" t="s">
        <v>165</v>
      </c>
      <c r="W59" s="240"/>
      <c r="X59" s="240"/>
      <c r="Y59" s="240" t="s">
        <v>166</v>
      </c>
      <c r="Z59" s="240"/>
      <c r="AA59" s="240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</row>
    <row r="60" spans="2:60">
      <c r="C60" s="19"/>
      <c r="D60" s="19"/>
      <c r="E60" s="32" t="s">
        <v>36</v>
      </c>
      <c r="F60" s="250" t="s">
        <v>167</v>
      </c>
      <c r="G60" s="251"/>
      <c r="H60" s="251"/>
      <c r="I60" s="252"/>
      <c r="J60" s="19"/>
      <c r="K60" s="28" t="s">
        <v>168</v>
      </c>
      <c r="L60" s="250" t="s">
        <v>161</v>
      </c>
      <c r="M60" s="251"/>
      <c r="N60" s="251"/>
      <c r="O60" s="252"/>
      <c r="T60" s="19"/>
      <c r="U60" s="72" t="s">
        <v>169</v>
      </c>
      <c r="V60" s="240" t="s">
        <v>170</v>
      </c>
      <c r="W60" s="240"/>
      <c r="X60" s="240"/>
      <c r="Y60" s="240" t="s">
        <v>171</v>
      </c>
      <c r="Z60" s="240"/>
      <c r="AA60" s="240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</row>
    <row r="61" spans="2:60">
      <c r="C61" s="19"/>
      <c r="D61" s="19"/>
      <c r="E61" s="34" t="s">
        <v>26</v>
      </c>
      <c r="F61" s="250" t="s">
        <v>172</v>
      </c>
      <c r="G61" s="251"/>
      <c r="H61" s="251"/>
      <c r="I61" s="252"/>
      <c r="J61" s="19"/>
      <c r="K61" s="28" t="s">
        <v>173</v>
      </c>
      <c r="L61" s="250" t="s">
        <v>161</v>
      </c>
      <c r="M61" s="251"/>
      <c r="N61" s="251"/>
      <c r="O61" s="252"/>
      <c r="T61" s="19"/>
      <c r="U61" s="60" t="s">
        <v>21</v>
      </c>
      <c r="V61" s="240" t="s">
        <v>174</v>
      </c>
      <c r="W61" s="240"/>
      <c r="X61" s="240"/>
      <c r="Y61" s="240" t="s">
        <v>175</v>
      </c>
      <c r="Z61" s="240"/>
      <c r="AA61" s="240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</row>
    <row r="62" spans="2:60">
      <c r="C62" s="19"/>
      <c r="D62" s="19"/>
      <c r="E62" s="34" t="s">
        <v>176</v>
      </c>
      <c r="F62" s="250" t="s">
        <v>177</v>
      </c>
      <c r="G62" s="251"/>
      <c r="H62" s="251"/>
      <c r="I62" s="252"/>
      <c r="J62" s="19"/>
      <c r="K62" s="28" t="s">
        <v>178</v>
      </c>
      <c r="L62" s="250" t="s">
        <v>161</v>
      </c>
      <c r="M62" s="251"/>
      <c r="N62" s="251"/>
      <c r="O62" s="252"/>
      <c r="T62" s="19"/>
      <c r="U62" s="61" t="s">
        <v>179</v>
      </c>
      <c r="V62" s="240" t="s">
        <v>180</v>
      </c>
      <c r="W62" s="240"/>
      <c r="X62" s="240"/>
      <c r="Y62" s="240" t="s">
        <v>181</v>
      </c>
      <c r="Z62" s="240"/>
      <c r="AA62" s="240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</row>
    <row r="63" spans="2:60">
      <c r="C63" s="19"/>
      <c r="D63" s="19"/>
      <c r="E63" s="32" t="s">
        <v>182</v>
      </c>
      <c r="F63" s="250" t="s">
        <v>183</v>
      </c>
      <c r="G63" s="251"/>
      <c r="H63" s="251"/>
      <c r="I63" s="252"/>
      <c r="J63" s="19"/>
      <c r="K63" s="27" t="s">
        <v>67</v>
      </c>
      <c r="L63" s="250" t="s">
        <v>161</v>
      </c>
      <c r="M63" s="251"/>
      <c r="N63" s="251"/>
      <c r="O63" s="252"/>
      <c r="P63" s="19"/>
      <c r="Q63" s="19"/>
      <c r="R63" s="19"/>
      <c r="S63" s="19"/>
      <c r="T63" s="19"/>
      <c r="U63" s="62" t="s">
        <v>184</v>
      </c>
      <c r="V63" s="240" t="s">
        <v>185</v>
      </c>
      <c r="W63" s="240"/>
      <c r="X63" s="240"/>
      <c r="Y63" s="240" t="s">
        <v>186</v>
      </c>
      <c r="Z63" s="240"/>
      <c r="AA63" s="240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</row>
    <row r="64" spans="2:60">
      <c r="C64" s="19"/>
      <c r="D64" s="19"/>
      <c r="E64" s="33" t="s">
        <v>30</v>
      </c>
      <c r="F64" s="250" t="s">
        <v>187</v>
      </c>
      <c r="G64" s="251"/>
      <c r="H64" s="251"/>
      <c r="I64" s="252"/>
      <c r="J64" s="19"/>
      <c r="K64" s="28" t="s">
        <v>188</v>
      </c>
      <c r="L64" s="250" t="s">
        <v>161</v>
      </c>
      <c r="M64" s="251"/>
      <c r="N64" s="251"/>
      <c r="O64" s="252"/>
      <c r="P64" s="19"/>
      <c r="Q64" s="19"/>
      <c r="R64" s="19"/>
      <c r="S64" s="19"/>
      <c r="T64" s="19"/>
      <c r="U64" s="50" t="s">
        <v>42</v>
      </c>
      <c r="V64" s="240" t="s">
        <v>189</v>
      </c>
      <c r="W64" s="240"/>
      <c r="X64" s="240"/>
      <c r="Y64" s="240" t="s">
        <v>190</v>
      </c>
      <c r="Z64" s="240"/>
      <c r="AA64" s="240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</row>
    <row r="65" spans="3:60">
      <c r="C65" s="19"/>
      <c r="D65" s="19"/>
      <c r="E65" s="35" t="s">
        <v>191</v>
      </c>
      <c r="F65" s="250" t="s">
        <v>192</v>
      </c>
      <c r="G65" s="251"/>
      <c r="H65" s="251"/>
      <c r="I65" s="252"/>
      <c r="J65" s="19"/>
      <c r="K65" s="28" t="s">
        <v>193</v>
      </c>
      <c r="L65" s="250" t="s">
        <v>161</v>
      </c>
      <c r="M65" s="251"/>
      <c r="N65" s="251"/>
      <c r="O65" s="252"/>
      <c r="P65" s="19"/>
      <c r="Q65" s="19"/>
      <c r="R65" s="19"/>
      <c r="S65" s="19"/>
      <c r="T65" s="19"/>
      <c r="U65" s="51" t="s">
        <v>194</v>
      </c>
      <c r="V65" s="240" t="s">
        <v>195</v>
      </c>
      <c r="W65" s="240"/>
      <c r="X65" s="240"/>
      <c r="Y65" s="240" t="s">
        <v>196</v>
      </c>
      <c r="Z65" s="240"/>
      <c r="AA65" s="240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</row>
    <row r="66" spans="3:60">
      <c r="C66" s="19"/>
      <c r="D66" s="19"/>
      <c r="E66" s="36" t="s">
        <v>197</v>
      </c>
      <c r="F66" s="250" t="s">
        <v>198</v>
      </c>
      <c r="G66" s="251"/>
      <c r="H66" s="251"/>
      <c r="I66" s="252"/>
      <c r="J66" s="19"/>
      <c r="K66" s="37" t="s">
        <v>199</v>
      </c>
      <c r="L66" s="250" t="s">
        <v>161</v>
      </c>
      <c r="M66" s="251"/>
      <c r="N66" s="251"/>
      <c r="O66" s="252"/>
      <c r="P66" s="19"/>
      <c r="Q66" s="19"/>
      <c r="R66" s="19"/>
      <c r="S66" s="19"/>
      <c r="T66" s="19"/>
      <c r="U66" s="49" t="s">
        <v>200</v>
      </c>
      <c r="V66" s="240" t="s">
        <v>201</v>
      </c>
      <c r="W66" s="240"/>
      <c r="X66" s="240"/>
      <c r="Y66" s="240" t="s">
        <v>202</v>
      </c>
      <c r="Z66" s="240"/>
      <c r="AA66" s="240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</row>
    <row r="67" spans="3:60">
      <c r="C67" s="19"/>
      <c r="D67" s="19"/>
      <c r="E67" s="27" t="s">
        <v>203</v>
      </c>
      <c r="F67" s="250" t="s">
        <v>204</v>
      </c>
      <c r="G67" s="251"/>
      <c r="H67" s="251"/>
      <c r="I67" s="252"/>
      <c r="J67" s="19"/>
      <c r="K67" s="28" t="s">
        <v>205</v>
      </c>
      <c r="L67" s="250" t="s">
        <v>161</v>
      </c>
      <c r="M67" s="251"/>
      <c r="N67" s="251"/>
      <c r="O67" s="252"/>
      <c r="P67" s="19"/>
      <c r="Q67" s="19"/>
      <c r="R67" s="19"/>
      <c r="S67" s="19"/>
      <c r="T67" s="19"/>
      <c r="U67" s="63" t="s">
        <v>206</v>
      </c>
      <c r="V67" s="240" t="s">
        <v>207</v>
      </c>
      <c r="W67" s="240"/>
      <c r="X67" s="240"/>
      <c r="Y67" s="240" t="s">
        <v>208</v>
      </c>
      <c r="Z67" s="240"/>
      <c r="AA67" s="240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</row>
    <row r="68" spans="3:60">
      <c r="C68" s="19"/>
      <c r="D68" s="19"/>
      <c r="E68" s="36" t="s">
        <v>209</v>
      </c>
      <c r="F68" s="250" t="s">
        <v>210</v>
      </c>
      <c r="G68" s="251"/>
      <c r="H68" s="251"/>
      <c r="I68" s="252"/>
      <c r="J68" s="19"/>
      <c r="K68" s="38" t="s">
        <v>211</v>
      </c>
      <c r="L68" s="250" t="s">
        <v>212</v>
      </c>
      <c r="M68" s="251"/>
      <c r="N68" s="251"/>
      <c r="O68" s="252"/>
      <c r="P68" s="19"/>
      <c r="Q68" s="19"/>
      <c r="R68" s="19"/>
      <c r="S68" s="19"/>
      <c r="T68" s="19"/>
      <c r="U68" s="56" t="s">
        <v>116</v>
      </c>
      <c r="V68" s="240" t="s">
        <v>213</v>
      </c>
      <c r="W68" s="240"/>
      <c r="X68" s="240"/>
      <c r="Y68" s="240" t="s">
        <v>214</v>
      </c>
      <c r="Z68" s="240"/>
      <c r="AA68" s="240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</row>
    <row r="69" spans="3:60">
      <c r="C69" s="19"/>
      <c r="D69" s="19"/>
      <c r="U69" s="54" t="s">
        <v>215</v>
      </c>
      <c r="V69" s="240" t="s">
        <v>216</v>
      </c>
      <c r="W69" s="240"/>
      <c r="X69" s="240"/>
      <c r="Y69" s="240" t="s">
        <v>217</v>
      </c>
      <c r="Z69" s="240"/>
      <c r="AA69" s="240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</row>
    <row r="70" spans="3:60"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55" t="s">
        <v>113</v>
      </c>
      <c r="V70" s="240" t="s">
        <v>218</v>
      </c>
      <c r="W70" s="240"/>
      <c r="X70" s="240"/>
      <c r="Y70" s="240" t="s">
        <v>219</v>
      </c>
      <c r="Z70" s="240"/>
      <c r="AA70" s="240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</row>
    <row r="71" spans="3:60"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64" t="s">
        <v>220</v>
      </c>
      <c r="V71" s="240" t="s">
        <v>221</v>
      </c>
      <c r="W71" s="240"/>
      <c r="X71" s="240"/>
      <c r="Y71" s="240" t="s">
        <v>222</v>
      </c>
      <c r="Z71" s="240"/>
      <c r="AA71" s="240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</row>
    <row r="72" spans="3:60"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65" t="s">
        <v>223</v>
      </c>
      <c r="V72" s="240" t="s">
        <v>224</v>
      </c>
      <c r="W72" s="240"/>
      <c r="X72" s="240"/>
      <c r="Y72" s="240" t="s">
        <v>225</v>
      </c>
      <c r="Z72" s="240"/>
      <c r="AA72" s="240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</row>
    <row r="73" spans="3:60"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66" t="s">
        <v>226</v>
      </c>
      <c r="V73" s="240" t="s">
        <v>227</v>
      </c>
      <c r="W73" s="240"/>
      <c r="X73" s="240"/>
      <c r="Y73" s="240" t="s">
        <v>228</v>
      </c>
      <c r="Z73" s="240"/>
      <c r="AA73" s="240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</row>
    <row r="74" spans="3:60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67" t="s">
        <v>84</v>
      </c>
      <c r="V74" s="240" t="s">
        <v>229</v>
      </c>
      <c r="W74" s="240"/>
      <c r="X74" s="240"/>
      <c r="Y74" s="240" t="s">
        <v>230</v>
      </c>
      <c r="Z74" s="240"/>
      <c r="AA74" s="240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</row>
    <row r="75" spans="3:60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68" t="s">
        <v>41</v>
      </c>
      <c r="V75" s="240" t="s">
        <v>231</v>
      </c>
      <c r="W75" s="240"/>
      <c r="X75" s="240"/>
      <c r="Y75" s="240" t="s">
        <v>232</v>
      </c>
      <c r="Z75" s="240"/>
      <c r="AA75" s="240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</row>
    <row r="76" spans="3:60"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69" t="s">
        <v>233</v>
      </c>
      <c r="V76" s="240" t="s">
        <v>234</v>
      </c>
      <c r="W76" s="240"/>
      <c r="X76" s="240"/>
      <c r="Y76" s="240" t="s">
        <v>235</v>
      </c>
      <c r="Z76" s="240"/>
      <c r="AA76" s="240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</row>
    <row r="77" spans="3:60"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70" t="s">
        <v>66</v>
      </c>
      <c r="V77" s="240" t="s">
        <v>236</v>
      </c>
      <c r="W77" s="240"/>
      <c r="X77" s="240"/>
      <c r="Y77" s="240" t="s">
        <v>237</v>
      </c>
      <c r="Z77" s="240"/>
      <c r="AA77" s="240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</row>
    <row r="78" spans="3:60"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52" t="s">
        <v>23</v>
      </c>
      <c r="V78" s="240" t="s">
        <v>238</v>
      </c>
      <c r="W78" s="240"/>
      <c r="X78" s="240"/>
      <c r="Y78" s="240" t="s">
        <v>239</v>
      </c>
      <c r="Z78" s="240"/>
      <c r="AA78" s="240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</row>
    <row r="79" spans="3:60"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53" t="s">
        <v>240</v>
      </c>
      <c r="V79" s="240" t="s">
        <v>241</v>
      </c>
      <c r="W79" s="240"/>
      <c r="X79" s="240"/>
      <c r="Y79" s="240" t="s">
        <v>242</v>
      </c>
      <c r="Z79" s="240"/>
      <c r="AA79" s="240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</row>
    <row r="80" spans="3:60"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71" t="s">
        <v>243</v>
      </c>
      <c r="V80" s="240" t="s">
        <v>244</v>
      </c>
      <c r="W80" s="240"/>
      <c r="X80" s="240"/>
      <c r="Y80" s="240" t="s">
        <v>245</v>
      </c>
      <c r="Z80" s="240"/>
      <c r="AA80" s="240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</row>
    <row r="81" spans="3:60"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48" t="s">
        <v>246</v>
      </c>
      <c r="V81" s="240" t="s">
        <v>247</v>
      </c>
      <c r="W81" s="240"/>
      <c r="X81" s="240"/>
      <c r="Y81" s="240" t="s">
        <v>248</v>
      </c>
      <c r="Z81" s="240"/>
      <c r="AA81" s="240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</row>
    <row r="82" spans="3:60"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</row>
    <row r="83" spans="3:60"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</row>
    <row r="84" spans="3:60"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</row>
    <row r="85" spans="3:60"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</row>
    <row r="86" spans="3:60"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</row>
    <row r="87" spans="3:60"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</row>
    <row r="88" spans="3:60"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</row>
    <row r="89" spans="3:60"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</row>
    <row r="90" spans="3:60"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</row>
    <row r="91" spans="3:60"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</row>
    <row r="92" spans="3:60"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</row>
    <row r="93" spans="3:60"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</row>
    <row r="94" spans="3:60"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</row>
    <row r="95" spans="3:60"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</row>
    <row r="96" spans="3:60"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</row>
    <row r="97" spans="3:60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</row>
    <row r="98" spans="3:60"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</row>
    <row r="99" spans="3:60"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</row>
    <row r="100" spans="3:60"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</row>
    <row r="101" spans="3:60"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</row>
    <row r="102" spans="3:60"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</row>
    <row r="103" spans="3:60"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</row>
    <row r="104" spans="3:60"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</row>
    <row r="105" spans="3:60"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</row>
    <row r="106" spans="3:60"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</row>
    <row r="107" spans="3:60"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</row>
    <row r="108" spans="3:60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</row>
    <row r="109" spans="3:60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</row>
    <row r="110" spans="3:60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</row>
    <row r="111" spans="3:60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</row>
    <row r="112" spans="3:60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</row>
    <row r="113" spans="3:60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</row>
    <row r="114" spans="3:60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</row>
    <row r="115" spans="3:60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</row>
    <row r="116" spans="3:60"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</row>
    <row r="117" spans="3:60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</row>
    <row r="118" spans="3:60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</row>
    <row r="119" spans="3:60"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</row>
    <row r="120" spans="3:60"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</row>
    <row r="121" spans="3:60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</row>
    <row r="122" spans="3:60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</row>
    <row r="123" spans="3:60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</row>
    <row r="124" spans="3:60"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</row>
    <row r="125" spans="3:60"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</row>
    <row r="126" spans="3:60"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</row>
    <row r="127" spans="3:60"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</row>
    <row r="128" spans="3:60"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</row>
    <row r="129" spans="3:60"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</row>
    <row r="130" spans="3:60"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</row>
    <row r="131" spans="3:60"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</row>
    <row r="132" spans="3:60"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</row>
    <row r="133" spans="3:60"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</row>
    <row r="134" spans="3:60"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</row>
    <row r="135" spans="3:60"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</row>
    <row r="136" spans="3:60"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</row>
    <row r="137" spans="3:60"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</row>
    <row r="138" spans="3:60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</row>
    <row r="139" spans="3:60"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</row>
    <row r="140" spans="3:60"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</row>
    <row r="141" spans="3:60"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</row>
    <row r="142" spans="3:60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</row>
    <row r="143" spans="3:60"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</row>
    <row r="144" spans="3:60"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</row>
    <row r="145" spans="3:60"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</row>
    <row r="146" spans="3:60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</row>
    <row r="147" spans="3:60"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</row>
    <row r="148" spans="3:60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</row>
    <row r="149" spans="3:60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</row>
    <row r="150" spans="3:60"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</row>
    <row r="151" spans="3:60"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</row>
    <row r="152" spans="3:60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</row>
    <row r="153" spans="3:60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</row>
    <row r="154" spans="3:60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</row>
    <row r="155" spans="3:60"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</row>
    <row r="156" spans="3:60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</row>
    <row r="157" spans="3:60"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</row>
    <row r="158" spans="3:60"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</row>
    <row r="159" spans="3:60"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</row>
    <row r="160" spans="3:60"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</row>
    <row r="161" spans="3:60"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</row>
    <row r="162" spans="3:60"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</row>
    <row r="163" spans="3:60"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</row>
    <row r="164" spans="3:60"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</row>
    <row r="165" spans="3:60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</row>
    <row r="166" spans="3:60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</row>
    <row r="167" spans="3:60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</row>
    <row r="168" spans="3:60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</row>
    <row r="169" spans="3:60"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</row>
    <row r="170" spans="3:60"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</row>
    <row r="171" spans="3:60"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</row>
    <row r="172" spans="3:60"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</row>
    <row r="173" spans="3:60"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</row>
    <row r="174" spans="3:60"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</row>
    <row r="175" spans="3:60"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</row>
    <row r="176" spans="3:60"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</row>
    <row r="177" spans="3:60"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</row>
    <row r="178" spans="3:60"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</row>
    <row r="179" spans="3:60"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</row>
    <row r="180" spans="3:60"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</row>
    <row r="181" spans="3:60"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</row>
    <row r="182" spans="3:60"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</row>
    <row r="183" spans="3:60"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</row>
    <row r="184" spans="3:60"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</row>
    <row r="185" spans="3:60"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</row>
    <row r="186" spans="3:60"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</row>
    <row r="187" spans="3:60"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</row>
    <row r="188" spans="3:60"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</row>
    <row r="189" spans="3:60"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</row>
    <row r="190" spans="3:60"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</row>
    <row r="191" spans="3:60"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</row>
    <row r="192" spans="3:60"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</row>
    <row r="193" spans="3:60"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</row>
    <row r="194" spans="3:60"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</row>
    <row r="195" spans="3:60"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</row>
    <row r="196" spans="3:60"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</row>
    <row r="197" spans="3:60"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</row>
    <row r="198" spans="3:60"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</row>
    <row r="199" spans="3:60"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</row>
    <row r="200" spans="3:60"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</row>
    <row r="201" spans="3:60"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</row>
    <row r="202" spans="3:60"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</row>
    <row r="203" spans="3:60"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</row>
    <row r="204" spans="3:60"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</row>
    <row r="205" spans="3:60"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</row>
    <row r="206" spans="3:60"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</row>
    <row r="207" spans="3:60"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</row>
    <row r="208" spans="3:60"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</row>
    <row r="209" spans="3:60"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</row>
    <row r="210" spans="3:60"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</row>
    <row r="211" spans="3:60"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</row>
    <row r="212" spans="3:60"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</row>
    <row r="213" spans="3:60"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</row>
    <row r="214" spans="3:60"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</row>
    <row r="215" spans="3:60"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</row>
    <row r="216" spans="3:60"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</row>
    <row r="217" spans="3:60"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</row>
    <row r="218" spans="3:60"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</row>
    <row r="219" spans="3:60"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</row>
    <row r="220" spans="3:60"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</row>
    <row r="221" spans="3:60"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</row>
    <row r="222" spans="3:60"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</row>
    <row r="223" spans="3:60"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</row>
    <row r="224" spans="3:60"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</row>
    <row r="225" spans="3:60"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</row>
    <row r="226" spans="3:60"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</row>
    <row r="227" spans="3:60"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</row>
    <row r="228" spans="3:60"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</row>
    <row r="229" spans="3:60"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</row>
    <row r="230" spans="3:60"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</row>
    <row r="231" spans="3:60"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</row>
    <row r="232" spans="3:60"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</row>
    <row r="233" spans="3:60"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</row>
    <row r="234" spans="3:60"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</row>
    <row r="235" spans="3:60"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</row>
    <row r="236" spans="3:60"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</row>
    <row r="237" spans="3:60"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</row>
    <row r="238" spans="3:60"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</row>
    <row r="239" spans="3:60"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</row>
    <row r="240" spans="3:60"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</row>
    <row r="241" spans="3:60"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</row>
    <row r="242" spans="3:60"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</row>
    <row r="243" spans="3:60"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</row>
    <row r="244" spans="3:60"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</row>
    <row r="245" spans="3:60"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</row>
    <row r="246" spans="3:60"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</row>
    <row r="247" spans="3:60"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</row>
    <row r="248" spans="3:60"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</row>
    <row r="249" spans="3:60"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</row>
    <row r="250" spans="3:60"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</row>
    <row r="251" spans="3:60"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</row>
    <row r="252" spans="3:60"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</row>
    <row r="253" spans="3:60"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</row>
    <row r="254" spans="3:60"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</row>
    <row r="255" spans="3:60"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</row>
    <row r="256" spans="3:60"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</row>
    <row r="257" spans="3:60"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</row>
    <row r="258" spans="3:60"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</row>
    <row r="259" spans="3:60"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</row>
    <row r="260" spans="3:60"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</row>
    <row r="261" spans="3:60"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</row>
    <row r="262" spans="3:60"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</row>
    <row r="263" spans="3:60"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</row>
    <row r="264" spans="3:60"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</row>
    <row r="265" spans="3:60"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</row>
    <row r="266" spans="3:60"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</row>
    <row r="267" spans="3:60"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</row>
    <row r="268" spans="3:60"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</row>
    <row r="269" spans="3:60"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</row>
    <row r="270" spans="3:60"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</row>
    <row r="271" spans="3:60"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</row>
    <row r="272" spans="3:60"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</row>
    <row r="273" spans="3:60"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</row>
    <row r="274" spans="3:60"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</row>
    <row r="275" spans="3:60"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</row>
    <row r="276" spans="3:60"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</row>
    <row r="277" spans="3:60"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</row>
    <row r="278" spans="3:60"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</row>
    <row r="279" spans="3:60"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</row>
    <row r="280" spans="3:60"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</row>
    <row r="281" spans="3:60"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</row>
    <row r="282" spans="3:60"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</row>
    <row r="283" spans="3:60"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</row>
    <row r="284" spans="3:60"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</row>
    <row r="285" spans="3:60"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</row>
    <row r="286" spans="3:60"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</row>
    <row r="287" spans="3:60"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</row>
    <row r="288" spans="3:60"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</row>
    <row r="289" spans="3:60"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</row>
    <row r="290" spans="3:60"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</row>
    <row r="291" spans="3:60"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</row>
    <row r="292" spans="3:60"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</row>
    <row r="293" spans="3:60"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</row>
    <row r="294" spans="3:60"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</row>
    <row r="295" spans="3:60"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</row>
    <row r="296" spans="3:60"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</row>
    <row r="297" spans="3:60"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</row>
    <row r="298" spans="3:60"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</row>
    <row r="299" spans="3:60"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</row>
    <row r="300" spans="3:60"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</row>
    <row r="301" spans="3:60"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</row>
    <row r="302" spans="3:60"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</row>
    <row r="303" spans="3:60"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</row>
    <row r="304" spans="3:60"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</row>
    <row r="305" spans="3:60"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</row>
    <row r="306" spans="3:60"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</row>
    <row r="307" spans="3:60"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</row>
    <row r="308" spans="3:60"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</row>
    <row r="309" spans="3:60"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</row>
    <row r="310" spans="3:60"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</row>
    <row r="311" spans="3:60"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</row>
    <row r="312" spans="3:60"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</row>
    <row r="313" spans="3:60"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</row>
    <row r="314" spans="3:60"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</row>
    <row r="315" spans="3:60"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</row>
    <row r="316" spans="3:60"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</row>
    <row r="317" spans="3:60"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</row>
    <row r="318" spans="3:60"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</row>
    <row r="319" spans="3:60"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</row>
    <row r="320" spans="3:60"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</row>
    <row r="321" spans="3:60"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</row>
    <row r="322" spans="3:60"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</row>
    <row r="323" spans="3:60"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</row>
    <row r="324" spans="3:60"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</row>
    <row r="325" spans="3:60"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</row>
    <row r="326" spans="3:60"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</row>
    <row r="327" spans="3:60"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</row>
    <row r="328" spans="3:60"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</row>
    <row r="329" spans="3:60"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</row>
  </sheetData>
  <mergeCells count="108">
    <mergeCell ref="L59:O59"/>
    <mergeCell ref="F60:I60"/>
    <mergeCell ref="L60:O60"/>
    <mergeCell ref="F61:I61"/>
    <mergeCell ref="L61:O61"/>
    <mergeCell ref="F58:I58"/>
    <mergeCell ref="L58:O58"/>
    <mergeCell ref="B25:B35"/>
    <mergeCell ref="B49:B50"/>
    <mergeCell ref="F59:I59"/>
    <mergeCell ref="Q54:S54"/>
    <mergeCell ref="V54:X54"/>
    <mergeCell ref="Y54:AA54"/>
    <mergeCell ref="R55:S55"/>
    <mergeCell ref="V55:X55"/>
    <mergeCell ref="Y55:AA55"/>
    <mergeCell ref="V58:X58"/>
    <mergeCell ref="Y58:AA58"/>
    <mergeCell ref="L54:O54"/>
    <mergeCell ref="R56:S56"/>
    <mergeCell ref="V56:X56"/>
    <mergeCell ref="Y56:AA56"/>
    <mergeCell ref="R57:S57"/>
    <mergeCell ref="R58:S58"/>
    <mergeCell ref="V80:X80"/>
    <mergeCell ref="Y80:AA80"/>
    <mergeCell ref="V76:X76"/>
    <mergeCell ref="Y76:AA76"/>
    <mergeCell ref="V77:X77"/>
    <mergeCell ref="Y77:AA77"/>
    <mergeCell ref="V78:X78"/>
    <mergeCell ref="Y78:AA78"/>
    <mergeCell ref="V74:X74"/>
    <mergeCell ref="Y74:AA74"/>
    <mergeCell ref="V79:X79"/>
    <mergeCell ref="Y79:AA79"/>
    <mergeCell ref="F62:I62"/>
    <mergeCell ref="L62:O62"/>
    <mergeCell ref="F63:I63"/>
    <mergeCell ref="L63:O63"/>
    <mergeCell ref="Y59:AA59"/>
    <mergeCell ref="V73:X73"/>
    <mergeCell ref="Y73:AA73"/>
    <mergeCell ref="V70:X70"/>
    <mergeCell ref="Y70:AA70"/>
    <mergeCell ref="V71:X71"/>
    <mergeCell ref="Y71:AA71"/>
    <mergeCell ref="Y72:AA72"/>
    <mergeCell ref="V63:X63"/>
    <mergeCell ref="Y63:AA63"/>
    <mergeCell ref="V64:X64"/>
    <mergeCell ref="Y64:AA64"/>
    <mergeCell ref="V65:X65"/>
    <mergeCell ref="Y65:AA65"/>
    <mergeCell ref="V60:X60"/>
    <mergeCell ref="Y60:AA60"/>
    <mergeCell ref="V61:X61"/>
    <mergeCell ref="Y61:AA61"/>
    <mergeCell ref="V62:X62"/>
    <mergeCell ref="Y62:AA62"/>
    <mergeCell ref="R59:S59"/>
    <mergeCell ref="V57:X57"/>
    <mergeCell ref="Y57:AA57"/>
    <mergeCell ref="V72:X72"/>
    <mergeCell ref="V59:X59"/>
    <mergeCell ref="B2:B4"/>
    <mergeCell ref="AJ2:AL3"/>
    <mergeCell ref="E2:AH2"/>
    <mergeCell ref="C3:D4"/>
    <mergeCell ref="C49:D49"/>
    <mergeCell ref="C50:D50"/>
    <mergeCell ref="C51:D51"/>
    <mergeCell ref="C2:D2"/>
    <mergeCell ref="F57:I57"/>
    <mergeCell ref="F54:I54"/>
    <mergeCell ref="L57:O57"/>
    <mergeCell ref="F55:I55"/>
    <mergeCell ref="L55:O55"/>
    <mergeCell ref="F56:I56"/>
    <mergeCell ref="L56:O56"/>
    <mergeCell ref="B36:B39"/>
    <mergeCell ref="B40:B47"/>
    <mergeCell ref="B5:B12"/>
    <mergeCell ref="B13:B24"/>
    <mergeCell ref="AN2:AP3"/>
    <mergeCell ref="AR2:AR4"/>
    <mergeCell ref="V81:X81"/>
    <mergeCell ref="Y81:AA81"/>
    <mergeCell ref="F67:I67"/>
    <mergeCell ref="L67:O67"/>
    <mergeCell ref="F68:I68"/>
    <mergeCell ref="L68:O68"/>
    <mergeCell ref="F64:I64"/>
    <mergeCell ref="L64:O64"/>
    <mergeCell ref="F65:I65"/>
    <mergeCell ref="L65:O65"/>
    <mergeCell ref="F66:I66"/>
    <mergeCell ref="L66:O66"/>
    <mergeCell ref="V69:X69"/>
    <mergeCell ref="Y69:AA69"/>
    <mergeCell ref="V66:X66"/>
    <mergeCell ref="Y66:AA66"/>
    <mergeCell ref="V67:X67"/>
    <mergeCell ref="Y67:AA67"/>
    <mergeCell ref="V68:X68"/>
    <mergeCell ref="Y68:AA68"/>
    <mergeCell ref="V75:X75"/>
    <mergeCell ref="Y75:AA75"/>
  </mergeCells>
  <conditionalFormatting sqref="AL5:AL47">
    <cfRule type="cellIs" dxfId="41" priority="2" operator="greaterThan">
      <formula>1</formula>
    </cfRule>
    <cfRule type="cellIs" dxfId="40" priority="3" operator="equal">
      <formula>1</formula>
    </cfRule>
    <cfRule type="cellIs" dxfId="39" priority="4" operator="greaterThan">
      <formula>0</formula>
    </cfRule>
  </conditionalFormatting>
  <conditionalFormatting sqref="AP5:AP47">
    <cfRule type="cellIs" dxfId="38" priority="1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" operator="equal" id="{D7F2C7FF-4F93-48E1-9A5B-58FE14C71083}">
            <xm:f>Sheet1!$B$3</xm:f>
            <x14:dxf>
              <fill>
                <patternFill>
                  <bgColor theme="6" tint="0.79998168889431442"/>
                </patternFill>
              </fill>
            </x14:dxf>
          </x14:cfRule>
          <x14:cfRule type="cellIs" priority="7" operator="equal" id="{7C241397-B88A-42AA-BBF8-4F521B104FF8}">
            <xm:f>Sheet1!$B$2</xm:f>
            <x14:dxf>
              <fill>
                <patternFill>
                  <bgColor rgb="FFFFFF99"/>
                </patternFill>
              </fill>
            </x14:dxf>
          </x14:cfRule>
          <xm:sqref>B2:B4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2F5F0DD-9E3E-4017-A5D3-73B52595BC89}">
          <x14:formula1>
            <xm:f>Sheet1!$B$2:$B$3</xm:f>
          </x14:formula1>
          <xm:sqref>B2:B4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EBC9-B4E5-4974-97B8-EBF418D8D693}">
  <dimension ref="B2:BH327"/>
  <sheetViews>
    <sheetView showGridLines="0" zoomScaleNormal="100" workbookViewId="0">
      <pane xSplit="4" ySplit="4" topLeftCell="E16" activePane="bottomRight" state="frozen"/>
      <selection pane="bottomRight" activeCell="P39" sqref="P39"/>
      <selection pane="bottomLeft"/>
      <selection pane="topRight"/>
    </sheetView>
  </sheetViews>
  <sheetFormatPr defaultRowHeight="15"/>
  <cols>
    <col min="1" max="2" width="9.140625" style="18"/>
    <col min="3" max="3" width="20.7109375" style="18" customWidth="1"/>
    <col min="4" max="4" width="30.28515625" style="18" bestFit="1" customWidth="1"/>
    <col min="5" max="35" width="6.7109375" style="18" customWidth="1"/>
    <col min="36" max="40" width="9.140625" style="18"/>
    <col min="41" max="41" width="10.7109375" style="18" customWidth="1"/>
    <col min="42" max="44" width="9.140625" style="18"/>
    <col min="45" max="45" width="10.140625" style="18" customWidth="1"/>
    <col min="46" max="16384" width="9.140625" style="18"/>
  </cols>
  <sheetData>
    <row r="2" spans="2:60" ht="15.75" customHeight="1">
      <c r="B2" s="270" t="s">
        <v>0</v>
      </c>
      <c r="C2" s="267" t="s">
        <v>2</v>
      </c>
      <c r="D2" s="267"/>
      <c r="E2" s="253" t="s">
        <v>3</v>
      </c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5"/>
      <c r="AK2" s="241" t="s">
        <v>4</v>
      </c>
      <c r="AL2" s="242"/>
      <c r="AM2" s="243"/>
      <c r="AO2" s="241" t="s">
        <v>5</v>
      </c>
      <c r="AP2" s="242"/>
      <c r="AQ2" s="243"/>
      <c r="AS2" s="247" t="s">
        <v>6</v>
      </c>
    </row>
    <row r="3" spans="2:60" ht="15.75" customHeight="1">
      <c r="B3" s="271"/>
      <c r="C3" s="268" t="s">
        <v>257</v>
      </c>
      <c r="D3" s="268"/>
      <c r="E3" s="8" t="s">
        <v>14</v>
      </c>
      <c r="F3" s="8" t="s">
        <v>8</v>
      </c>
      <c r="G3" s="8" t="s">
        <v>9</v>
      </c>
      <c r="H3" s="9" t="s">
        <v>10</v>
      </c>
      <c r="I3" s="9" t="s">
        <v>11</v>
      </c>
      <c r="J3" s="8" t="s">
        <v>12</v>
      </c>
      <c r="K3" s="8" t="s">
        <v>13</v>
      </c>
      <c r="L3" s="8" t="s">
        <v>14</v>
      </c>
      <c r="M3" s="8" t="s">
        <v>8</v>
      </c>
      <c r="N3" s="8" t="s">
        <v>9</v>
      </c>
      <c r="O3" s="9" t="s">
        <v>10</v>
      </c>
      <c r="P3" s="9" t="s">
        <v>11</v>
      </c>
      <c r="Q3" s="8" t="s">
        <v>12</v>
      </c>
      <c r="R3" s="8" t="s">
        <v>13</v>
      </c>
      <c r="S3" s="8" t="s">
        <v>14</v>
      </c>
      <c r="T3" s="8" t="s">
        <v>8</v>
      </c>
      <c r="U3" s="8" t="s">
        <v>9</v>
      </c>
      <c r="V3" s="9" t="s">
        <v>10</v>
      </c>
      <c r="W3" s="9" t="s">
        <v>11</v>
      </c>
      <c r="X3" s="8" t="s">
        <v>12</v>
      </c>
      <c r="Y3" s="8" t="s">
        <v>13</v>
      </c>
      <c r="Z3" s="8" t="s">
        <v>14</v>
      </c>
      <c r="AA3" s="8" t="s">
        <v>8</v>
      </c>
      <c r="AB3" s="8" t="s">
        <v>9</v>
      </c>
      <c r="AC3" s="9" t="s">
        <v>10</v>
      </c>
      <c r="AD3" s="9" t="s">
        <v>11</v>
      </c>
      <c r="AE3" s="8" t="s">
        <v>12</v>
      </c>
      <c r="AF3" s="8" t="s">
        <v>13</v>
      </c>
      <c r="AG3" s="8" t="s">
        <v>14</v>
      </c>
      <c r="AH3" s="8" t="s">
        <v>8</v>
      </c>
      <c r="AI3" s="10" t="s">
        <v>9</v>
      </c>
      <c r="AK3" s="244"/>
      <c r="AL3" s="245"/>
      <c r="AM3" s="246"/>
      <c r="AO3" s="244"/>
      <c r="AP3" s="245"/>
      <c r="AQ3" s="246"/>
      <c r="AS3" s="248"/>
    </row>
    <row r="4" spans="2:60" ht="15.75">
      <c r="B4" s="291"/>
      <c r="C4" s="292"/>
      <c r="D4" s="292"/>
      <c r="E4" s="4">
        <v>1</v>
      </c>
      <c r="F4" s="4">
        <v>2</v>
      </c>
      <c r="G4" s="4">
        <v>3</v>
      </c>
      <c r="H4" s="5">
        <v>4</v>
      </c>
      <c r="I4" s="5">
        <v>5</v>
      </c>
      <c r="J4" s="4">
        <v>6</v>
      </c>
      <c r="K4" s="4">
        <v>7</v>
      </c>
      <c r="L4" s="4">
        <v>8</v>
      </c>
      <c r="M4" s="4">
        <v>9</v>
      </c>
      <c r="N4" s="4">
        <v>10</v>
      </c>
      <c r="O4" s="5">
        <v>11</v>
      </c>
      <c r="P4" s="5">
        <v>12</v>
      </c>
      <c r="Q4" s="4">
        <v>13</v>
      </c>
      <c r="R4" s="4">
        <v>14</v>
      </c>
      <c r="S4" s="4">
        <v>15</v>
      </c>
      <c r="T4" s="4">
        <v>16</v>
      </c>
      <c r="U4" s="4">
        <v>17</v>
      </c>
      <c r="V4" s="5">
        <v>18</v>
      </c>
      <c r="W4" s="5">
        <v>19</v>
      </c>
      <c r="X4" s="4">
        <v>20</v>
      </c>
      <c r="Y4" s="4">
        <v>21</v>
      </c>
      <c r="Z4" s="4">
        <v>22</v>
      </c>
      <c r="AA4" s="4">
        <v>23</v>
      </c>
      <c r="AB4" s="4">
        <v>24</v>
      </c>
      <c r="AC4" s="5">
        <v>25</v>
      </c>
      <c r="AD4" s="5">
        <v>26</v>
      </c>
      <c r="AE4" s="4">
        <v>27</v>
      </c>
      <c r="AF4" s="4">
        <v>28</v>
      </c>
      <c r="AG4" s="4">
        <v>29</v>
      </c>
      <c r="AH4" s="4">
        <v>30</v>
      </c>
      <c r="AI4" s="7">
        <v>31</v>
      </c>
      <c r="AK4" s="23">
        <v>2025</v>
      </c>
      <c r="AL4" s="24" t="s">
        <v>15</v>
      </c>
      <c r="AM4" s="23" t="s">
        <v>16</v>
      </c>
      <c r="AN4" s="25"/>
      <c r="AO4" s="23">
        <v>2026</v>
      </c>
      <c r="AP4" s="24" t="s">
        <v>15</v>
      </c>
      <c r="AQ4" s="23" t="s">
        <v>16</v>
      </c>
      <c r="AS4" s="249"/>
    </row>
    <row r="5" spans="2:60" ht="15" customHeight="1">
      <c r="B5" s="288" t="s">
        <v>17</v>
      </c>
      <c r="C5" s="129" t="s">
        <v>18</v>
      </c>
      <c r="D5" s="20" t="s">
        <v>19</v>
      </c>
      <c r="E5" s="28" t="s">
        <v>22</v>
      </c>
      <c r="F5" s="28" t="s">
        <v>22</v>
      </c>
      <c r="G5" s="74" t="s">
        <v>23</v>
      </c>
      <c r="H5" s="74" t="s">
        <v>23</v>
      </c>
      <c r="I5" s="74" t="s">
        <v>23</v>
      </c>
      <c r="J5" s="74" t="s">
        <v>23</v>
      </c>
      <c r="K5" s="28" t="s">
        <v>22</v>
      </c>
      <c r="L5" s="28" t="s">
        <v>22</v>
      </c>
      <c r="M5" s="60" t="s">
        <v>21</v>
      </c>
      <c r="N5" s="60" t="s">
        <v>21</v>
      </c>
      <c r="O5" s="60" t="s">
        <v>21</v>
      </c>
      <c r="P5" s="60" t="s">
        <v>21</v>
      </c>
      <c r="Q5" s="28" t="s">
        <v>22</v>
      </c>
      <c r="R5" s="28" t="s">
        <v>22</v>
      </c>
      <c r="S5" s="74" t="s">
        <v>23</v>
      </c>
      <c r="T5" s="74" t="s">
        <v>23</v>
      </c>
      <c r="U5" s="74" t="s">
        <v>23</v>
      </c>
      <c r="V5" s="74" t="s">
        <v>23</v>
      </c>
      <c r="W5" s="28" t="s">
        <v>22</v>
      </c>
      <c r="X5" s="28" t="s">
        <v>22</v>
      </c>
      <c r="Y5" s="60" t="s">
        <v>21</v>
      </c>
      <c r="Z5" s="60" t="s">
        <v>21</v>
      </c>
      <c r="AA5" s="60" t="s">
        <v>21</v>
      </c>
      <c r="AB5" s="60" t="s">
        <v>21</v>
      </c>
      <c r="AC5" s="28" t="s">
        <v>22</v>
      </c>
      <c r="AD5" s="28" t="s">
        <v>22</v>
      </c>
      <c r="AE5" s="74" t="s">
        <v>23</v>
      </c>
      <c r="AF5" s="74" t="s">
        <v>23</v>
      </c>
      <c r="AG5" s="74" t="s">
        <v>23</v>
      </c>
      <c r="AH5" s="74" t="s">
        <v>23</v>
      </c>
      <c r="AI5" s="28" t="s">
        <v>22</v>
      </c>
      <c r="AJ5" s="19"/>
      <c r="AK5" s="20"/>
      <c r="AL5" s="21">
        <f t="shared" ref="AL5:AL47" si="0">COUNTIF(E5:AI5, "UA")</f>
        <v>0</v>
      </c>
      <c r="AM5" s="20">
        <f t="shared" ref="AM5:AM47" si="1">AK5-AL5</f>
        <v>0</v>
      </c>
      <c r="AN5" s="19"/>
      <c r="AO5" s="20"/>
      <c r="AP5" s="21">
        <f t="shared" ref="AP5:AP47" si="2">COUNTIF(E5:AI5, "U")</f>
        <v>0</v>
      </c>
      <c r="AQ5" s="20">
        <f t="shared" ref="AQ5:AQ47" si="3">AO5-AP5</f>
        <v>0</v>
      </c>
      <c r="AR5" s="19"/>
      <c r="AS5" s="21">
        <f t="shared" ref="AS5:AS47" si="4">COUNTIF(E5:AI5,"P*")+COUNTIF(E5:AI5,"H*")+COUNTIF(E5:AI5,"T*")-COUNTIF(E5:AI5,"H")-COUNTIF(E5:AI5,"P")</f>
        <v>20</v>
      </c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</row>
    <row r="6" spans="2:60">
      <c r="B6" s="288"/>
      <c r="C6" s="130" t="s">
        <v>24</v>
      </c>
      <c r="D6" s="20" t="s">
        <v>25</v>
      </c>
      <c r="E6" s="74" t="s">
        <v>23</v>
      </c>
      <c r="F6" s="74" t="s">
        <v>23</v>
      </c>
      <c r="G6" s="28" t="s">
        <v>22</v>
      </c>
      <c r="H6" s="28" t="s">
        <v>22</v>
      </c>
      <c r="I6" s="60" t="s">
        <v>21</v>
      </c>
      <c r="J6" s="60" t="s">
        <v>21</v>
      </c>
      <c r="K6" s="60" t="s">
        <v>21</v>
      </c>
      <c r="L6" s="60" t="s">
        <v>21</v>
      </c>
      <c r="M6" s="28" t="s">
        <v>22</v>
      </c>
      <c r="N6" s="28" t="s">
        <v>22</v>
      </c>
      <c r="O6" s="74" t="s">
        <v>23</v>
      </c>
      <c r="P6" s="74" t="s">
        <v>23</v>
      </c>
      <c r="Q6" s="74" t="s">
        <v>23</v>
      </c>
      <c r="R6" s="74" t="s">
        <v>23</v>
      </c>
      <c r="S6" s="28" t="s">
        <v>22</v>
      </c>
      <c r="T6" s="28" t="s">
        <v>22</v>
      </c>
      <c r="U6" s="60" t="s">
        <v>21</v>
      </c>
      <c r="V6" s="60" t="s">
        <v>21</v>
      </c>
      <c r="W6" s="60" t="s">
        <v>21</v>
      </c>
      <c r="X6" s="60" t="s">
        <v>21</v>
      </c>
      <c r="Y6" s="28" t="s">
        <v>22</v>
      </c>
      <c r="Z6" s="28" t="s">
        <v>22</v>
      </c>
      <c r="AA6" s="74" t="s">
        <v>23</v>
      </c>
      <c r="AB6" s="74" t="s">
        <v>23</v>
      </c>
      <c r="AC6" s="74" t="s">
        <v>23</v>
      </c>
      <c r="AD6" s="74" t="s">
        <v>23</v>
      </c>
      <c r="AE6" s="28" t="s">
        <v>22</v>
      </c>
      <c r="AF6" s="28" t="s">
        <v>22</v>
      </c>
      <c r="AG6" s="60" t="s">
        <v>21</v>
      </c>
      <c r="AH6" s="60" t="s">
        <v>21</v>
      </c>
      <c r="AI6" s="60" t="s">
        <v>21</v>
      </c>
      <c r="AJ6" s="19"/>
      <c r="AK6" s="20"/>
      <c r="AL6" s="21">
        <f t="shared" si="0"/>
        <v>0</v>
      </c>
      <c r="AM6" s="20">
        <f t="shared" si="1"/>
        <v>0</v>
      </c>
      <c r="AN6" s="19"/>
      <c r="AO6" s="20"/>
      <c r="AP6" s="21">
        <f t="shared" si="2"/>
        <v>0</v>
      </c>
      <c r="AQ6" s="20">
        <f t="shared" si="3"/>
        <v>0</v>
      </c>
      <c r="AR6" s="19"/>
      <c r="AS6" s="21">
        <f t="shared" si="4"/>
        <v>21</v>
      </c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</row>
    <row r="7" spans="2:60" ht="15" customHeight="1">
      <c r="B7" s="288"/>
      <c r="C7" s="20" t="s">
        <v>27</v>
      </c>
      <c r="D7" s="20" t="s">
        <v>28</v>
      </c>
      <c r="E7" s="28" t="s">
        <v>22</v>
      </c>
      <c r="F7" s="74" t="s">
        <v>23</v>
      </c>
      <c r="G7" s="74" t="s">
        <v>23</v>
      </c>
      <c r="H7" s="74" t="s">
        <v>23</v>
      </c>
      <c r="I7" s="74" t="s">
        <v>23</v>
      </c>
      <c r="J7" s="28" t="s">
        <v>22</v>
      </c>
      <c r="K7" s="28" t="s">
        <v>22</v>
      </c>
      <c r="L7" s="60" t="s">
        <v>21</v>
      </c>
      <c r="M7" s="60" t="s">
        <v>21</v>
      </c>
      <c r="N7" s="60" t="s">
        <v>21</v>
      </c>
      <c r="O7" s="60" t="s">
        <v>21</v>
      </c>
      <c r="P7" s="28" t="s">
        <v>22</v>
      </c>
      <c r="Q7" s="28" t="s">
        <v>22</v>
      </c>
      <c r="R7" s="74" t="s">
        <v>23</v>
      </c>
      <c r="S7" s="74" t="s">
        <v>23</v>
      </c>
      <c r="T7" s="74" t="s">
        <v>23</v>
      </c>
      <c r="U7" s="74" t="s">
        <v>23</v>
      </c>
      <c r="V7" s="28" t="s">
        <v>22</v>
      </c>
      <c r="W7" s="28" t="s">
        <v>22</v>
      </c>
      <c r="X7" s="60" t="s">
        <v>21</v>
      </c>
      <c r="Y7" s="60" t="s">
        <v>21</v>
      </c>
      <c r="Z7" s="60" t="s">
        <v>21</v>
      </c>
      <c r="AA7" s="60" t="s">
        <v>21</v>
      </c>
      <c r="AB7" s="28" t="s">
        <v>22</v>
      </c>
      <c r="AC7" s="28" t="s">
        <v>22</v>
      </c>
      <c r="AD7" s="74" t="s">
        <v>23</v>
      </c>
      <c r="AE7" s="74" t="s">
        <v>23</v>
      </c>
      <c r="AF7" s="74" t="s">
        <v>23</v>
      </c>
      <c r="AG7" s="74" t="s">
        <v>23</v>
      </c>
      <c r="AH7" s="28" t="s">
        <v>22</v>
      </c>
      <c r="AI7" s="28" t="s">
        <v>22</v>
      </c>
      <c r="AJ7" s="19"/>
      <c r="AK7" s="20"/>
      <c r="AL7" s="21">
        <f t="shared" si="0"/>
        <v>0</v>
      </c>
      <c r="AM7" s="20">
        <f t="shared" si="1"/>
        <v>0</v>
      </c>
      <c r="AN7" s="19"/>
      <c r="AO7" s="26"/>
      <c r="AP7" s="21">
        <f t="shared" si="2"/>
        <v>0</v>
      </c>
      <c r="AQ7" s="44">
        <f t="shared" si="3"/>
        <v>0</v>
      </c>
      <c r="AR7" s="19"/>
      <c r="AS7" s="21">
        <f t="shared" si="4"/>
        <v>20</v>
      </c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</row>
    <row r="8" spans="2:60" ht="15" customHeight="1">
      <c r="B8" s="288"/>
      <c r="C8" s="22" t="s">
        <v>31</v>
      </c>
      <c r="D8" s="20" t="s">
        <v>32</v>
      </c>
      <c r="E8" s="60" t="s">
        <v>21</v>
      </c>
      <c r="F8" s="28" t="s">
        <v>22</v>
      </c>
      <c r="G8" s="28" t="s">
        <v>22</v>
      </c>
      <c r="H8" s="74" t="s">
        <v>23</v>
      </c>
      <c r="I8" s="74" t="s">
        <v>23</v>
      </c>
      <c r="J8" s="74" t="s">
        <v>23</v>
      </c>
      <c r="K8" s="74" t="s">
        <v>23</v>
      </c>
      <c r="L8" s="28" t="s">
        <v>22</v>
      </c>
      <c r="M8" s="28" t="s">
        <v>22</v>
      </c>
      <c r="N8" s="60" t="s">
        <v>21</v>
      </c>
      <c r="O8" s="60" t="s">
        <v>21</v>
      </c>
      <c r="P8" s="60" t="s">
        <v>21</v>
      </c>
      <c r="Q8" s="60" t="s">
        <v>21</v>
      </c>
      <c r="R8" s="28" t="s">
        <v>22</v>
      </c>
      <c r="S8" s="28" t="s">
        <v>22</v>
      </c>
      <c r="T8" s="74" t="s">
        <v>23</v>
      </c>
      <c r="U8" s="74" t="s">
        <v>23</v>
      </c>
      <c r="V8" s="74" t="s">
        <v>23</v>
      </c>
      <c r="W8" s="74" t="s">
        <v>23</v>
      </c>
      <c r="X8" s="28" t="s">
        <v>22</v>
      </c>
      <c r="Y8" s="28" t="s">
        <v>22</v>
      </c>
      <c r="Z8" s="60" t="s">
        <v>21</v>
      </c>
      <c r="AA8" s="60" t="s">
        <v>21</v>
      </c>
      <c r="AB8" s="60" t="s">
        <v>21</v>
      </c>
      <c r="AC8" s="60" t="s">
        <v>21</v>
      </c>
      <c r="AD8" s="28" t="s">
        <v>22</v>
      </c>
      <c r="AE8" s="28" t="s">
        <v>22</v>
      </c>
      <c r="AF8" s="74" t="s">
        <v>23</v>
      </c>
      <c r="AG8" s="74" t="s">
        <v>23</v>
      </c>
      <c r="AH8" s="74" t="s">
        <v>23</v>
      </c>
      <c r="AI8" s="74" t="s">
        <v>23</v>
      </c>
      <c r="AJ8" s="19"/>
      <c r="AK8" s="20"/>
      <c r="AL8" s="21">
        <f t="shared" si="0"/>
        <v>0</v>
      </c>
      <c r="AM8" s="20">
        <f t="shared" si="1"/>
        <v>0</v>
      </c>
      <c r="AN8" s="19"/>
      <c r="AO8" s="20"/>
      <c r="AP8" s="21">
        <f t="shared" si="2"/>
        <v>0</v>
      </c>
      <c r="AQ8" s="20">
        <f t="shared" si="3"/>
        <v>0</v>
      </c>
      <c r="AR8" s="19"/>
      <c r="AS8" s="21">
        <f t="shared" si="4"/>
        <v>21</v>
      </c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</row>
    <row r="9" spans="2:60" ht="15" customHeight="1">
      <c r="B9" s="288"/>
      <c r="C9" s="20" t="s">
        <v>34</v>
      </c>
      <c r="D9" s="20" t="s">
        <v>35</v>
      </c>
      <c r="E9" s="74" t="s">
        <v>23</v>
      </c>
      <c r="F9" s="74" t="s">
        <v>23</v>
      </c>
      <c r="G9" s="74" t="s">
        <v>23</v>
      </c>
      <c r="H9" s="28" t="s">
        <v>22</v>
      </c>
      <c r="I9" s="28" t="s">
        <v>22</v>
      </c>
      <c r="J9" s="60" t="s">
        <v>21</v>
      </c>
      <c r="K9" s="60" t="s">
        <v>21</v>
      </c>
      <c r="L9" s="60" t="s">
        <v>21</v>
      </c>
      <c r="M9" s="60" t="s">
        <v>21</v>
      </c>
      <c r="N9" s="28" t="s">
        <v>22</v>
      </c>
      <c r="O9" s="28" t="s">
        <v>22</v>
      </c>
      <c r="P9" s="74" t="s">
        <v>23</v>
      </c>
      <c r="Q9" s="74" t="s">
        <v>23</v>
      </c>
      <c r="R9" s="74" t="s">
        <v>23</v>
      </c>
      <c r="S9" s="74" t="s">
        <v>23</v>
      </c>
      <c r="T9" s="28" t="s">
        <v>22</v>
      </c>
      <c r="U9" s="28" t="s">
        <v>22</v>
      </c>
      <c r="V9" s="60" t="s">
        <v>21</v>
      </c>
      <c r="W9" s="60" t="s">
        <v>21</v>
      </c>
      <c r="X9" s="60" t="s">
        <v>21</v>
      </c>
      <c r="Y9" s="60" t="s">
        <v>21</v>
      </c>
      <c r="Z9" s="28" t="s">
        <v>22</v>
      </c>
      <c r="AA9" s="28" t="s">
        <v>22</v>
      </c>
      <c r="AB9" s="74" t="s">
        <v>23</v>
      </c>
      <c r="AC9" s="74" t="s">
        <v>23</v>
      </c>
      <c r="AD9" s="74" t="s">
        <v>23</v>
      </c>
      <c r="AE9" s="74" t="s">
        <v>23</v>
      </c>
      <c r="AF9" s="28" t="s">
        <v>22</v>
      </c>
      <c r="AG9" s="28" t="s">
        <v>22</v>
      </c>
      <c r="AH9" s="60" t="s">
        <v>21</v>
      </c>
      <c r="AI9" s="60" t="s">
        <v>21</v>
      </c>
      <c r="AJ9" s="19"/>
      <c r="AK9" s="20"/>
      <c r="AL9" s="21">
        <f t="shared" si="0"/>
        <v>0</v>
      </c>
      <c r="AM9" s="20">
        <f t="shared" si="1"/>
        <v>0</v>
      </c>
      <c r="AN9" s="19"/>
      <c r="AO9" s="20"/>
      <c r="AP9" s="21">
        <f t="shared" si="2"/>
        <v>0</v>
      </c>
      <c r="AQ9" s="20">
        <f t="shared" si="3"/>
        <v>0</v>
      </c>
      <c r="AR9" s="19"/>
      <c r="AS9" s="21">
        <f t="shared" si="4"/>
        <v>21</v>
      </c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</row>
    <row r="10" spans="2:60" ht="15" customHeight="1">
      <c r="B10" s="288"/>
      <c r="C10" s="22" t="s">
        <v>37</v>
      </c>
      <c r="D10" s="20" t="s">
        <v>38</v>
      </c>
      <c r="E10" s="74" t="s">
        <v>23</v>
      </c>
      <c r="F10" s="28" t="s">
        <v>22</v>
      </c>
      <c r="G10" s="28" t="s">
        <v>22</v>
      </c>
      <c r="H10" s="60" t="s">
        <v>21</v>
      </c>
      <c r="I10" s="60" t="s">
        <v>21</v>
      </c>
      <c r="J10" s="60" t="s">
        <v>21</v>
      </c>
      <c r="K10" s="60" t="s">
        <v>21</v>
      </c>
      <c r="L10" s="28" t="s">
        <v>22</v>
      </c>
      <c r="M10" s="28" t="s">
        <v>22</v>
      </c>
      <c r="N10" s="74" t="s">
        <v>23</v>
      </c>
      <c r="O10" s="74" t="s">
        <v>23</v>
      </c>
      <c r="P10" s="74" t="s">
        <v>23</v>
      </c>
      <c r="Q10" s="74" t="s">
        <v>23</v>
      </c>
      <c r="R10" s="28" t="s">
        <v>22</v>
      </c>
      <c r="S10" s="28" t="s">
        <v>22</v>
      </c>
      <c r="T10" s="60" t="s">
        <v>21</v>
      </c>
      <c r="U10" s="60" t="s">
        <v>21</v>
      </c>
      <c r="V10" s="60" t="s">
        <v>21</v>
      </c>
      <c r="W10" s="60" t="s">
        <v>21</v>
      </c>
      <c r="X10" s="28" t="s">
        <v>22</v>
      </c>
      <c r="Y10" s="28" t="s">
        <v>22</v>
      </c>
      <c r="Z10" s="74" t="s">
        <v>23</v>
      </c>
      <c r="AA10" s="74" t="s">
        <v>23</v>
      </c>
      <c r="AB10" s="74" t="s">
        <v>23</v>
      </c>
      <c r="AC10" s="74" t="s">
        <v>23</v>
      </c>
      <c r="AD10" s="28" t="s">
        <v>22</v>
      </c>
      <c r="AE10" s="28" t="s">
        <v>22</v>
      </c>
      <c r="AF10" s="60" t="s">
        <v>21</v>
      </c>
      <c r="AG10" s="60" t="s">
        <v>21</v>
      </c>
      <c r="AH10" s="60" t="s">
        <v>21</v>
      </c>
      <c r="AI10" s="60" t="s">
        <v>21</v>
      </c>
      <c r="AJ10" s="19"/>
      <c r="AK10" s="20"/>
      <c r="AL10" s="21">
        <f t="shared" si="0"/>
        <v>0</v>
      </c>
      <c r="AM10" s="20">
        <f t="shared" si="1"/>
        <v>0</v>
      </c>
      <c r="AN10" s="19"/>
      <c r="AO10" s="20"/>
      <c r="AP10" s="21">
        <f t="shared" si="2"/>
        <v>0</v>
      </c>
      <c r="AQ10" s="20">
        <f t="shared" si="3"/>
        <v>0</v>
      </c>
      <c r="AR10" s="19"/>
      <c r="AS10" s="21">
        <f t="shared" si="4"/>
        <v>21</v>
      </c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</row>
    <row r="11" spans="2:60" ht="15" customHeight="1">
      <c r="B11" s="288"/>
      <c r="C11" s="20" t="s">
        <v>39</v>
      </c>
      <c r="D11" s="20" t="s">
        <v>40</v>
      </c>
      <c r="E11" s="60" t="s">
        <v>21</v>
      </c>
      <c r="F11" s="60" t="s">
        <v>21</v>
      </c>
      <c r="G11" s="60" t="s">
        <v>21</v>
      </c>
      <c r="H11" s="28" t="s">
        <v>22</v>
      </c>
      <c r="I11" s="28" t="s">
        <v>22</v>
      </c>
      <c r="J11" s="74" t="s">
        <v>23</v>
      </c>
      <c r="K11" s="74" t="s">
        <v>23</v>
      </c>
      <c r="L11" s="74" t="s">
        <v>23</v>
      </c>
      <c r="M11" s="74" t="s">
        <v>23</v>
      </c>
      <c r="N11" s="28" t="s">
        <v>22</v>
      </c>
      <c r="O11" s="28" t="s">
        <v>22</v>
      </c>
      <c r="P11" s="60" t="s">
        <v>21</v>
      </c>
      <c r="Q11" s="60" t="s">
        <v>21</v>
      </c>
      <c r="R11" s="60" t="s">
        <v>21</v>
      </c>
      <c r="S11" s="60" t="s">
        <v>21</v>
      </c>
      <c r="T11" s="28" t="s">
        <v>22</v>
      </c>
      <c r="U11" s="28" t="s">
        <v>22</v>
      </c>
      <c r="V11" s="74" t="s">
        <v>23</v>
      </c>
      <c r="W11" s="74" t="s">
        <v>23</v>
      </c>
      <c r="X11" s="74" t="s">
        <v>23</v>
      </c>
      <c r="Y11" s="74" t="s">
        <v>23</v>
      </c>
      <c r="Z11" s="28" t="s">
        <v>22</v>
      </c>
      <c r="AA11" s="28" t="s">
        <v>22</v>
      </c>
      <c r="AB11" s="60" t="s">
        <v>21</v>
      </c>
      <c r="AC11" s="60" t="s">
        <v>21</v>
      </c>
      <c r="AD11" s="60" t="s">
        <v>21</v>
      </c>
      <c r="AE11" s="60" t="s">
        <v>21</v>
      </c>
      <c r="AF11" s="28" t="s">
        <v>22</v>
      </c>
      <c r="AG11" s="28" t="s">
        <v>22</v>
      </c>
      <c r="AH11" s="74" t="s">
        <v>23</v>
      </c>
      <c r="AI11" s="74" t="s">
        <v>23</v>
      </c>
      <c r="AJ11" s="19"/>
      <c r="AK11" s="20"/>
      <c r="AL11" s="21">
        <f t="shared" si="0"/>
        <v>0</v>
      </c>
      <c r="AM11" s="20">
        <f t="shared" si="1"/>
        <v>0</v>
      </c>
      <c r="AN11" s="19"/>
      <c r="AO11" s="20"/>
      <c r="AP11" s="21">
        <f t="shared" si="2"/>
        <v>0</v>
      </c>
      <c r="AQ11" s="20">
        <f t="shared" si="3"/>
        <v>0</v>
      </c>
      <c r="AR11" s="19"/>
      <c r="AS11" s="21">
        <f t="shared" si="4"/>
        <v>21</v>
      </c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</row>
    <row r="12" spans="2:60" ht="15" customHeight="1">
      <c r="B12" s="288"/>
      <c r="C12" s="108" t="s">
        <v>43</v>
      </c>
      <c r="D12" s="109" t="s">
        <v>44</v>
      </c>
      <c r="E12" s="110" t="s">
        <v>22</v>
      </c>
      <c r="F12" s="111" t="s">
        <v>21</v>
      </c>
      <c r="G12" s="111" t="s">
        <v>21</v>
      </c>
      <c r="H12" s="111" t="s">
        <v>21</v>
      </c>
      <c r="I12" s="111" t="s">
        <v>21</v>
      </c>
      <c r="J12" s="110" t="s">
        <v>22</v>
      </c>
      <c r="K12" s="110" t="s">
        <v>22</v>
      </c>
      <c r="L12" s="112" t="s">
        <v>23</v>
      </c>
      <c r="M12" s="112" t="s">
        <v>23</v>
      </c>
      <c r="N12" s="112" t="s">
        <v>23</v>
      </c>
      <c r="O12" s="112" t="s">
        <v>23</v>
      </c>
      <c r="P12" s="110" t="s">
        <v>22</v>
      </c>
      <c r="Q12" s="110" t="s">
        <v>22</v>
      </c>
      <c r="R12" s="111" t="s">
        <v>21</v>
      </c>
      <c r="S12" s="111" t="s">
        <v>21</v>
      </c>
      <c r="T12" s="111" t="s">
        <v>21</v>
      </c>
      <c r="U12" s="111" t="s">
        <v>21</v>
      </c>
      <c r="V12" s="110" t="s">
        <v>22</v>
      </c>
      <c r="W12" s="110" t="s">
        <v>22</v>
      </c>
      <c r="X12" s="112" t="s">
        <v>23</v>
      </c>
      <c r="Y12" s="112" t="s">
        <v>23</v>
      </c>
      <c r="Z12" s="112" t="s">
        <v>23</v>
      </c>
      <c r="AA12" s="112" t="s">
        <v>23</v>
      </c>
      <c r="AB12" s="110" t="s">
        <v>22</v>
      </c>
      <c r="AC12" s="110" t="s">
        <v>22</v>
      </c>
      <c r="AD12" s="111" t="s">
        <v>21</v>
      </c>
      <c r="AE12" s="111" t="s">
        <v>21</v>
      </c>
      <c r="AF12" s="111" t="s">
        <v>21</v>
      </c>
      <c r="AG12" s="111" t="s">
        <v>21</v>
      </c>
      <c r="AH12" s="110" t="s">
        <v>22</v>
      </c>
      <c r="AI12" s="110" t="s">
        <v>22</v>
      </c>
      <c r="AJ12" s="19"/>
      <c r="AK12" s="20"/>
      <c r="AL12" s="21">
        <f t="shared" si="0"/>
        <v>0</v>
      </c>
      <c r="AM12" s="20">
        <f t="shared" si="1"/>
        <v>0</v>
      </c>
      <c r="AN12" s="19"/>
      <c r="AO12" s="20"/>
      <c r="AP12" s="21">
        <f t="shared" si="2"/>
        <v>0</v>
      </c>
      <c r="AQ12" s="20">
        <f t="shared" si="3"/>
        <v>0</v>
      </c>
      <c r="AR12" s="19"/>
      <c r="AS12" s="21">
        <f t="shared" si="4"/>
        <v>20</v>
      </c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</row>
    <row r="13" spans="2:60">
      <c r="B13" s="280" t="s">
        <v>45</v>
      </c>
      <c r="C13" s="88" t="s">
        <v>46</v>
      </c>
      <c r="D13" s="88" t="s">
        <v>47</v>
      </c>
      <c r="E13" s="104" t="s">
        <v>21</v>
      </c>
      <c r="F13" s="104" t="s">
        <v>21</v>
      </c>
      <c r="G13" s="104" t="s">
        <v>21</v>
      </c>
      <c r="H13" s="103" t="s">
        <v>22</v>
      </c>
      <c r="I13" s="103" t="s">
        <v>22</v>
      </c>
      <c r="J13" s="104" t="s">
        <v>21</v>
      </c>
      <c r="K13" s="104" t="s">
        <v>21</v>
      </c>
      <c r="L13" s="104" t="s">
        <v>21</v>
      </c>
      <c r="M13" s="104" t="s">
        <v>21</v>
      </c>
      <c r="N13" s="103" t="s">
        <v>22</v>
      </c>
      <c r="O13" s="103" t="s">
        <v>22</v>
      </c>
      <c r="P13" s="115" t="s">
        <v>29</v>
      </c>
      <c r="Q13" s="115" t="s">
        <v>29</v>
      </c>
      <c r="R13" s="115" t="s">
        <v>29</v>
      </c>
      <c r="S13" s="115" t="s">
        <v>29</v>
      </c>
      <c r="T13" s="103" t="s">
        <v>22</v>
      </c>
      <c r="U13" s="103" t="s">
        <v>22</v>
      </c>
      <c r="V13" s="102" t="s">
        <v>23</v>
      </c>
      <c r="W13" s="102" t="s">
        <v>23</v>
      </c>
      <c r="X13" s="102" t="s">
        <v>23</v>
      </c>
      <c r="Y13" s="102" t="s">
        <v>23</v>
      </c>
      <c r="Z13" s="103" t="s">
        <v>22</v>
      </c>
      <c r="AA13" s="103" t="s">
        <v>22</v>
      </c>
      <c r="AB13" s="104" t="s">
        <v>21</v>
      </c>
      <c r="AC13" s="104" t="s">
        <v>21</v>
      </c>
      <c r="AD13" s="104" t="s">
        <v>21</v>
      </c>
      <c r="AE13" s="104" t="s">
        <v>21</v>
      </c>
      <c r="AF13" s="103" t="s">
        <v>22</v>
      </c>
      <c r="AG13" s="103" t="s">
        <v>22</v>
      </c>
      <c r="AH13" s="102" t="s">
        <v>23</v>
      </c>
      <c r="AI13" s="105" t="s">
        <v>23</v>
      </c>
      <c r="AJ13" s="19"/>
      <c r="AK13" s="20"/>
      <c r="AL13" s="21">
        <f t="shared" si="0"/>
        <v>0</v>
      </c>
      <c r="AM13" s="20">
        <f t="shared" si="1"/>
        <v>0</v>
      </c>
      <c r="AN13" s="19"/>
      <c r="AO13" s="20"/>
      <c r="AP13" s="21">
        <f t="shared" si="2"/>
        <v>0</v>
      </c>
      <c r="AQ13" s="20">
        <f t="shared" si="3"/>
        <v>0</v>
      </c>
      <c r="AR13" s="19"/>
      <c r="AS13" s="21">
        <f t="shared" si="4"/>
        <v>21</v>
      </c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</row>
    <row r="14" spans="2:60">
      <c r="B14" s="276"/>
      <c r="C14" s="22" t="s">
        <v>48</v>
      </c>
      <c r="D14" s="20" t="s">
        <v>49</v>
      </c>
      <c r="E14" s="74" t="s">
        <v>23</v>
      </c>
      <c r="F14" s="28" t="s">
        <v>22</v>
      </c>
      <c r="G14" s="28" t="s">
        <v>22</v>
      </c>
      <c r="H14" s="60" t="s">
        <v>21</v>
      </c>
      <c r="I14" s="60" t="s">
        <v>21</v>
      </c>
      <c r="J14" s="60" t="s">
        <v>21</v>
      </c>
      <c r="K14" s="60" t="s">
        <v>21</v>
      </c>
      <c r="L14" s="28" t="s">
        <v>22</v>
      </c>
      <c r="M14" s="28" t="s">
        <v>22</v>
      </c>
      <c r="N14" s="60" t="s">
        <v>21</v>
      </c>
      <c r="O14" s="60" t="s">
        <v>21</v>
      </c>
      <c r="P14" s="60" t="s">
        <v>21</v>
      </c>
      <c r="Q14" s="60" t="s">
        <v>21</v>
      </c>
      <c r="R14" s="28" t="s">
        <v>22</v>
      </c>
      <c r="S14" s="28" t="s">
        <v>22</v>
      </c>
      <c r="T14" s="78" t="s">
        <v>29</v>
      </c>
      <c r="U14" s="78" t="s">
        <v>29</v>
      </c>
      <c r="V14" s="78" t="s">
        <v>29</v>
      </c>
      <c r="W14" s="78" t="s">
        <v>29</v>
      </c>
      <c r="X14" s="28" t="s">
        <v>22</v>
      </c>
      <c r="Y14" s="28" t="s">
        <v>22</v>
      </c>
      <c r="Z14" s="74" t="s">
        <v>23</v>
      </c>
      <c r="AA14" s="74" t="s">
        <v>23</v>
      </c>
      <c r="AB14" s="74" t="s">
        <v>23</v>
      </c>
      <c r="AC14" s="74" t="s">
        <v>23</v>
      </c>
      <c r="AD14" s="28" t="s">
        <v>22</v>
      </c>
      <c r="AE14" s="28" t="s">
        <v>22</v>
      </c>
      <c r="AF14" s="60" t="s">
        <v>21</v>
      </c>
      <c r="AG14" s="60" t="s">
        <v>21</v>
      </c>
      <c r="AH14" s="60" t="s">
        <v>21</v>
      </c>
      <c r="AI14" s="90" t="s">
        <v>21</v>
      </c>
      <c r="AJ14" s="19"/>
      <c r="AK14" s="20"/>
      <c r="AL14" s="21">
        <f t="shared" si="0"/>
        <v>0</v>
      </c>
      <c r="AM14" s="20">
        <f t="shared" si="1"/>
        <v>0</v>
      </c>
      <c r="AN14" s="19"/>
      <c r="AO14" s="20"/>
      <c r="AP14" s="21">
        <f t="shared" si="2"/>
        <v>0</v>
      </c>
      <c r="AQ14" s="20">
        <f t="shared" si="3"/>
        <v>0</v>
      </c>
      <c r="AR14" s="19"/>
      <c r="AS14" s="21">
        <f t="shared" si="4"/>
        <v>21</v>
      </c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</row>
    <row r="15" spans="2:60">
      <c r="B15" s="276"/>
      <c r="C15" s="20" t="s">
        <v>50</v>
      </c>
      <c r="D15" s="20" t="s">
        <v>51</v>
      </c>
      <c r="E15" s="28" t="s">
        <v>22</v>
      </c>
      <c r="F15" s="74" t="s">
        <v>23</v>
      </c>
      <c r="G15" s="74" t="s">
        <v>23</v>
      </c>
      <c r="H15" s="74" t="s">
        <v>23</v>
      </c>
      <c r="I15" s="74" t="s">
        <v>23</v>
      </c>
      <c r="J15" s="28" t="s">
        <v>22</v>
      </c>
      <c r="K15" s="28" t="s">
        <v>22</v>
      </c>
      <c r="L15" s="60" t="s">
        <v>21</v>
      </c>
      <c r="M15" s="60" t="s">
        <v>21</v>
      </c>
      <c r="N15" s="60" t="s">
        <v>21</v>
      </c>
      <c r="O15" s="60" t="s">
        <v>21</v>
      </c>
      <c r="P15" s="28" t="s">
        <v>22</v>
      </c>
      <c r="Q15" s="28" t="s">
        <v>22</v>
      </c>
      <c r="R15" s="60" t="s">
        <v>21</v>
      </c>
      <c r="S15" s="60" t="s">
        <v>21</v>
      </c>
      <c r="T15" s="60" t="s">
        <v>21</v>
      </c>
      <c r="U15" s="60" t="s">
        <v>21</v>
      </c>
      <c r="V15" s="28" t="s">
        <v>22</v>
      </c>
      <c r="W15" s="28" t="s">
        <v>22</v>
      </c>
      <c r="X15" s="78" t="s">
        <v>29</v>
      </c>
      <c r="Y15" s="78" t="s">
        <v>29</v>
      </c>
      <c r="Z15" s="78" t="s">
        <v>29</v>
      </c>
      <c r="AA15" s="78" t="s">
        <v>29</v>
      </c>
      <c r="AB15" s="28" t="s">
        <v>22</v>
      </c>
      <c r="AC15" s="28" t="s">
        <v>22</v>
      </c>
      <c r="AD15" s="74" t="s">
        <v>23</v>
      </c>
      <c r="AE15" s="74" t="s">
        <v>23</v>
      </c>
      <c r="AF15" s="74" t="s">
        <v>23</v>
      </c>
      <c r="AG15" s="74" t="s">
        <v>23</v>
      </c>
      <c r="AH15" s="28" t="s">
        <v>22</v>
      </c>
      <c r="AI15" s="91" t="s">
        <v>22</v>
      </c>
      <c r="AJ15" s="19"/>
      <c r="AK15" s="20"/>
      <c r="AL15" s="21">
        <f t="shared" si="0"/>
        <v>0</v>
      </c>
      <c r="AM15" s="20">
        <f t="shared" si="1"/>
        <v>0</v>
      </c>
      <c r="AN15" s="19"/>
      <c r="AO15" s="20"/>
      <c r="AP15" s="21">
        <f t="shared" si="2"/>
        <v>0</v>
      </c>
      <c r="AQ15" s="20">
        <f t="shared" si="3"/>
        <v>0</v>
      </c>
      <c r="AR15" s="19"/>
      <c r="AS15" s="21">
        <f t="shared" si="4"/>
        <v>20</v>
      </c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</row>
    <row r="16" spans="2:60">
      <c r="B16" s="276"/>
      <c r="C16" s="22" t="s">
        <v>52</v>
      </c>
      <c r="D16" s="20" t="s">
        <v>53</v>
      </c>
      <c r="E16" s="60" t="s">
        <v>21</v>
      </c>
      <c r="F16" s="60" t="s">
        <v>21</v>
      </c>
      <c r="G16" s="60" t="s">
        <v>21</v>
      </c>
      <c r="H16" s="28" t="s">
        <v>22</v>
      </c>
      <c r="I16" s="28" t="s">
        <v>22</v>
      </c>
      <c r="J16" s="74" t="s">
        <v>23</v>
      </c>
      <c r="K16" s="74" t="s">
        <v>23</v>
      </c>
      <c r="L16" s="74" t="s">
        <v>23</v>
      </c>
      <c r="M16" s="74" t="s">
        <v>23</v>
      </c>
      <c r="N16" s="28" t="s">
        <v>22</v>
      </c>
      <c r="O16" s="28" t="s">
        <v>22</v>
      </c>
      <c r="P16" s="60" t="s">
        <v>21</v>
      </c>
      <c r="Q16" s="60" t="s">
        <v>21</v>
      </c>
      <c r="R16" s="60" t="s">
        <v>21</v>
      </c>
      <c r="S16" s="60" t="s">
        <v>21</v>
      </c>
      <c r="T16" s="28" t="s">
        <v>22</v>
      </c>
      <c r="U16" s="28" t="s">
        <v>22</v>
      </c>
      <c r="V16" s="60" t="s">
        <v>21</v>
      </c>
      <c r="W16" s="60" t="s">
        <v>21</v>
      </c>
      <c r="X16" s="60" t="s">
        <v>21</v>
      </c>
      <c r="Y16" s="60" t="s">
        <v>21</v>
      </c>
      <c r="Z16" s="28" t="s">
        <v>22</v>
      </c>
      <c r="AA16" s="28" t="s">
        <v>22</v>
      </c>
      <c r="AB16" s="78" t="s">
        <v>29</v>
      </c>
      <c r="AC16" s="78" t="s">
        <v>29</v>
      </c>
      <c r="AD16" s="78" t="s">
        <v>29</v>
      </c>
      <c r="AE16" s="78" t="s">
        <v>29</v>
      </c>
      <c r="AF16" s="28" t="s">
        <v>22</v>
      </c>
      <c r="AG16" s="28" t="s">
        <v>22</v>
      </c>
      <c r="AH16" s="74" t="s">
        <v>23</v>
      </c>
      <c r="AI16" s="89" t="s">
        <v>23</v>
      </c>
      <c r="AJ16" s="19"/>
      <c r="AK16" s="20"/>
      <c r="AL16" s="21">
        <f t="shared" si="0"/>
        <v>0</v>
      </c>
      <c r="AM16" s="20">
        <f t="shared" si="1"/>
        <v>0</v>
      </c>
      <c r="AN16" s="19"/>
      <c r="AO16" s="20"/>
      <c r="AP16" s="21">
        <f t="shared" si="2"/>
        <v>0</v>
      </c>
      <c r="AQ16" s="20">
        <f t="shared" si="3"/>
        <v>0</v>
      </c>
      <c r="AR16" s="19"/>
      <c r="AS16" s="21">
        <f t="shared" si="4"/>
        <v>21</v>
      </c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</row>
    <row r="17" spans="2:60" ht="15" customHeight="1">
      <c r="B17" s="276"/>
      <c r="C17" s="22" t="s">
        <v>54</v>
      </c>
      <c r="D17" s="20" t="s">
        <v>55</v>
      </c>
      <c r="E17" s="74" t="s">
        <v>23</v>
      </c>
      <c r="F17" s="28" t="s">
        <v>22</v>
      </c>
      <c r="G17" s="28" t="s">
        <v>22</v>
      </c>
      <c r="H17" s="60" t="s">
        <v>21</v>
      </c>
      <c r="I17" s="60" t="s">
        <v>21</v>
      </c>
      <c r="J17" s="60" t="s">
        <v>21</v>
      </c>
      <c r="K17" s="60" t="s">
        <v>21</v>
      </c>
      <c r="L17" s="28" t="s">
        <v>22</v>
      </c>
      <c r="M17" s="28" t="s">
        <v>22</v>
      </c>
      <c r="N17" s="74" t="s">
        <v>23</v>
      </c>
      <c r="O17" s="74" t="s">
        <v>23</v>
      </c>
      <c r="P17" s="74" t="s">
        <v>23</v>
      </c>
      <c r="Q17" s="74" t="s">
        <v>23</v>
      </c>
      <c r="R17" s="28" t="s">
        <v>22</v>
      </c>
      <c r="S17" s="28" t="s">
        <v>22</v>
      </c>
      <c r="T17" s="60" t="s">
        <v>21</v>
      </c>
      <c r="U17" s="60" t="s">
        <v>21</v>
      </c>
      <c r="V17" s="60" t="s">
        <v>21</v>
      </c>
      <c r="W17" s="60" t="s">
        <v>21</v>
      </c>
      <c r="X17" s="28" t="s">
        <v>22</v>
      </c>
      <c r="Y17" s="28" t="s">
        <v>22</v>
      </c>
      <c r="Z17" s="60" t="s">
        <v>21</v>
      </c>
      <c r="AA17" s="60" t="s">
        <v>21</v>
      </c>
      <c r="AB17" s="60" t="s">
        <v>21</v>
      </c>
      <c r="AC17" s="60" t="s">
        <v>21</v>
      </c>
      <c r="AD17" s="28" t="s">
        <v>22</v>
      </c>
      <c r="AE17" s="28" t="s">
        <v>22</v>
      </c>
      <c r="AF17" s="78" t="s">
        <v>29</v>
      </c>
      <c r="AG17" s="78" t="s">
        <v>29</v>
      </c>
      <c r="AH17" s="78" t="s">
        <v>29</v>
      </c>
      <c r="AI17" s="107" t="s">
        <v>29</v>
      </c>
      <c r="AJ17" s="19"/>
      <c r="AK17" s="20"/>
      <c r="AL17" s="21">
        <f t="shared" si="0"/>
        <v>0</v>
      </c>
      <c r="AM17" s="20">
        <f t="shared" si="1"/>
        <v>0</v>
      </c>
      <c r="AN17" s="19"/>
      <c r="AO17" s="20"/>
      <c r="AP17" s="21">
        <f t="shared" si="2"/>
        <v>0</v>
      </c>
      <c r="AQ17" s="20">
        <f t="shared" si="3"/>
        <v>0</v>
      </c>
      <c r="AR17" s="19"/>
      <c r="AS17" s="21">
        <f t="shared" si="4"/>
        <v>21</v>
      </c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</row>
    <row r="18" spans="2:60">
      <c r="B18" s="276"/>
      <c r="C18" s="22" t="s">
        <v>56</v>
      </c>
      <c r="D18" s="20" t="s">
        <v>57</v>
      </c>
      <c r="E18" s="28" t="s">
        <v>22</v>
      </c>
      <c r="F18" s="60" t="s">
        <v>21</v>
      </c>
      <c r="G18" s="60" t="s">
        <v>21</v>
      </c>
      <c r="H18" s="60" t="s">
        <v>21</v>
      </c>
      <c r="I18" s="60" t="s">
        <v>21</v>
      </c>
      <c r="J18" s="28" t="s">
        <v>22</v>
      </c>
      <c r="K18" s="28" t="s">
        <v>22</v>
      </c>
      <c r="L18" s="60" t="s">
        <v>21</v>
      </c>
      <c r="M18" s="60" t="s">
        <v>21</v>
      </c>
      <c r="N18" s="60" t="s">
        <v>21</v>
      </c>
      <c r="O18" s="60" t="s">
        <v>21</v>
      </c>
      <c r="P18" s="28" t="s">
        <v>22</v>
      </c>
      <c r="Q18" s="28" t="s">
        <v>22</v>
      </c>
      <c r="R18" s="74" t="s">
        <v>23</v>
      </c>
      <c r="S18" s="74" t="s">
        <v>23</v>
      </c>
      <c r="T18" s="74" t="s">
        <v>23</v>
      </c>
      <c r="U18" s="74" t="s">
        <v>23</v>
      </c>
      <c r="V18" s="28" t="s">
        <v>22</v>
      </c>
      <c r="W18" s="28" t="s">
        <v>22</v>
      </c>
      <c r="X18" s="60" t="s">
        <v>21</v>
      </c>
      <c r="Y18" s="60" t="s">
        <v>21</v>
      </c>
      <c r="Z18" s="60" t="s">
        <v>21</v>
      </c>
      <c r="AA18" s="60" t="s">
        <v>21</v>
      </c>
      <c r="AB18" s="28" t="s">
        <v>22</v>
      </c>
      <c r="AC18" s="28" t="s">
        <v>22</v>
      </c>
      <c r="AD18" s="60" t="s">
        <v>21</v>
      </c>
      <c r="AE18" s="60" t="s">
        <v>21</v>
      </c>
      <c r="AF18" s="60" t="s">
        <v>21</v>
      </c>
      <c r="AG18" s="60" t="s">
        <v>21</v>
      </c>
      <c r="AH18" s="28" t="s">
        <v>22</v>
      </c>
      <c r="AI18" s="91" t="s">
        <v>22</v>
      </c>
      <c r="AJ18" s="19"/>
      <c r="AK18" s="20"/>
      <c r="AL18" s="21">
        <f t="shared" si="0"/>
        <v>0</v>
      </c>
      <c r="AM18" s="20">
        <f t="shared" si="1"/>
        <v>0</v>
      </c>
      <c r="AN18" s="19"/>
      <c r="AO18" s="20"/>
      <c r="AP18" s="21">
        <f t="shared" si="2"/>
        <v>0</v>
      </c>
      <c r="AQ18" s="20">
        <f t="shared" si="3"/>
        <v>0</v>
      </c>
      <c r="AR18" s="19"/>
      <c r="AS18" s="21">
        <f t="shared" si="4"/>
        <v>20</v>
      </c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</row>
    <row r="19" spans="2:60">
      <c r="B19" s="276"/>
      <c r="C19" s="20" t="s">
        <v>58</v>
      </c>
      <c r="D19" s="20" t="s">
        <v>59</v>
      </c>
      <c r="E19" s="60" t="s">
        <v>21</v>
      </c>
      <c r="F19" s="60" t="s">
        <v>21</v>
      </c>
      <c r="G19" s="60" t="s">
        <v>21</v>
      </c>
      <c r="H19" s="28" t="s">
        <v>22</v>
      </c>
      <c r="I19" s="28" t="s">
        <v>22</v>
      </c>
      <c r="J19" s="74" t="s">
        <v>23</v>
      </c>
      <c r="K19" s="74" t="s">
        <v>23</v>
      </c>
      <c r="L19" s="74" t="s">
        <v>23</v>
      </c>
      <c r="M19" s="74" t="s">
        <v>23</v>
      </c>
      <c r="N19" s="28" t="s">
        <v>22</v>
      </c>
      <c r="O19" s="28" t="s">
        <v>22</v>
      </c>
      <c r="P19" s="60" t="s">
        <v>21</v>
      </c>
      <c r="Q19" s="60" t="s">
        <v>21</v>
      </c>
      <c r="R19" s="60" t="s">
        <v>21</v>
      </c>
      <c r="S19" s="60" t="s">
        <v>21</v>
      </c>
      <c r="T19" s="28" t="s">
        <v>22</v>
      </c>
      <c r="U19" s="28" t="s">
        <v>22</v>
      </c>
      <c r="V19" s="74" t="s">
        <v>23</v>
      </c>
      <c r="W19" s="74" t="s">
        <v>23</v>
      </c>
      <c r="X19" s="74" t="s">
        <v>23</v>
      </c>
      <c r="Y19" s="74" t="s">
        <v>23</v>
      </c>
      <c r="Z19" s="28" t="s">
        <v>22</v>
      </c>
      <c r="AA19" s="28" t="s">
        <v>22</v>
      </c>
      <c r="AB19" s="60" t="s">
        <v>21</v>
      </c>
      <c r="AC19" s="60" t="s">
        <v>21</v>
      </c>
      <c r="AD19" s="60" t="s">
        <v>21</v>
      </c>
      <c r="AE19" s="60" t="s">
        <v>21</v>
      </c>
      <c r="AF19" s="28" t="s">
        <v>22</v>
      </c>
      <c r="AG19" s="28" t="s">
        <v>22</v>
      </c>
      <c r="AH19" s="60" t="s">
        <v>21</v>
      </c>
      <c r="AI19" s="90" t="s">
        <v>21</v>
      </c>
      <c r="AJ19" s="19"/>
      <c r="AK19" s="20"/>
      <c r="AL19" s="21">
        <f t="shared" si="0"/>
        <v>0</v>
      </c>
      <c r="AM19" s="20">
        <f t="shared" si="1"/>
        <v>0</v>
      </c>
      <c r="AN19" s="19"/>
      <c r="AO19" s="26"/>
      <c r="AP19" s="21">
        <f t="shared" si="2"/>
        <v>0</v>
      </c>
      <c r="AQ19" s="44">
        <f t="shared" si="3"/>
        <v>0</v>
      </c>
      <c r="AR19" s="19"/>
      <c r="AS19" s="21">
        <f t="shared" si="4"/>
        <v>21</v>
      </c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</row>
    <row r="20" spans="2:60">
      <c r="B20" s="276"/>
      <c r="C20" s="22" t="s">
        <v>60</v>
      </c>
      <c r="D20" s="20" t="s">
        <v>61</v>
      </c>
      <c r="E20" s="74" t="s">
        <v>23</v>
      </c>
      <c r="F20" s="28" t="s">
        <v>22</v>
      </c>
      <c r="G20" s="28" t="s">
        <v>22</v>
      </c>
      <c r="H20" s="60" t="s">
        <v>21</v>
      </c>
      <c r="I20" s="60" t="s">
        <v>21</v>
      </c>
      <c r="J20" s="60" t="s">
        <v>21</v>
      </c>
      <c r="K20" s="60" t="s">
        <v>21</v>
      </c>
      <c r="L20" s="28" t="s">
        <v>22</v>
      </c>
      <c r="M20" s="28" t="s">
        <v>22</v>
      </c>
      <c r="N20" s="74" t="s">
        <v>23</v>
      </c>
      <c r="O20" s="74" t="s">
        <v>23</v>
      </c>
      <c r="P20" s="74" t="s">
        <v>23</v>
      </c>
      <c r="Q20" s="74" t="s">
        <v>23</v>
      </c>
      <c r="R20" s="28" t="s">
        <v>22</v>
      </c>
      <c r="S20" s="28" t="s">
        <v>22</v>
      </c>
      <c r="T20" s="60" t="s">
        <v>21</v>
      </c>
      <c r="U20" s="60" t="s">
        <v>21</v>
      </c>
      <c r="V20" s="60" t="s">
        <v>21</v>
      </c>
      <c r="W20" s="60" t="s">
        <v>21</v>
      </c>
      <c r="X20" s="28" t="s">
        <v>22</v>
      </c>
      <c r="Y20" s="28" t="s">
        <v>22</v>
      </c>
      <c r="Z20" s="74" t="s">
        <v>23</v>
      </c>
      <c r="AA20" s="74" t="s">
        <v>23</v>
      </c>
      <c r="AB20" s="74" t="s">
        <v>23</v>
      </c>
      <c r="AC20" s="74" t="s">
        <v>23</v>
      </c>
      <c r="AD20" s="28" t="s">
        <v>22</v>
      </c>
      <c r="AE20" s="28" t="s">
        <v>22</v>
      </c>
      <c r="AF20" s="60" t="s">
        <v>21</v>
      </c>
      <c r="AG20" s="60" t="s">
        <v>21</v>
      </c>
      <c r="AH20" s="60" t="s">
        <v>21</v>
      </c>
      <c r="AI20" s="90" t="s">
        <v>21</v>
      </c>
      <c r="AJ20" s="19"/>
      <c r="AK20" s="20"/>
      <c r="AL20" s="21">
        <f t="shared" si="0"/>
        <v>0</v>
      </c>
      <c r="AM20" s="20">
        <f t="shared" si="1"/>
        <v>0</v>
      </c>
      <c r="AN20" s="19"/>
      <c r="AO20" s="20"/>
      <c r="AP20" s="21">
        <f t="shared" si="2"/>
        <v>0</v>
      </c>
      <c r="AQ20" s="20">
        <f t="shared" si="3"/>
        <v>0</v>
      </c>
      <c r="AR20" s="19"/>
      <c r="AS20" s="21">
        <f t="shared" si="4"/>
        <v>21</v>
      </c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</row>
    <row r="21" spans="2:60">
      <c r="B21" s="276"/>
      <c r="C21" s="20" t="s">
        <v>62</v>
      </c>
      <c r="D21" s="20" t="s">
        <v>63</v>
      </c>
      <c r="E21" s="28" t="s">
        <v>22</v>
      </c>
      <c r="F21" s="74" t="s">
        <v>23</v>
      </c>
      <c r="G21" s="74" t="s">
        <v>23</v>
      </c>
      <c r="H21" s="74" t="s">
        <v>23</v>
      </c>
      <c r="I21" s="74" t="s">
        <v>23</v>
      </c>
      <c r="J21" s="28" t="s">
        <v>22</v>
      </c>
      <c r="K21" s="28" t="s">
        <v>22</v>
      </c>
      <c r="L21" s="60" t="s">
        <v>21</v>
      </c>
      <c r="M21" s="60" t="s">
        <v>21</v>
      </c>
      <c r="N21" s="60" t="s">
        <v>21</v>
      </c>
      <c r="O21" s="60" t="s">
        <v>21</v>
      </c>
      <c r="P21" s="28" t="s">
        <v>22</v>
      </c>
      <c r="Q21" s="28" t="s">
        <v>22</v>
      </c>
      <c r="R21" s="74" t="s">
        <v>23</v>
      </c>
      <c r="S21" s="74" t="s">
        <v>23</v>
      </c>
      <c r="T21" s="74" t="s">
        <v>23</v>
      </c>
      <c r="U21" s="74" t="s">
        <v>23</v>
      </c>
      <c r="V21" s="28" t="s">
        <v>22</v>
      </c>
      <c r="W21" s="28" t="s">
        <v>22</v>
      </c>
      <c r="X21" s="60" t="s">
        <v>21</v>
      </c>
      <c r="Y21" s="60" t="s">
        <v>21</v>
      </c>
      <c r="Z21" s="60" t="s">
        <v>21</v>
      </c>
      <c r="AA21" s="60" t="s">
        <v>21</v>
      </c>
      <c r="AB21" s="28" t="s">
        <v>22</v>
      </c>
      <c r="AC21" s="28" t="s">
        <v>22</v>
      </c>
      <c r="AD21" s="74" t="s">
        <v>23</v>
      </c>
      <c r="AE21" s="74" t="s">
        <v>23</v>
      </c>
      <c r="AF21" s="74" t="s">
        <v>23</v>
      </c>
      <c r="AG21" s="74" t="s">
        <v>23</v>
      </c>
      <c r="AH21" s="28" t="s">
        <v>22</v>
      </c>
      <c r="AI21" s="91" t="s">
        <v>22</v>
      </c>
      <c r="AJ21" s="19"/>
      <c r="AK21" s="20"/>
      <c r="AL21" s="21">
        <f t="shared" si="0"/>
        <v>0</v>
      </c>
      <c r="AM21" s="20">
        <f t="shared" si="1"/>
        <v>0</v>
      </c>
      <c r="AN21" s="19"/>
      <c r="AO21" s="20"/>
      <c r="AP21" s="21">
        <f t="shared" si="2"/>
        <v>0</v>
      </c>
      <c r="AQ21" s="20">
        <f t="shared" si="3"/>
        <v>0</v>
      </c>
      <c r="AR21" s="19"/>
      <c r="AS21" s="21">
        <f t="shared" si="4"/>
        <v>20</v>
      </c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</row>
    <row r="22" spans="2:60">
      <c r="B22" s="276"/>
      <c r="C22" s="86" t="s">
        <v>64</v>
      </c>
      <c r="D22" s="87" t="s">
        <v>65</v>
      </c>
      <c r="E22" s="78" t="s">
        <v>29</v>
      </c>
      <c r="F22" s="78" t="s">
        <v>29</v>
      </c>
      <c r="G22" s="78" t="s">
        <v>29</v>
      </c>
      <c r="H22" s="28" t="s">
        <v>22</v>
      </c>
      <c r="I22" s="28" t="s">
        <v>22</v>
      </c>
      <c r="J22" s="74" t="s">
        <v>23</v>
      </c>
      <c r="K22" s="74" t="s">
        <v>23</v>
      </c>
      <c r="L22" s="74" t="s">
        <v>23</v>
      </c>
      <c r="M22" s="74" t="s">
        <v>23</v>
      </c>
      <c r="N22" s="28" t="s">
        <v>22</v>
      </c>
      <c r="O22" s="28" t="s">
        <v>22</v>
      </c>
      <c r="P22" s="60" t="s">
        <v>21</v>
      </c>
      <c r="Q22" s="60" t="s">
        <v>21</v>
      </c>
      <c r="R22" s="60" t="s">
        <v>21</v>
      </c>
      <c r="S22" s="60" t="s">
        <v>21</v>
      </c>
      <c r="T22" s="28" t="s">
        <v>22</v>
      </c>
      <c r="U22" s="28" t="s">
        <v>22</v>
      </c>
      <c r="V22" s="74" t="s">
        <v>23</v>
      </c>
      <c r="W22" s="74" t="s">
        <v>23</v>
      </c>
      <c r="X22" s="74" t="s">
        <v>23</v>
      </c>
      <c r="Y22" s="74" t="s">
        <v>23</v>
      </c>
      <c r="Z22" s="28" t="s">
        <v>22</v>
      </c>
      <c r="AA22" s="28" t="s">
        <v>22</v>
      </c>
      <c r="AB22" s="60" t="s">
        <v>21</v>
      </c>
      <c r="AC22" s="60" t="s">
        <v>21</v>
      </c>
      <c r="AD22" s="60" t="s">
        <v>21</v>
      </c>
      <c r="AE22" s="60" t="s">
        <v>21</v>
      </c>
      <c r="AF22" s="28" t="s">
        <v>22</v>
      </c>
      <c r="AG22" s="28" t="s">
        <v>22</v>
      </c>
      <c r="AH22" s="74" t="s">
        <v>23</v>
      </c>
      <c r="AI22" s="89" t="s">
        <v>23</v>
      </c>
      <c r="AJ22" s="19"/>
      <c r="AK22" s="20"/>
      <c r="AL22" s="21">
        <f t="shared" si="0"/>
        <v>0</v>
      </c>
      <c r="AM22" s="20">
        <f t="shared" si="1"/>
        <v>0</v>
      </c>
      <c r="AN22" s="19"/>
      <c r="AO22" s="20"/>
      <c r="AP22" s="21">
        <f t="shared" si="2"/>
        <v>0</v>
      </c>
      <c r="AQ22" s="20">
        <f t="shared" si="3"/>
        <v>0</v>
      </c>
      <c r="AR22" s="19"/>
      <c r="AS22" s="21">
        <f t="shared" si="4"/>
        <v>21</v>
      </c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</row>
    <row r="23" spans="2:60" ht="15" customHeight="1">
      <c r="B23" s="276"/>
      <c r="C23" s="20" t="s">
        <v>68</v>
      </c>
      <c r="D23" s="20" t="s">
        <v>69</v>
      </c>
      <c r="E23" s="60" t="s">
        <v>21</v>
      </c>
      <c r="F23" s="28" t="s">
        <v>22</v>
      </c>
      <c r="G23" s="28" t="s">
        <v>22</v>
      </c>
      <c r="H23" s="78" t="s">
        <v>29</v>
      </c>
      <c r="I23" s="78" t="s">
        <v>29</v>
      </c>
      <c r="J23" s="78" t="s">
        <v>29</v>
      </c>
      <c r="K23" s="78" t="s">
        <v>29</v>
      </c>
      <c r="L23" s="28" t="s">
        <v>22</v>
      </c>
      <c r="M23" s="28" t="s">
        <v>22</v>
      </c>
      <c r="N23" s="74" t="s">
        <v>23</v>
      </c>
      <c r="O23" s="74" t="s">
        <v>23</v>
      </c>
      <c r="P23" s="74" t="s">
        <v>23</v>
      </c>
      <c r="Q23" s="74" t="s">
        <v>23</v>
      </c>
      <c r="R23" s="28" t="s">
        <v>22</v>
      </c>
      <c r="S23" s="28" t="s">
        <v>22</v>
      </c>
      <c r="T23" s="60" t="s">
        <v>21</v>
      </c>
      <c r="U23" s="60" t="s">
        <v>21</v>
      </c>
      <c r="V23" s="60" t="s">
        <v>21</v>
      </c>
      <c r="W23" s="60" t="s">
        <v>21</v>
      </c>
      <c r="X23" s="28" t="s">
        <v>22</v>
      </c>
      <c r="Y23" s="28" t="s">
        <v>22</v>
      </c>
      <c r="Z23" s="74" t="s">
        <v>23</v>
      </c>
      <c r="AA23" s="74" t="s">
        <v>23</v>
      </c>
      <c r="AB23" s="74" t="s">
        <v>23</v>
      </c>
      <c r="AC23" s="74" t="s">
        <v>23</v>
      </c>
      <c r="AD23" s="28" t="s">
        <v>22</v>
      </c>
      <c r="AE23" s="28" t="s">
        <v>22</v>
      </c>
      <c r="AF23" s="60" t="s">
        <v>21</v>
      </c>
      <c r="AG23" s="60" t="s">
        <v>21</v>
      </c>
      <c r="AH23" s="60" t="s">
        <v>21</v>
      </c>
      <c r="AI23" s="90" t="s">
        <v>21</v>
      </c>
      <c r="AJ23" s="19"/>
      <c r="AK23" s="20"/>
      <c r="AL23" s="21">
        <f t="shared" si="0"/>
        <v>0</v>
      </c>
      <c r="AM23" s="20">
        <f t="shared" si="1"/>
        <v>0</v>
      </c>
      <c r="AN23" s="19"/>
      <c r="AO23" s="20"/>
      <c r="AP23" s="21">
        <f t="shared" si="2"/>
        <v>0</v>
      </c>
      <c r="AQ23" s="20">
        <f t="shared" si="3"/>
        <v>0</v>
      </c>
      <c r="AR23" s="19"/>
      <c r="AS23" s="21">
        <f t="shared" si="4"/>
        <v>21</v>
      </c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</row>
    <row r="24" spans="2:60">
      <c r="B24" s="281"/>
      <c r="C24" s="92" t="s">
        <v>70</v>
      </c>
      <c r="D24" s="93" t="s">
        <v>71</v>
      </c>
      <c r="E24" s="94" t="s">
        <v>22</v>
      </c>
      <c r="F24" s="96" t="s">
        <v>23</v>
      </c>
      <c r="G24" s="96" t="s">
        <v>23</v>
      </c>
      <c r="H24" s="96" t="s">
        <v>23</v>
      </c>
      <c r="I24" s="96" t="s">
        <v>23</v>
      </c>
      <c r="J24" s="94" t="s">
        <v>22</v>
      </c>
      <c r="K24" s="185" t="s">
        <v>26</v>
      </c>
      <c r="L24" s="185" t="s">
        <v>176</v>
      </c>
      <c r="M24" s="180" t="s">
        <v>29</v>
      </c>
      <c r="N24" s="180" t="s">
        <v>29</v>
      </c>
      <c r="O24" s="180" t="s">
        <v>29</v>
      </c>
      <c r="P24" s="94" t="s">
        <v>22</v>
      </c>
      <c r="Q24" s="94" t="s">
        <v>22</v>
      </c>
      <c r="R24" s="96" t="s">
        <v>23</v>
      </c>
      <c r="S24" s="96" t="s">
        <v>23</v>
      </c>
      <c r="T24" s="96" t="s">
        <v>23</v>
      </c>
      <c r="U24" s="96" t="s">
        <v>23</v>
      </c>
      <c r="V24" s="94" t="s">
        <v>22</v>
      </c>
      <c r="W24" s="94" t="s">
        <v>22</v>
      </c>
      <c r="X24" s="95" t="s">
        <v>21</v>
      </c>
      <c r="Y24" s="95" t="s">
        <v>21</v>
      </c>
      <c r="Z24" s="95" t="s">
        <v>21</v>
      </c>
      <c r="AA24" s="95" t="s">
        <v>21</v>
      </c>
      <c r="AB24" s="94" t="s">
        <v>22</v>
      </c>
      <c r="AC24" s="94" t="s">
        <v>22</v>
      </c>
      <c r="AD24" s="96" t="s">
        <v>23</v>
      </c>
      <c r="AE24" s="96" t="s">
        <v>23</v>
      </c>
      <c r="AF24" s="96" t="s">
        <v>23</v>
      </c>
      <c r="AG24" s="96" t="s">
        <v>23</v>
      </c>
      <c r="AH24" s="94" t="s">
        <v>22</v>
      </c>
      <c r="AI24" s="97" t="s">
        <v>22</v>
      </c>
      <c r="AJ24" s="19"/>
      <c r="AK24" s="20"/>
      <c r="AL24" s="21">
        <f t="shared" si="0"/>
        <v>0</v>
      </c>
      <c r="AM24" s="20">
        <f t="shared" si="1"/>
        <v>0</v>
      </c>
      <c r="AN24" s="19"/>
      <c r="AO24" s="20"/>
      <c r="AP24" s="21">
        <f t="shared" si="2"/>
        <v>0</v>
      </c>
      <c r="AQ24" s="20">
        <f t="shared" si="3"/>
        <v>0</v>
      </c>
      <c r="AR24" s="19"/>
      <c r="AS24" s="21">
        <f t="shared" si="4"/>
        <v>19</v>
      </c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</row>
    <row r="25" spans="2:60" ht="15" customHeight="1">
      <c r="B25" s="276" t="s">
        <v>72</v>
      </c>
      <c r="C25" s="22" t="s">
        <v>73</v>
      </c>
      <c r="D25" s="22" t="s">
        <v>74</v>
      </c>
      <c r="E25" s="177" t="s">
        <v>21</v>
      </c>
      <c r="F25" s="177" t="s">
        <v>21</v>
      </c>
      <c r="G25" s="177" t="s">
        <v>21</v>
      </c>
      <c r="H25" s="145" t="s">
        <v>22</v>
      </c>
      <c r="I25" s="145" t="s">
        <v>22</v>
      </c>
      <c r="J25" s="177" t="s">
        <v>21</v>
      </c>
      <c r="K25" s="177" t="s">
        <v>21</v>
      </c>
      <c r="L25" s="177" t="s">
        <v>21</v>
      </c>
      <c r="M25" s="177" t="s">
        <v>21</v>
      </c>
      <c r="N25" s="145" t="s">
        <v>22</v>
      </c>
      <c r="O25" s="145" t="s">
        <v>22</v>
      </c>
      <c r="P25" s="182" t="s">
        <v>29</v>
      </c>
      <c r="Q25" s="182" t="s">
        <v>29</v>
      </c>
      <c r="R25" s="182" t="s">
        <v>29</v>
      </c>
      <c r="S25" s="182" t="s">
        <v>29</v>
      </c>
      <c r="T25" s="145" t="s">
        <v>22</v>
      </c>
      <c r="U25" s="145" t="s">
        <v>22</v>
      </c>
      <c r="V25" s="176" t="s">
        <v>23</v>
      </c>
      <c r="W25" s="176" t="s">
        <v>23</v>
      </c>
      <c r="X25" s="176" t="s">
        <v>23</v>
      </c>
      <c r="Y25" s="176" t="s">
        <v>23</v>
      </c>
      <c r="Z25" s="145" t="s">
        <v>22</v>
      </c>
      <c r="AA25" s="145" t="s">
        <v>22</v>
      </c>
      <c r="AB25" s="177" t="s">
        <v>21</v>
      </c>
      <c r="AC25" s="177" t="s">
        <v>21</v>
      </c>
      <c r="AD25" s="177" t="s">
        <v>21</v>
      </c>
      <c r="AE25" s="177" t="s">
        <v>21</v>
      </c>
      <c r="AF25" s="145" t="s">
        <v>22</v>
      </c>
      <c r="AG25" s="145" t="s">
        <v>22</v>
      </c>
      <c r="AH25" s="177" t="s">
        <v>21</v>
      </c>
      <c r="AI25" s="239" t="s">
        <v>21</v>
      </c>
      <c r="AJ25" s="19"/>
      <c r="AK25" s="20"/>
      <c r="AL25" s="21">
        <f t="shared" si="0"/>
        <v>0</v>
      </c>
      <c r="AM25" s="20">
        <f t="shared" si="1"/>
        <v>0</v>
      </c>
      <c r="AN25" s="19"/>
      <c r="AO25" s="20"/>
      <c r="AP25" s="21">
        <f t="shared" si="2"/>
        <v>0</v>
      </c>
      <c r="AQ25" s="20">
        <f t="shared" si="3"/>
        <v>0</v>
      </c>
      <c r="AR25" s="19"/>
      <c r="AS25" s="21">
        <f t="shared" si="4"/>
        <v>21</v>
      </c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</row>
    <row r="26" spans="2:60">
      <c r="B26" s="276"/>
      <c r="C26" s="22" t="s">
        <v>75</v>
      </c>
      <c r="D26" s="20" t="s">
        <v>76</v>
      </c>
      <c r="E26" s="74" t="s">
        <v>23</v>
      </c>
      <c r="F26" s="28" t="s">
        <v>22</v>
      </c>
      <c r="G26" s="28" t="s">
        <v>22</v>
      </c>
      <c r="H26" s="60" t="s">
        <v>21</v>
      </c>
      <c r="I26" s="60" t="s">
        <v>21</v>
      </c>
      <c r="J26" s="60" t="s">
        <v>21</v>
      </c>
      <c r="K26" s="60" t="s">
        <v>21</v>
      </c>
      <c r="L26" s="28" t="s">
        <v>22</v>
      </c>
      <c r="M26" s="28" t="s">
        <v>22</v>
      </c>
      <c r="N26" s="60" t="s">
        <v>21</v>
      </c>
      <c r="O26" s="60" t="s">
        <v>21</v>
      </c>
      <c r="P26" s="60" t="s">
        <v>21</v>
      </c>
      <c r="Q26" s="60" t="s">
        <v>21</v>
      </c>
      <c r="R26" s="28" t="s">
        <v>22</v>
      </c>
      <c r="S26" s="28" t="s">
        <v>22</v>
      </c>
      <c r="T26" s="78" t="s">
        <v>29</v>
      </c>
      <c r="U26" s="78" t="s">
        <v>29</v>
      </c>
      <c r="V26" s="78" t="s">
        <v>29</v>
      </c>
      <c r="W26" s="78" t="s">
        <v>29</v>
      </c>
      <c r="X26" s="28" t="s">
        <v>22</v>
      </c>
      <c r="Y26" s="28" t="s">
        <v>22</v>
      </c>
      <c r="Z26" s="74" t="s">
        <v>23</v>
      </c>
      <c r="AA26" s="74" t="s">
        <v>23</v>
      </c>
      <c r="AB26" s="74" t="s">
        <v>23</v>
      </c>
      <c r="AC26" s="74" t="s">
        <v>23</v>
      </c>
      <c r="AD26" s="28" t="s">
        <v>22</v>
      </c>
      <c r="AE26" s="28" t="s">
        <v>22</v>
      </c>
      <c r="AF26" s="60" t="s">
        <v>21</v>
      </c>
      <c r="AG26" s="60" t="s">
        <v>21</v>
      </c>
      <c r="AH26" s="60" t="s">
        <v>21</v>
      </c>
      <c r="AI26" s="90" t="s">
        <v>21</v>
      </c>
      <c r="AJ26" s="19"/>
      <c r="AK26" s="20"/>
      <c r="AL26" s="21">
        <f t="shared" si="0"/>
        <v>0</v>
      </c>
      <c r="AM26" s="20">
        <f t="shared" si="1"/>
        <v>0</v>
      </c>
      <c r="AN26" s="19"/>
      <c r="AO26" s="20"/>
      <c r="AP26" s="21">
        <f t="shared" si="2"/>
        <v>0</v>
      </c>
      <c r="AQ26" s="20">
        <f t="shared" si="3"/>
        <v>0</v>
      </c>
      <c r="AR26" s="19"/>
      <c r="AS26" s="21">
        <f t="shared" si="4"/>
        <v>21</v>
      </c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</row>
    <row r="27" spans="2:60">
      <c r="B27" s="276"/>
      <c r="C27" s="22" t="s">
        <v>77</v>
      </c>
      <c r="D27" s="20" t="s">
        <v>78</v>
      </c>
      <c r="E27" s="60" t="s">
        <v>21</v>
      </c>
      <c r="F27" s="60" t="s">
        <v>21</v>
      </c>
      <c r="G27" s="60" t="s">
        <v>21</v>
      </c>
      <c r="H27" s="28" t="s">
        <v>22</v>
      </c>
      <c r="I27" s="28" t="s">
        <v>22</v>
      </c>
      <c r="J27" s="74" t="s">
        <v>23</v>
      </c>
      <c r="K27" s="74" t="s">
        <v>23</v>
      </c>
      <c r="L27" s="74" t="s">
        <v>23</v>
      </c>
      <c r="M27" s="74" t="s">
        <v>23</v>
      </c>
      <c r="N27" s="28" t="s">
        <v>22</v>
      </c>
      <c r="O27" s="28" t="s">
        <v>22</v>
      </c>
      <c r="P27" s="60" t="s">
        <v>21</v>
      </c>
      <c r="Q27" s="60" t="s">
        <v>21</v>
      </c>
      <c r="R27" s="60" t="s">
        <v>21</v>
      </c>
      <c r="S27" s="60" t="s">
        <v>21</v>
      </c>
      <c r="T27" s="28" t="s">
        <v>22</v>
      </c>
      <c r="U27" s="28" t="s">
        <v>22</v>
      </c>
      <c r="V27" s="60" t="s">
        <v>21</v>
      </c>
      <c r="W27" s="60" t="s">
        <v>21</v>
      </c>
      <c r="X27" s="60" t="s">
        <v>21</v>
      </c>
      <c r="Y27" s="60" t="s">
        <v>21</v>
      </c>
      <c r="Z27" s="28" t="s">
        <v>22</v>
      </c>
      <c r="AA27" s="28" t="s">
        <v>22</v>
      </c>
      <c r="AB27" s="78" t="s">
        <v>29</v>
      </c>
      <c r="AC27" s="78" t="s">
        <v>29</v>
      </c>
      <c r="AD27" s="78" t="s">
        <v>29</v>
      </c>
      <c r="AE27" s="78" t="s">
        <v>29</v>
      </c>
      <c r="AF27" s="28" t="s">
        <v>22</v>
      </c>
      <c r="AG27" s="28" t="s">
        <v>22</v>
      </c>
      <c r="AH27" s="74" t="s">
        <v>23</v>
      </c>
      <c r="AI27" s="89" t="s">
        <v>23</v>
      </c>
      <c r="AJ27" s="19"/>
      <c r="AK27" s="20"/>
      <c r="AL27" s="21">
        <f t="shared" si="0"/>
        <v>0</v>
      </c>
      <c r="AM27" s="20">
        <f t="shared" si="1"/>
        <v>0</v>
      </c>
      <c r="AN27" s="19"/>
      <c r="AO27" s="20"/>
      <c r="AP27" s="21">
        <f t="shared" si="2"/>
        <v>0</v>
      </c>
      <c r="AQ27" s="20">
        <f t="shared" si="3"/>
        <v>0</v>
      </c>
      <c r="AR27" s="19"/>
      <c r="AS27" s="21">
        <f t="shared" si="4"/>
        <v>21</v>
      </c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</row>
    <row r="28" spans="2:60" ht="15" customHeight="1">
      <c r="B28" s="276"/>
      <c r="C28" s="20" t="s">
        <v>79</v>
      </c>
      <c r="D28" s="20" t="s">
        <v>80</v>
      </c>
      <c r="E28" s="74" t="s">
        <v>23</v>
      </c>
      <c r="F28" s="28" t="s">
        <v>22</v>
      </c>
      <c r="G28" s="28" t="s">
        <v>22</v>
      </c>
      <c r="H28" s="60" t="s">
        <v>21</v>
      </c>
      <c r="I28" s="60" t="s">
        <v>21</v>
      </c>
      <c r="J28" s="60" t="s">
        <v>21</v>
      </c>
      <c r="K28" s="60" t="s">
        <v>21</v>
      </c>
      <c r="L28" s="28" t="s">
        <v>22</v>
      </c>
      <c r="M28" s="28" t="s">
        <v>22</v>
      </c>
      <c r="N28" s="74" t="s">
        <v>23</v>
      </c>
      <c r="O28" s="74" t="s">
        <v>23</v>
      </c>
      <c r="P28" s="74" t="s">
        <v>23</v>
      </c>
      <c r="Q28" s="74" t="s">
        <v>23</v>
      </c>
      <c r="R28" s="28" t="s">
        <v>22</v>
      </c>
      <c r="S28" s="28" t="s">
        <v>22</v>
      </c>
      <c r="T28" s="60" t="s">
        <v>21</v>
      </c>
      <c r="U28" s="60" t="s">
        <v>21</v>
      </c>
      <c r="V28" s="60" t="s">
        <v>21</v>
      </c>
      <c r="W28" s="60" t="s">
        <v>21</v>
      </c>
      <c r="X28" s="28" t="s">
        <v>22</v>
      </c>
      <c r="Y28" s="28" t="s">
        <v>22</v>
      </c>
      <c r="Z28" s="60" t="s">
        <v>21</v>
      </c>
      <c r="AA28" s="60" t="s">
        <v>21</v>
      </c>
      <c r="AB28" s="60" t="s">
        <v>21</v>
      </c>
      <c r="AC28" s="60" t="s">
        <v>21</v>
      </c>
      <c r="AD28" s="28" t="s">
        <v>22</v>
      </c>
      <c r="AE28" s="28" t="s">
        <v>22</v>
      </c>
      <c r="AF28" s="78" t="s">
        <v>29</v>
      </c>
      <c r="AG28" s="78" t="s">
        <v>29</v>
      </c>
      <c r="AH28" s="78" t="s">
        <v>29</v>
      </c>
      <c r="AI28" s="107" t="s">
        <v>29</v>
      </c>
      <c r="AJ28" s="19"/>
      <c r="AK28" s="20"/>
      <c r="AL28" s="21">
        <f t="shared" si="0"/>
        <v>0</v>
      </c>
      <c r="AM28" s="20">
        <f t="shared" si="1"/>
        <v>0</v>
      </c>
      <c r="AN28" s="19"/>
      <c r="AO28" s="20"/>
      <c r="AP28" s="21">
        <f t="shared" si="2"/>
        <v>0</v>
      </c>
      <c r="AQ28" s="20">
        <f t="shared" si="3"/>
        <v>0</v>
      </c>
      <c r="AR28" s="19"/>
      <c r="AS28" s="21">
        <f t="shared" si="4"/>
        <v>21</v>
      </c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</row>
    <row r="29" spans="2:60">
      <c r="B29" s="276"/>
      <c r="C29" s="22" t="s">
        <v>82</v>
      </c>
      <c r="D29" s="20" t="s">
        <v>83</v>
      </c>
      <c r="E29" s="28" t="s">
        <v>22</v>
      </c>
      <c r="F29" s="74" t="s">
        <v>23</v>
      </c>
      <c r="G29" s="74" t="s">
        <v>23</v>
      </c>
      <c r="H29" s="74" t="s">
        <v>23</v>
      </c>
      <c r="I29" s="74" t="s">
        <v>23</v>
      </c>
      <c r="J29" s="28" t="s">
        <v>22</v>
      </c>
      <c r="K29" s="28" t="s">
        <v>22</v>
      </c>
      <c r="L29" s="60" t="s">
        <v>21</v>
      </c>
      <c r="M29" s="60" t="s">
        <v>21</v>
      </c>
      <c r="N29" s="60" t="s">
        <v>21</v>
      </c>
      <c r="O29" s="60" t="s">
        <v>21</v>
      </c>
      <c r="P29" s="28" t="s">
        <v>22</v>
      </c>
      <c r="Q29" s="28" t="s">
        <v>22</v>
      </c>
      <c r="R29" s="74" t="s">
        <v>23</v>
      </c>
      <c r="S29" s="74" t="s">
        <v>23</v>
      </c>
      <c r="T29" s="74" t="s">
        <v>23</v>
      </c>
      <c r="U29" s="74" t="s">
        <v>23</v>
      </c>
      <c r="V29" s="28" t="s">
        <v>22</v>
      </c>
      <c r="W29" s="28" t="s">
        <v>22</v>
      </c>
      <c r="X29" s="60" t="s">
        <v>21</v>
      </c>
      <c r="Y29" s="60" t="s">
        <v>21</v>
      </c>
      <c r="Z29" s="60" t="s">
        <v>21</v>
      </c>
      <c r="AA29" s="60" t="s">
        <v>21</v>
      </c>
      <c r="AB29" s="28" t="s">
        <v>22</v>
      </c>
      <c r="AC29" s="28" t="s">
        <v>22</v>
      </c>
      <c r="AD29" s="74" t="s">
        <v>23</v>
      </c>
      <c r="AE29" s="74" t="s">
        <v>23</v>
      </c>
      <c r="AF29" s="74" t="s">
        <v>23</v>
      </c>
      <c r="AG29" s="74" t="s">
        <v>23</v>
      </c>
      <c r="AH29" s="28" t="s">
        <v>22</v>
      </c>
      <c r="AI29" s="91" t="s">
        <v>22</v>
      </c>
      <c r="AJ29" s="19"/>
      <c r="AK29" s="20"/>
      <c r="AL29" s="21">
        <f t="shared" si="0"/>
        <v>0</v>
      </c>
      <c r="AM29" s="20">
        <f t="shared" si="1"/>
        <v>0</v>
      </c>
      <c r="AN29" s="19"/>
      <c r="AO29" s="20"/>
      <c r="AP29" s="21">
        <f t="shared" si="2"/>
        <v>0</v>
      </c>
      <c r="AQ29" s="20">
        <f t="shared" si="3"/>
        <v>0</v>
      </c>
      <c r="AR29" s="19"/>
      <c r="AS29" s="21">
        <f t="shared" si="4"/>
        <v>20</v>
      </c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</row>
    <row r="30" spans="2:60">
      <c r="B30" s="276"/>
      <c r="C30" s="20" t="s">
        <v>85</v>
      </c>
      <c r="D30" s="20" t="s">
        <v>86</v>
      </c>
      <c r="E30" s="78" t="s">
        <v>29</v>
      </c>
      <c r="F30" s="78" t="s">
        <v>29</v>
      </c>
      <c r="G30" s="78" t="s">
        <v>29</v>
      </c>
      <c r="H30" s="28" t="s">
        <v>22</v>
      </c>
      <c r="I30" s="28" t="s">
        <v>22</v>
      </c>
      <c r="J30" s="74" t="s">
        <v>23</v>
      </c>
      <c r="K30" s="74" t="s">
        <v>23</v>
      </c>
      <c r="L30" s="74" t="s">
        <v>23</v>
      </c>
      <c r="M30" s="74" t="s">
        <v>23</v>
      </c>
      <c r="N30" s="28" t="s">
        <v>22</v>
      </c>
      <c r="O30" s="28" t="s">
        <v>22</v>
      </c>
      <c r="P30" s="60" t="s">
        <v>21</v>
      </c>
      <c r="Q30" s="60" t="s">
        <v>21</v>
      </c>
      <c r="R30" s="60" t="s">
        <v>21</v>
      </c>
      <c r="S30" s="60" t="s">
        <v>21</v>
      </c>
      <c r="T30" s="28" t="s">
        <v>22</v>
      </c>
      <c r="U30" s="28" t="s">
        <v>22</v>
      </c>
      <c r="V30" s="74" t="s">
        <v>23</v>
      </c>
      <c r="W30" s="74" t="s">
        <v>23</v>
      </c>
      <c r="X30" s="74" t="s">
        <v>23</v>
      </c>
      <c r="Y30" s="74" t="s">
        <v>23</v>
      </c>
      <c r="Z30" s="28" t="s">
        <v>22</v>
      </c>
      <c r="AA30" s="28" t="s">
        <v>22</v>
      </c>
      <c r="AB30" s="60" t="s">
        <v>21</v>
      </c>
      <c r="AC30" s="60" t="s">
        <v>21</v>
      </c>
      <c r="AD30" s="60" t="s">
        <v>21</v>
      </c>
      <c r="AE30" s="60" t="s">
        <v>21</v>
      </c>
      <c r="AF30" s="28" t="s">
        <v>22</v>
      </c>
      <c r="AG30" s="28" t="s">
        <v>22</v>
      </c>
      <c r="AH30" s="60" t="s">
        <v>21</v>
      </c>
      <c r="AI30" s="90" t="s">
        <v>21</v>
      </c>
      <c r="AJ30" s="19"/>
      <c r="AK30" s="20"/>
      <c r="AL30" s="21">
        <f t="shared" si="0"/>
        <v>0</v>
      </c>
      <c r="AM30" s="20">
        <f t="shared" si="1"/>
        <v>0</v>
      </c>
      <c r="AN30" s="19"/>
      <c r="AO30" s="26"/>
      <c r="AP30" s="21">
        <f t="shared" si="2"/>
        <v>0</v>
      </c>
      <c r="AQ30" s="44">
        <f t="shared" si="3"/>
        <v>0</v>
      </c>
      <c r="AR30" s="19"/>
      <c r="AS30" s="21">
        <f t="shared" si="4"/>
        <v>21</v>
      </c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</row>
    <row r="31" spans="2:60">
      <c r="B31" s="276"/>
      <c r="C31" s="22" t="s">
        <v>87</v>
      </c>
      <c r="D31" s="20" t="s">
        <v>88</v>
      </c>
      <c r="E31" s="60" t="s">
        <v>21</v>
      </c>
      <c r="F31" s="28" t="s">
        <v>22</v>
      </c>
      <c r="G31" s="28" t="s">
        <v>22</v>
      </c>
      <c r="H31" s="78" t="s">
        <v>29</v>
      </c>
      <c r="I31" s="78" t="s">
        <v>29</v>
      </c>
      <c r="J31" s="78" t="s">
        <v>29</v>
      </c>
      <c r="K31" s="78" t="s">
        <v>29</v>
      </c>
      <c r="L31" s="28" t="s">
        <v>22</v>
      </c>
      <c r="M31" s="28" t="s">
        <v>22</v>
      </c>
      <c r="N31" s="74" t="s">
        <v>23</v>
      </c>
      <c r="O31" s="74" t="s">
        <v>23</v>
      </c>
      <c r="P31" s="74" t="s">
        <v>23</v>
      </c>
      <c r="Q31" s="74" t="s">
        <v>23</v>
      </c>
      <c r="R31" s="28" t="s">
        <v>22</v>
      </c>
      <c r="S31" s="28" t="s">
        <v>22</v>
      </c>
      <c r="T31" s="60" t="s">
        <v>21</v>
      </c>
      <c r="U31" s="60" t="s">
        <v>21</v>
      </c>
      <c r="V31" s="60" t="s">
        <v>21</v>
      </c>
      <c r="W31" s="60" t="s">
        <v>21</v>
      </c>
      <c r="X31" s="28" t="s">
        <v>22</v>
      </c>
      <c r="Y31" s="28" t="s">
        <v>22</v>
      </c>
      <c r="Z31" s="74" t="s">
        <v>23</v>
      </c>
      <c r="AA31" s="74" t="s">
        <v>23</v>
      </c>
      <c r="AB31" s="74" t="s">
        <v>23</v>
      </c>
      <c r="AC31" s="74" t="s">
        <v>23</v>
      </c>
      <c r="AD31" s="28" t="s">
        <v>22</v>
      </c>
      <c r="AE31" s="28" t="s">
        <v>22</v>
      </c>
      <c r="AF31" s="60" t="s">
        <v>21</v>
      </c>
      <c r="AG31" s="60" t="s">
        <v>21</v>
      </c>
      <c r="AH31" s="60" t="s">
        <v>21</v>
      </c>
      <c r="AI31" s="90" t="s">
        <v>21</v>
      </c>
      <c r="AJ31" s="19"/>
      <c r="AK31" s="20"/>
      <c r="AL31" s="21">
        <f t="shared" si="0"/>
        <v>0</v>
      </c>
      <c r="AM31" s="20">
        <f t="shared" si="1"/>
        <v>0</v>
      </c>
      <c r="AN31" s="19"/>
      <c r="AO31" s="20"/>
      <c r="AP31" s="21">
        <f t="shared" si="2"/>
        <v>0</v>
      </c>
      <c r="AQ31" s="20">
        <f t="shared" si="3"/>
        <v>0</v>
      </c>
      <c r="AR31" s="19"/>
      <c r="AS31" s="21">
        <f t="shared" si="4"/>
        <v>21</v>
      </c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</row>
    <row r="32" spans="2:60">
      <c r="B32" s="276"/>
      <c r="C32" s="20" t="s">
        <v>89</v>
      </c>
      <c r="D32" s="20" t="s">
        <v>90</v>
      </c>
      <c r="E32" s="28" t="s">
        <v>22</v>
      </c>
      <c r="F32" s="74" t="s">
        <v>23</v>
      </c>
      <c r="G32" s="74" t="s">
        <v>23</v>
      </c>
      <c r="H32" s="74" t="s">
        <v>23</v>
      </c>
      <c r="I32" s="74" t="s">
        <v>23</v>
      </c>
      <c r="J32" s="28" t="s">
        <v>22</v>
      </c>
      <c r="K32" s="28" t="s">
        <v>22</v>
      </c>
      <c r="L32" s="78" t="s">
        <v>29</v>
      </c>
      <c r="M32" s="78" t="s">
        <v>29</v>
      </c>
      <c r="N32" s="78" t="s">
        <v>29</v>
      </c>
      <c r="O32" s="78" t="s">
        <v>29</v>
      </c>
      <c r="P32" s="28" t="s">
        <v>22</v>
      </c>
      <c r="Q32" s="28" t="s">
        <v>22</v>
      </c>
      <c r="R32" s="74" t="s">
        <v>23</v>
      </c>
      <c r="S32" s="74" t="s">
        <v>23</v>
      </c>
      <c r="T32" s="74" t="s">
        <v>23</v>
      </c>
      <c r="U32" s="74" t="s">
        <v>23</v>
      </c>
      <c r="V32" s="28" t="s">
        <v>22</v>
      </c>
      <c r="W32" s="28" t="s">
        <v>22</v>
      </c>
      <c r="X32" s="60" t="s">
        <v>21</v>
      </c>
      <c r="Y32" s="60" t="s">
        <v>21</v>
      </c>
      <c r="Z32" s="60" t="s">
        <v>21</v>
      </c>
      <c r="AA32" s="60" t="s">
        <v>21</v>
      </c>
      <c r="AB32" s="28" t="s">
        <v>22</v>
      </c>
      <c r="AC32" s="28" t="s">
        <v>22</v>
      </c>
      <c r="AD32" s="74" t="s">
        <v>23</v>
      </c>
      <c r="AE32" s="74" t="s">
        <v>23</v>
      </c>
      <c r="AF32" s="74" t="s">
        <v>23</v>
      </c>
      <c r="AG32" s="74" t="s">
        <v>23</v>
      </c>
      <c r="AH32" s="28" t="s">
        <v>22</v>
      </c>
      <c r="AI32" s="91" t="s">
        <v>22</v>
      </c>
      <c r="AJ32" s="19"/>
      <c r="AK32" s="20"/>
      <c r="AL32" s="21">
        <f t="shared" si="0"/>
        <v>0</v>
      </c>
      <c r="AM32" s="20">
        <f t="shared" si="1"/>
        <v>0</v>
      </c>
      <c r="AN32" s="19"/>
      <c r="AO32" s="20"/>
      <c r="AP32" s="21">
        <f t="shared" si="2"/>
        <v>0</v>
      </c>
      <c r="AQ32" s="20">
        <f t="shared" si="3"/>
        <v>0</v>
      </c>
      <c r="AR32" s="19"/>
      <c r="AS32" s="21">
        <f t="shared" si="4"/>
        <v>20</v>
      </c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</row>
    <row r="33" spans="2:60">
      <c r="B33" s="276"/>
      <c r="C33" s="22" t="s">
        <v>91</v>
      </c>
      <c r="D33" s="20" t="s">
        <v>92</v>
      </c>
      <c r="E33" s="60" t="s">
        <v>21</v>
      </c>
      <c r="F33" s="60" t="s">
        <v>21</v>
      </c>
      <c r="G33" s="28" t="s">
        <v>22</v>
      </c>
      <c r="H33" s="28" t="s">
        <v>22</v>
      </c>
      <c r="I33" s="74" t="s">
        <v>23</v>
      </c>
      <c r="J33" s="74" t="s">
        <v>23</v>
      </c>
      <c r="K33" s="74" t="s">
        <v>23</v>
      </c>
      <c r="L33" s="74" t="s">
        <v>23</v>
      </c>
      <c r="M33" s="28" t="s">
        <v>22</v>
      </c>
      <c r="N33" s="28" t="s">
        <v>22</v>
      </c>
      <c r="O33" s="60" t="s">
        <v>21</v>
      </c>
      <c r="P33" s="60" t="s">
        <v>21</v>
      </c>
      <c r="Q33" s="60" t="s">
        <v>21</v>
      </c>
      <c r="R33" s="60" t="s">
        <v>21</v>
      </c>
      <c r="S33" s="28" t="s">
        <v>22</v>
      </c>
      <c r="T33" s="28" t="s">
        <v>22</v>
      </c>
      <c r="U33" s="74" t="s">
        <v>23</v>
      </c>
      <c r="V33" s="74" t="s">
        <v>23</v>
      </c>
      <c r="W33" s="74" t="s">
        <v>23</v>
      </c>
      <c r="X33" s="74" t="s">
        <v>23</v>
      </c>
      <c r="Y33" s="28" t="s">
        <v>22</v>
      </c>
      <c r="Z33" s="28" t="s">
        <v>22</v>
      </c>
      <c r="AA33" s="60" t="s">
        <v>21</v>
      </c>
      <c r="AB33" s="60" t="s">
        <v>21</v>
      </c>
      <c r="AC33" s="60" t="s">
        <v>21</v>
      </c>
      <c r="AD33" s="60" t="s">
        <v>21</v>
      </c>
      <c r="AE33" s="28" t="s">
        <v>22</v>
      </c>
      <c r="AF33" s="28" t="s">
        <v>22</v>
      </c>
      <c r="AG33" s="74" t="s">
        <v>23</v>
      </c>
      <c r="AH33" s="74" t="s">
        <v>23</v>
      </c>
      <c r="AI33" s="89" t="s">
        <v>23</v>
      </c>
      <c r="AJ33" s="19"/>
      <c r="AK33" s="20"/>
      <c r="AL33" s="21">
        <f t="shared" si="0"/>
        <v>0</v>
      </c>
      <c r="AM33" s="20">
        <f t="shared" si="1"/>
        <v>0</v>
      </c>
      <c r="AN33" s="19"/>
      <c r="AO33" s="20"/>
      <c r="AP33" s="21">
        <f t="shared" si="2"/>
        <v>0</v>
      </c>
      <c r="AQ33" s="20">
        <f t="shared" si="3"/>
        <v>0</v>
      </c>
      <c r="AR33" s="19"/>
      <c r="AS33" s="21">
        <f t="shared" si="4"/>
        <v>21</v>
      </c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</row>
    <row r="34" spans="2:60" ht="15" customHeight="1">
      <c r="B34" s="276"/>
      <c r="C34" s="20" t="s">
        <v>93</v>
      </c>
      <c r="D34" s="20" t="s">
        <v>94</v>
      </c>
      <c r="E34" s="28" t="s">
        <v>22</v>
      </c>
      <c r="F34" s="28" t="s">
        <v>22</v>
      </c>
      <c r="G34" s="60" t="s">
        <v>21</v>
      </c>
      <c r="H34" s="60" t="s">
        <v>21</v>
      </c>
      <c r="I34" s="60" t="s">
        <v>21</v>
      </c>
      <c r="J34" s="60" t="s">
        <v>21</v>
      </c>
      <c r="K34" s="28" t="s">
        <v>22</v>
      </c>
      <c r="L34" s="28" t="s">
        <v>22</v>
      </c>
      <c r="M34" s="74" t="s">
        <v>23</v>
      </c>
      <c r="N34" s="74" t="s">
        <v>23</v>
      </c>
      <c r="O34" s="74" t="s">
        <v>23</v>
      </c>
      <c r="P34" s="74" t="s">
        <v>23</v>
      </c>
      <c r="Q34" s="28" t="s">
        <v>22</v>
      </c>
      <c r="R34" s="28" t="s">
        <v>22</v>
      </c>
      <c r="S34" s="60" t="s">
        <v>21</v>
      </c>
      <c r="T34" s="60" t="s">
        <v>21</v>
      </c>
      <c r="U34" s="60" t="s">
        <v>21</v>
      </c>
      <c r="V34" s="60" t="s">
        <v>21</v>
      </c>
      <c r="W34" s="28" t="s">
        <v>22</v>
      </c>
      <c r="X34" s="28" t="s">
        <v>22</v>
      </c>
      <c r="Y34" s="74" t="s">
        <v>23</v>
      </c>
      <c r="Z34" s="74" t="s">
        <v>23</v>
      </c>
      <c r="AA34" s="74" t="s">
        <v>23</v>
      </c>
      <c r="AB34" s="74" t="s">
        <v>23</v>
      </c>
      <c r="AC34" s="28" t="s">
        <v>22</v>
      </c>
      <c r="AD34" s="28" t="s">
        <v>22</v>
      </c>
      <c r="AE34" s="60" t="s">
        <v>21</v>
      </c>
      <c r="AF34" s="60" t="s">
        <v>21</v>
      </c>
      <c r="AG34" s="60" t="s">
        <v>21</v>
      </c>
      <c r="AH34" s="60" t="s">
        <v>21</v>
      </c>
      <c r="AI34" s="91" t="s">
        <v>22</v>
      </c>
      <c r="AJ34" s="19"/>
      <c r="AK34" s="20"/>
      <c r="AL34" s="21">
        <f t="shared" si="0"/>
        <v>0</v>
      </c>
      <c r="AM34" s="20">
        <f t="shared" si="1"/>
        <v>0</v>
      </c>
      <c r="AN34" s="19"/>
      <c r="AO34" s="20"/>
      <c r="AP34" s="21">
        <f t="shared" si="2"/>
        <v>0</v>
      </c>
      <c r="AQ34" s="20">
        <f t="shared" si="3"/>
        <v>0</v>
      </c>
      <c r="AR34" s="19"/>
      <c r="AS34" s="21">
        <f t="shared" si="4"/>
        <v>20</v>
      </c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</row>
    <row r="35" spans="2:60">
      <c r="B35" s="276"/>
      <c r="C35" s="108" t="s">
        <v>95</v>
      </c>
      <c r="D35" s="109" t="s">
        <v>96</v>
      </c>
      <c r="E35" s="112" t="s">
        <v>23</v>
      </c>
      <c r="F35" s="112" t="s">
        <v>23</v>
      </c>
      <c r="G35" s="112" t="s">
        <v>23</v>
      </c>
      <c r="H35" s="112" t="s">
        <v>23</v>
      </c>
      <c r="I35" s="110" t="s">
        <v>22</v>
      </c>
      <c r="J35" s="110" t="s">
        <v>22</v>
      </c>
      <c r="K35" s="111" t="s">
        <v>21</v>
      </c>
      <c r="L35" s="111" t="s">
        <v>21</v>
      </c>
      <c r="M35" s="111" t="s">
        <v>21</v>
      </c>
      <c r="N35" s="111" t="s">
        <v>21</v>
      </c>
      <c r="O35" s="110" t="s">
        <v>22</v>
      </c>
      <c r="P35" s="110" t="s">
        <v>22</v>
      </c>
      <c r="Q35" s="112" t="s">
        <v>23</v>
      </c>
      <c r="R35" s="112" t="s">
        <v>23</v>
      </c>
      <c r="S35" s="112" t="s">
        <v>23</v>
      </c>
      <c r="T35" s="112" t="s">
        <v>23</v>
      </c>
      <c r="U35" s="110" t="s">
        <v>22</v>
      </c>
      <c r="V35" s="110" t="s">
        <v>22</v>
      </c>
      <c r="W35" s="111" t="s">
        <v>21</v>
      </c>
      <c r="X35" s="111" t="s">
        <v>21</v>
      </c>
      <c r="Y35" s="111" t="s">
        <v>21</v>
      </c>
      <c r="Z35" s="111" t="s">
        <v>21</v>
      </c>
      <c r="AA35" s="110" t="s">
        <v>22</v>
      </c>
      <c r="AB35" s="110" t="s">
        <v>22</v>
      </c>
      <c r="AC35" s="112" t="s">
        <v>23</v>
      </c>
      <c r="AD35" s="112" t="s">
        <v>23</v>
      </c>
      <c r="AE35" s="112" t="s">
        <v>23</v>
      </c>
      <c r="AF35" s="112" t="s">
        <v>23</v>
      </c>
      <c r="AG35" s="110" t="s">
        <v>22</v>
      </c>
      <c r="AH35" s="110" t="s">
        <v>22</v>
      </c>
      <c r="AI35" s="127" t="s">
        <v>21</v>
      </c>
      <c r="AJ35" s="19"/>
      <c r="AK35" s="20"/>
      <c r="AL35" s="21">
        <f t="shared" si="0"/>
        <v>0</v>
      </c>
      <c r="AM35" s="20">
        <f t="shared" si="1"/>
        <v>0</v>
      </c>
      <c r="AN35" s="19"/>
      <c r="AO35" s="20"/>
      <c r="AP35" s="21">
        <f t="shared" si="2"/>
        <v>0</v>
      </c>
      <c r="AQ35" s="20">
        <f t="shared" si="3"/>
        <v>0</v>
      </c>
      <c r="AR35" s="19"/>
      <c r="AS35" s="21">
        <f t="shared" si="4"/>
        <v>21</v>
      </c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</row>
    <row r="36" spans="2:60">
      <c r="B36" s="285" t="s">
        <v>97</v>
      </c>
      <c r="C36" s="88" t="s">
        <v>98</v>
      </c>
      <c r="D36" s="88" t="s">
        <v>99</v>
      </c>
      <c r="E36" s="118" t="s">
        <v>100</v>
      </c>
      <c r="F36" s="118" t="s">
        <v>100</v>
      </c>
      <c r="G36" s="118" t="s">
        <v>100</v>
      </c>
      <c r="H36" s="118" t="s">
        <v>100</v>
      </c>
      <c r="I36" s="103" t="s">
        <v>22</v>
      </c>
      <c r="J36" s="103" t="s">
        <v>22</v>
      </c>
      <c r="K36" s="119" t="s">
        <v>66</v>
      </c>
      <c r="L36" s="119" t="s">
        <v>66</v>
      </c>
      <c r="M36" s="119" t="s">
        <v>66</v>
      </c>
      <c r="N36" s="119" t="s">
        <v>66</v>
      </c>
      <c r="O36" s="103" t="s">
        <v>22</v>
      </c>
      <c r="P36" s="103" t="s">
        <v>22</v>
      </c>
      <c r="Q36" s="118" t="s">
        <v>100</v>
      </c>
      <c r="R36" s="118" t="s">
        <v>100</v>
      </c>
      <c r="S36" s="118" t="s">
        <v>100</v>
      </c>
      <c r="T36" s="118" t="s">
        <v>100</v>
      </c>
      <c r="U36" s="103" t="s">
        <v>22</v>
      </c>
      <c r="V36" s="103" t="s">
        <v>22</v>
      </c>
      <c r="W36" s="119" t="s">
        <v>66</v>
      </c>
      <c r="X36" s="119" t="s">
        <v>66</v>
      </c>
      <c r="Y36" s="119" t="s">
        <v>66</v>
      </c>
      <c r="Z36" s="119" t="s">
        <v>66</v>
      </c>
      <c r="AA36" s="103" t="s">
        <v>22</v>
      </c>
      <c r="AB36" s="103" t="s">
        <v>22</v>
      </c>
      <c r="AC36" s="118" t="s">
        <v>100</v>
      </c>
      <c r="AD36" s="118" t="s">
        <v>100</v>
      </c>
      <c r="AE36" s="118" t="s">
        <v>100</v>
      </c>
      <c r="AF36" s="118" t="s">
        <v>100</v>
      </c>
      <c r="AG36" s="103" t="s">
        <v>22</v>
      </c>
      <c r="AH36" s="103" t="s">
        <v>22</v>
      </c>
      <c r="AI36" s="128" t="s">
        <v>66</v>
      </c>
      <c r="AJ36" s="19"/>
      <c r="AK36" s="20"/>
      <c r="AL36" s="21">
        <f t="shared" si="0"/>
        <v>0</v>
      </c>
      <c r="AM36" s="20">
        <f t="shared" si="1"/>
        <v>0</v>
      </c>
      <c r="AN36" s="19"/>
      <c r="AO36" s="20"/>
      <c r="AP36" s="21">
        <f t="shared" si="2"/>
        <v>0</v>
      </c>
      <c r="AQ36" s="20">
        <f t="shared" si="3"/>
        <v>0</v>
      </c>
      <c r="AR36" s="19"/>
      <c r="AS36" s="21">
        <f t="shared" si="4"/>
        <v>21</v>
      </c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</row>
    <row r="37" spans="2:60">
      <c r="B37" s="278"/>
      <c r="C37" s="22" t="s">
        <v>101</v>
      </c>
      <c r="D37" s="20" t="s">
        <v>102</v>
      </c>
      <c r="E37" s="28" t="s">
        <v>22</v>
      </c>
      <c r="F37" s="28" t="s">
        <v>22</v>
      </c>
      <c r="G37" s="79" t="s">
        <v>66</v>
      </c>
      <c r="H37" s="79" t="s">
        <v>66</v>
      </c>
      <c r="I37" s="79" t="s">
        <v>66</v>
      </c>
      <c r="J37" s="79" t="s">
        <v>66</v>
      </c>
      <c r="K37" s="28" t="s">
        <v>22</v>
      </c>
      <c r="L37" s="28" t="s">
        <v>22</v>
      </c>
      <c r="M37" s="85" t="s">
        <v>100</v>
      </c>
      <c r="N37" s="75" t="s">
        <v>26</v>
      </c>
      <c r="O37" s="85" t="s">
        <v>100</v>
      </c>
      <c r="P37" s="85" t="s">
        <v>100</v>
      </c>
      <c r="Q37" s="28" t="s">
        <v>22</v>
      </c>
      <c r="R37" s="28" t="s">
        <v>22</v>
      </c>
      <c r="S37" s="79" t="s">
        <v>66</v>
      </c>
      <c r="T37" s="79" t="s">
        <v>66</v>
      </c>
      <c r="U37" s="79" t="s">
        <v>66</v>
      </c>
      <c r="V37" s="79" t="s">
        <v>66</v>
      </c>
      <c r="W37" s="28" t="s">
        <v>22</v>
      </c>
      <c r="X37" s="28" t="s">
        <v>22</v>
      </c>
      <c r="Y37" s="85" t="s">
        <v>100</v>
      </c>
      <c r="Z37" s="85" t="s">
        <v>100</v>
      </c>
      <c r="AA37" s="85" t="s">
        <v>100</v>
      </c>
      <c r="AB37" s="85" t="s">
        <v>100</v>
      </c>
      <c r="AC37" s="28" t="s">
        <v>22</v>
      </c>
      <c r="AD37" s="28" t="s">
        <v>22</v>
      </c>
      <c r="AE37" s="79" t="s">
        <v>66</v>
      </c>
      <c r="AF37" s="79" t="s">
        <v>66</v>
      </c>
      <c r="AG37" s="79" t="s">
        <v>66</v>
      </c>
      <c r="AH37" s="79" t="s">
        <v>66</v>
      </c>
      <c r="AI37" s="91" t="s">
        <v>22</v>
      </c>
      <c r="AJ37" s="19"/>
      <c r="AK37" s="20"/>
      <c r="AL37" s="21">
        <f t="shared" si="0"/>
        <v>0</v>
      </c>
      <c r="AM37" s="20">
        <f t="shared" si="1"/>
        <v>0</v>
      </c>
      <c r="AN37" s="19"/>
      <c r="AO37" s="20"/>
      <c r="AP37" s="21">
        <f t="shared" si="2"/>
        <v>0</v>
      </c>
      <c r="AQ37" s="20">
        <f t="shared" si="3"/>
        <v>0</v>
      </c>
      <c r="AR37" s="19"/>
      <c r="AS37" s="21">
        <f t="shared" si="4"/>
        <v>19</v>
      </c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</row>
    <row r="38" spans="2:60">
      <c r="B38" s="278"/>
      <c r="C38" s="20" t="s">
        <v>103</v>
      </c>
      <c r="D38" s="20" t="s">
        <v>104</v>
      </c>
      <c r="E38" s="79" t="s">
        <v>66</v>
      </c>
      <c r="F38" s="79" t="s">
        <v>66</v>
      </c>
      <c r="G38" s="28" t="s">
        <v>22</v>
      </c>
      <c r="H38" s="28" t="s">
        <v>22</v>
      </c>
      <c r="I38" s="85" t="s">
        <v>100</v>
      </c>
      <c r="J38" s="85" t="s">
        <v>100</v>
      </c>
      <c r="K38" s="85" t="s">
        <v>100</v>
      </c>
      <c r="L38" s="85" t="s">
        <v>100</v>
      </c>
      <c r="M38" s="28" t="s">
        <v>22</v>
      </c>
      <c r="N38" s="28" t="s">
        <v>22</v>
      </c>
      <c r="O38" s="79" t="s">
        <v>66</v>
      </c>
      <c r="P38" s="79" t="s">
        <v>66</v>
      </c>
      <c r="Q38" s="79" t="s">
        <v>66</v>
      </c>
      <c r="R38" s="79" t="s">
        <v>66</v>
      </c>
      <c r="S38" s="28" t="s">
        <v>22</v>
      </c>
      <c r="T38" s="28" t="s">
        <v>22</v>
      </c>
      <c r="U38" s="85" t="s">
        <v>100</v>
      </c>
      <c r="V38" s="85" t="s">
        <v>100</v>
      </c>
      <c r="W38" s="85" t="s">
        <v>100</v>
      </c>
      <c r="X38" s="85" t="s">
        <v>100</v>
      </c>
      <c r="Y38" s="28" t="s">
        <v>22</v>
      </c>
      <c r="Z38" s="28" t="s">
        <v>22</v>
      </c>
      <c r="AA38" s="79" t="s">
        <v>66</v>
      </c>
      <c r="AB38" s="79" t="s">
        <v>66</v>
      </c>
      <c r="AC38" s="79" t="s">
        <v>66</v>
      </c>
      <c r="AD38" s="79" t="s">
        <v>66</v>
      </c>
      <c r="AE38" s="28" t="s">
        <v>22</v>
      </c>
      <c r="AF38" s="28" t="s">
        <v>22</v>
      </c>
      <c r="AG38" s="85" t="s">
        <v>100</v>
      </c>
      <c r="AH38" s="85" t="s">
        <v>100</v>
      </c>
      <c r="AI38" s="121" t="s">
        <v>100</v>
      </c>
      <c r="AJ38" s="19"/>
      <c r="AK38" s="20"/>
      <c r="AL38" s="21">
        <f t="shared" si="0"/>
        <v>0</v>
      </c>
      <c r="AM38" s="20">
        <f t="shared" si="1"/>
        <v>0</v>
      </c>
      <c r="AN38" s="19"/>
      <c r="AO38" s="20"/>
      <c r="AP38" s="21">
        <f t="shared" si="2"/>
        <v>0</v>
      </c>
      <c r="AQ38" s="20">
        <f t="shared" si="3"/>
        <v>0</v>
      </c>
      <c r="AR38" s="19"/>
      <c r="AS38" s="21">
        <f t="shared" si="4"/>
        <v>21</v>
      </c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</row>
    <row r="39" spans="2:60">
      <c r="B39" s="279"/>
      <c r="C39" s="108" t="s">
        <v>105</v>
      </c>
      <c r="D39" s="109" t="s">
        <v>106</v>
      </c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  <c r="Z39" s="206"/>
      <c r="AA39" s="206"/>
      <c r="AB39" s="206"/>
      <c r="AC39" s="206"/>
      <c r="AD39" s="206"/>
      <c r="AE39" s="206"/>
      <c r="AF39" s="206"/>
      <c r="AG39" s="206"/>
      <c r="AH39" s="206"/>
      <c r="AI39" s="207"/>
      <c r="AJ39" s="19"/>
      <c r="AK39" s="20"/>
      <c r="AL39" s="21">
        <f t="shared" si="0"/>
        <v>0</v>
      </c>
      <c r="AM39" s="20">
        <f t="shared" si="1"/>
        <v>0</v>
      </c>
      <c r="AN39" s="19"/>
      <c r="AO39" s="20"/>
      <c r="AP39" s="21">
        <f t="shared" si="2"/>
        <v>0</v>
      </c>
      <c r="AQ39" s="20">
        <f t="shared" si="3"/>
        <v>0</v>
      </c>
      <c r="AR39" s="19"/>
      <c r="AS39" s="21">
        <f t="shared" si="4"/>
        <v>0</v>
      </c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</row>
    <row r="40" spans="2:60" ht="15" customHeight="1">
      <c r="B40" s="280" t="s">
        <v>108</v>
      </c>
      <c r="C40" s="88" t="s">
        <v>109</v>
      </c>
      <c r="D40" s="88" t="s">
        <v>110</v>
      </c>
      <c r="E40" s="205" t="s">
        <v>113</v>
      </c>
      <c r="F40" s="205" t="s">
        <v>113</v>
      </c>
      <c r="G40" s="205" t="s">
        <v>113</v>
      </c>
      <c r="H40" s="103" t="s">
        <v>22</v>
      </c>
      <c r="I40" s="103" t="s">
        <v>22</v>
      </c>
      <c r="J40" s="205" t="s">
        <v>113</v>
      </c>
      <c r="K40" s="205" t="s">
        <v>113</v>
      </c>
      <c r="L40" s="205" t="s">
        <v>113</v>
      </c>
      <c r="M40" s="205" t="s">
        <v>113</v>
      </c>
      <c r="N40" s="205" t="s">
        <v>113</v>
      </c>
      <c r="O40" s="103" t="s">
        <v>22</v>
      </c>
      <c r="P40" s="103" t="s">
        <v>22</v>
      </c>
      <c r="Q40" s="205" t="s">
        <v>113</v>
      </c>
      <c r="R40" s="205" t="s">
        <v>113</v>
      </c>
      <c r="S40" s="205" t="s">
        <v>113</v>
      </c>
      <c r="T40" s="205" t="s">
        <v>113</v>
      </c>
      <c r="U40" s="205" t="s">
        <v>113</v>
      </c>
      <c r="V40" s="103" t="s">
        <v>22</v>
      </c>
      <c r="W40" s="103" t="s">
        <v>22</v>
      </c>
      <c r="X40" s="205" t="s">
        <v>113</v>
      </c>
      <c r="Y40" s="205" t="s">
        <v>113</v>
      </c>
      <c r="Z40" s="205" t="s">
        <v>113</v>
      </c>
      <c r="AA40" s="205" t="s">
        <v>113</v>
      </c>
      <c r="AB40" s="205" t="s">
        <v>113</v>
      </c>
      <c r="AC40" s="103" t="s">
        <v>22</v>
      </c>
      <c r="AD40" s="103" t="s">
        <v>22</v>
      </c>
      <c r="AE40" s="205" t="s">
        <v>113</v>
      </c>
      <c r="AF40" s="205" t="s">
        <v>113</v>
      </c>
      <c r="AG40" s="205" t="s">
        <v>113</v>
      </c>
      <c r="AH40" s="205" t="s">
        <v>113</v>
      </c>
      <c r="AI40" s="210" t="s">
        <v>113</v>
      </c>
      <c r="AJ40" s="19"/>
      <c r="AK40" s="20"/>
      <c r="AL40" s="21">
        <f t="shared" si="0"/>
        <v>0</v>
      </c>
      <c r="AM40" s="20">
        <f t="shared" si="1"/>
        <v>0</v>
      </c>
      <c r="AN40" s="19"/>
      <c r="AO40" s="20"/>
      <c r="AP40" s="21">
        <f t="shared" si="2"/>
        <v>0</v>
      </c>
      <c r="AQ40" s="20">
        <f t="shared" si="3"/>
        <v>0</v>
      </c>
      <c r="AR40" s="19"/>
      <c r="AS40" s="21">
        <f t="shared" si="4"/>
        <v>23</v>
      </c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</row>
    <row r="41" spans="2:60">
      <c r="B41" s="276"/>
      <c r="C41" s="22" t="s">
        <v>111</v>
      </c>
      <c r="D41" s="20" t="s">
        <v>112</v>
      </c>
      <c r="E41" s="80" t="s">
        <v>113</v>
      </c>
      <c r="F41" s="80" t="s">
        <v>113</v>
      </c>
      <c r="G41" s="80" t="s">
        <v>113</v>
      </c>
      <c r="H41" s="28" t="s">
        <v>22</v>
      </c>
      <c r="I41" s="28" t="s">
        <v>22</v>
      </c>
      <c r="J41" s="80" t="s">
        <v>113</v>
      </c>
      <c r="K41" s="80" t="s">
        <v>113</v>
      </c>
      <c r="L41" s="80" t="s">
        <v>113</v>
      </c>
      <c r="M41" s="80" t="s">
        <v>113</v>
      </c>
      <c r="N41" s="80" t="s">
        <v>113</v>
      </c>
      <c r="O41" s="28" t="s">
        <v>22</v>
      </c>
      <c r="P41" s="28" t="s">
        <v>22</v>
      </c>
      <c r="Q41" s="80" t="s">
        <v>113</v>
      </c>
      <c r="R41" s="80" t="s">
        <v>113</v>
      </c>
      <c r="S41" s="80" t="s">
        <v>113</v>
      </c>
      <c r="T41" s="80" t="s">
        <v>113</v>
      </c>
      <c r="U41" s="80" t="s">
        <v>113</v>
      </c>
      <c r="V41" s="28" t="s">
        <v>22</v>
      </c>
      <c r="W41" s="28" t="s">
        <v>22</v>
      </c>
      <c r="X41" s="80" t="s">
        <v>113</v>
      </c>
      <c r="Y41" s="80" t="s">
        <v>113</v>
      </c>
      <c r="Z41" s="80" t="s">
        <v>113</v>
      </c>
      <c r="AA41" s="80" t="s">
        <v>113</v>
      </c>
      <c r="AB41" s="80" t="s">
        <v>113</v>
      </c>
      <c r="AC41" s="28" t="s">
        <v>22</v>
      </c>
      <c r="AD41" s="28" t="s">
        <v>22</v>
      </c>
      <c r="AE41" s="75" t="s">
        <v>26</v>
      </c>
      <c r="AF41" s="80" t="s">
        <v>113</v>
      </c>
      <c r="AG41" s="80" t="s">
        <v>113</v>
      </c>
      <c r="AH41" s="80" t="s">
        <v>113</v>
      </c>
      <c r="AI41" s="190" t="s">
        <v>113</v>
      </c>
      <c r="AJ41" s="19"/>
      <c r="AK41" s="20"/>
      <c r="AL41" s="21">
        <f t="shared" si="0"/>
        <v>0</v>
      </c>
      <c r="AM41" s="20">
        <f t="shared" si="1"/>
        <v>0</v>
      </c>
      <c r="AN41" s="19"/>
      <c r="AO41" s="20"/>
      <c r="AP41" s="21">
        <f t="shared" si="2"/>
        <v>0</v>
      </c>
      <c r="AQ41" s="20">
        <f t="shared" si="3"/>
        <v>0</v>
      </c>
      <c r="AR41" s="19"/>
      <c r="AS41" s="21">
        <f t="shared" si="4"/>
        <v>22</v>
      </c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</row>
    <row r="42" spans="2:60">
      <c r="B42" s="276"/>
      <c r="C42" s="20" t="s">
        <v>114</v>
      </c>
      <c r="D42" s="20" t="s">
        <v>115</v>
      </c>
      <c r="E42" s="81" t="s">
        <v>116</v>
      </c>
      <c r="F42" s="81" t="s">
        <v>116</v>
      </c>
      <c r="G42" s="81" t="s">
        <v>116</v>
      </c>
      <c r="H42" s="28" t="s">
        <v>22</v>
      </c>
      <c r="I42" s="28" t="s">
        <v>22</v>
      </c>
      <c r="J42" s="81" t="s">
        <v>116</v>
      </c>
      <c r="K42" s="81" t="s">
        <v>116</v>
      </c>
      <c r="L42" s="81" t="s">
        <v>116</v>
      </c>
      <c r="M42" s="81" t="s">
        <v>116</v>
      </c>
      <c r="N42" s="81" t="s">
        <v>116</v>
      </c>
      <c r="O42" s="28" t="s">
        <v>22</v>
      </c>
      <c r="P42" s="28" t="s">
        <v>22</v>
      </c>
      <c r="Q42" s="81" t="s">
        <v>116</v>
      </c>
      <c r="R42" s="81" t="s">
        <v>116</v>
      </c>
      <c r="S42" s="81" t="s">
        <v>116</v>
      </c>
      <c r="T42" s="81" t="s">
        <v>116</v>
      </c>
      <c r="U42" s="81" t="s">
        <v>116</v>
      </c>
      <c r="V42" s="28" t="s">
        <v>22</v>
      </c>
      <c r="W42" s="28" t="s">
        <v>22</v>
      </c>
      <c r="X42" s="81" t="s">
        <v>116</v>
      </c>
      <c r="Y42" s="81" t="s">
        <v>116</v>
      </c>
      <c r="Z42" s="81" t="s">
        <v>116</v>
      </c>
      <c r="AA42" s="81" t="s">
        <v>116</v>
      </c>
      <c r="AB42" s="81" t="s">
        <v>116</v>
      </c>
      <c r="AC42" s="28" t="s">
        <v>22</v>
      </c>
      <c r="AD42" s="28" t="s">
        <v>22</v>
      </c>
      <c r="AE42" s="81" t="s">
        <v>116</v>
      </c>
      <c r="AF42" s="81" t="s">
        <v>116</v>
      </c>
      <c r="AG42" s="81" t="s">
        <v>116</v>
      </c>
      <c r="AH42" s="81" t="s">
        <v>116</v>
      </c>
      <c r="AI42" s="191" t="s">
        <v>116</v>
      </c>
      <c r="AJ42" s="19"/>
      <c r="AK42" s="20"/>
      <c r="AL42" s="21">
        <f t="shared" si="0"/>
        <v>0</v>
      </c>
      <c r="AM42" s="20">
        <f t="shared" si="1"/>
        <v>0</v>
      </c>
      <c r="AN42" s="19"/>
      <c r="AO42" s="26"/>
      <c r="AP42" s="21">
        <f t="shared" si="2"/>
        <v>0</v>
      </c>
      <c r="AQ42" s="44">
        <f t="shared" si="3"/>
        <v>0</v>
      </c>
      <c r="AR42" s="19"/>
      <c r="AS42" s="21">
        <f t="shared" si="4"/>
        <v>23</v>
      </c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</row>
    <row r="43" spans="2:60">
      <c r="B43" s="276"/>
      <c r="C43" s="22" t="s">
        <v>117</v>
      </c>
      <c r="D43" s="20" t="s">
        <v>118</v>
      </c>
      <c r="E43" s="28" t="s">
        <v>22</v>
      </c>
      <c r="F43" s="28" t="s">
        <v>22</v>
      </c>
      <c r="G43" s="74" t="s">
        <v>23</v>
      </c>
      <c r="H43" s="74" t="s">
        <v>23</v>
      </c>
      <c r="I43" s="74" t="s">
        <v>23</v>
      </c>
      <c r="J43" s="74" t="s">
        <v>23</v>
      </c>
      <c r="K43" s="28" t="s">
        <v>22</v>
      </c>
      <c r="L43" s="28" t="s">
        <v>22</v>
      </c>
      <c r="M43" s="60" t="s">
        <v>21</v>
      </c>
      <c r="N43" s="60" t="s">
        <v>21</v>
      </c>
      <c r="O43" s="60" t="s">
        <v>21</v>
      </c>
      <c r="P43" s="60" t="s">
        <v>21</v>
      </c>
      <c r="Q43" s="28" t="s">
        <v>22</v>
      </c>
      <c r="R43" s="28" t="s">
        <v>22</v>
      </c>
      <c r="S43" s="74" t="s">
        <v>23</v>
      </c>
      <c r="T43" s="74" t="s">
        <v>23</v>
      </c>
      <c r="U43" s="74" t="s">
        <v>23</v>
      </c>
      <c r="V43" s="74" t="s">
        <v>23</v>
      </c>
      <c r="W43" s="28" t="s">
        <v>22</v>
      </c>
      <c r="X43" s="28" t="s">
        <v>22</v>
      </c>
      <c r="Y43" s="60" t="s">
        <v>21</v>
      </c>
      <c r="Z43" s="60" t="s">
        <v>21</v>
      </c>
      <c r="AA43" s="60" t="s">
        <v>21</v>
      </c>
      <c r="AB43" s="60" t="s">
        <v>21</v>
      </c>
      <c r="AC43" s="28" t="s">
        <v>22</v>
      </c>
      <c r="AD43" s="28" t="s">
        <v>22</v>
      </c>
      <c r="AE43" s="74" t="s">
        <v>23</v>
      </c>
      <c r="AF43" s="74" t="s">
        <v>23</v>
      </c>
      <c r="AG43" s="74" t="s">
        <v>23</v>
      </c>
      <c r="AH43" s="74" t="s">
        <v>23</v>
      </c>
      <c r="AI43" s="91" t="s">
        <v>22</v>
      </c>
      <c r="AJ43" s="19"/>
      <c r="AK43" s="20"/>
      <c r="AL43" s="21">
        <f t="shared" si="0"/>
        <v>0</v>
      </c>
      <c r="AM43" s="20">
        <f t="shared" si="1"/>
        <v>0</v>
      </c>
      <c r="AN43" s="19"/>
      <c r="AO43" s="20"/>
      <c r="AP43" s="21">
        <f t="shared" si="2"/>
        <v>0</v>
      </c>
      <c r="AQ43" s="20">
        <f t="shared" si="3"/>
        <v>0</v>
      </c>
      <c r="AR43" s="19"/>
      <c r="AS43" s="21">
        <f t="shared" si="4"/>
        <v>20</v>
      </c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</row>
    <row r="44" spans="2:60">
      <c r="B44" s="276"/>
      <c r="C44" s="20" t="s">
        <v>119</v>
      </c>
      <c r="D44" s="20" t="s">
        <v>120</v>
      </c>
      <c r="E44" s="28" t="s">
        <v>22</v>
      </c>
      <c r="F44" s="28" t="s">
        <v>22</v>
      </c>
      <c r="G44" s="74" t="s">
        <v>23</v>
      </c>
      <c r="H44" s="74" t="s">
        <v>23</v>
      </c>
      <c r="I44" s="74" t="s">
        <v>23</v>
      </c>
      <c r="J44" s="74" t="s">
        <v>23</v>
      </c>
      <c r="K44" s="28" t="s">
        <v>22</v>
      </c>
      <c r="L44" s="28" t="s">
        <v>22</v>
      </c>
      <c r="M44" s="60" t="s">
        <v>21</v>
      </c>
      <c r="N44" s="60" t="s">
        <v>21</v>
      </c>
      <c r="O44" s="60" t="s">
        <v>21</v>
      </c>
      <c r="P44" s="60" t="s">
        <v>21</v>
      </c>
      <c r="Q44" s="28" t="s">
        <v>22</v>
      </c>
      <c r="R44" s="28" t="s">
        <v>22</v>
      </c>
      <c r="S44" s="74" t="s">
        <v>23</v>
      </c>
      <c r="T44" s="74" t="s">
        <v>23</v>
      </c>
      <c r="U44" s="74" t="s">
        <v>23</v>
      </c>
      <c r="V44" s="74" t="s">
        <v>23</v>
      </c>
      <c r="W44" s="28" t="s">
        <v>22</v>
      </c>
      <c r="X44" s="28" t="s">
        <v>22</v>
      </c>
      <c r="Y44" s="60" t="s">
        <v>21</v>
      </c>
      <c r="Z44" s="60" t="s">
        <v>21</v>
      </c>
      <c r="AA44" s="60" t="s">
        <v>21</v>
      </c>
      <c r="AB44" s="60" t="s">
        <v>21</v>
      </c>
      <c r="AC44" s="28" t="s">
        <v>22</v>
      </c>
      <c r="AD44" s="28" t="s">
        <v>22</v>
      </c>
      <c r="AE44" s="74" t="s">
        <v>23</v>
      </c>
      <c r="AF44" s="74" t="s">
        <v>23</v>
      </c>
      <c r="AG44" s="74" t="s">
        <v>23</v>
      </c>
      <c r="AH44" s="74" t="s">
        <v>23</v>
      </c>
      <c r="AI44" s="91" t="s">
        <v>22</v>
      </c>
      <c r="AJ44" s="19"/>
      <c r="AK44" s="20"/>
      <c r="AL44" s="21">
        <f t="shared" si="0"/>
        <v>0</v>
      </c>
      <c r="AM44" s="20">
        <f t="shared" si="1"/>
        <v>0</v>
      </c>
      <c r="AN44" s="19"/>
      <c r="AO44" s="20"/>
      <c r="AP44" s="21">
        <f t="shared" si="2"/>
        <v>0</v>
      </c>
      <c r="AQ44" s="20">
        <f t="shared" si="3"/>
        <v>0</v>
      </c>
      <c r="AR44" s="19"/>
      <c r="AS44" s="21">
        <f t="shared" si="4"/>
        <v>20</v>
      </c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</row>
    <row r="45" spans="2:60">
      <c r="B45" s="276"/>
      <c r="C45" s="22" t="s">
        <v>121</v>
      </c>
      <c r="D45" s="20" t="s">
        <v>122</v>
      </c>
      <c r="E45" s="60" t="s">
        <v>21</v>
      </c>
      <c r="F45" s="60" t="s">
        <v>21</v>
      </c>
      <c r="G45" s="60" t="s">
        <v>21</v>
      </c>
      <c r="H45" s="60" t="s">
        <v>21</v>
      </c>
      <c r="I45" s="28" t="s">
        <v>22</v>
      </c>
      <c r="J45" s="28" t="s">
        <v>22</v>
      </c>
      <c r="K45" s="74" t="s">
        <v>23</v>
      </c>
      <c r="L45" s="74" t="s">
        <v>23</v>
      </c>
      <c r="M45" s="74" t="s">
        <v>23</v>
      </c>
      <c r="N45" s="74" t="s">
        <v>23</v>
      </c>
      <c r="O45" s="28" t="s">
        <v>22</v>
      </c>
      <c r="P45" s="28" t="s">
        <v>22</v>
      </c>
      <c r="Q45" s="60" t="s">
        <v>21</v>
      </c>
      <c r="R45" s="60" t="s">
        <v>21</v>
      </c>
      <c r="S45" s="60" t="s">
        <v>21</v>
      </c>
      <c r="T45" s="60" t="s">
        <v>21</v>
      </c>
      <c r="U45" s="28" t="s">
        <v>22</v>
      </c>
      <c r="V45" s="28" t="s">
        <v>22</v>
      </c>
      <c r="W45" s="74" t="s">
        <v>23</v>
      </c>
      <c r="X45" s="74" t="s">
        <v>23</v>
      </c>
      <c r="Y45" s="74" t="s">
        <v>23</v>
      </c>
      <c r="Z45" s="74" t="s">
        <v>23</v>
      </c>
      <c r="AA45" s="28" t="s">
        <v>22</v>
      </c>
      <c r="AB45" s="28" t="s">
        <v>22</v>
      </c>
      <c r="AC45" s="60" t="s">
        <v>21</v>
      </c>
      <c r="AD45" s="60" t="s">
        <v>21</v>
      </c>
      <c r="AE45" s="60" t="s">
        <v>21</v>
      </c>
      <c r="AF45" s="60" t="s">
        <v>21</v>
      </c>
      <c r="AG45" s="28" t="s">
        <v>22</v>
      </c>
      <c r="AH45" s="28" t="s">
        <v>22</v>
      </c>
      <c r="AI45" s="89" t="s">
        <v>23</v>
      </c>
      <c r="AJ45" s="19"/>
      <c r="AK45" s="20"/>
      <c r="AL45" s="21">
        <f t="shared" si="0"/>
        <v>0</v>
      </c>
      <c r="AM45" s="20">
        <f t="shared" si="1"/>
        <v>0</v>
      </c>
      <c r="AN45" s="19"/>
      <c r="AO45" s="20"/>
      <c r="AP45" s="21">
        <f t="shared" si="2"/>
        <v>0</v>
      </c>
      <c r="AQ45" s="20">
        <f t="shared" si="3"/>
        <v>0</v>
      </c>
      <c r="AR45" s="19"/>
      <c r="AS45" s="21">
        <f t="shared" si="4"/>
        <v>21</v>
      </c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</row>
    <row r="46" spans="2:60" ht="15" customHeight="1">
      <c r="B46" s="276"/>
      <c r="C46" s="20" t="s">
        <v>124</v>
      </c>
      <c r="D46" s="20" t="s">
        <v>125</v>
      </c>
      <c r="E46" s="60" t="s">
        <v>21</v>
      </c>
      <c r="F46" s="60" t="s">
        <v>21</v>
      </c>
      <c r="G46" s="60" t="s">
        <v>21</v>
      </c>
      <c r="H46" s="60" t="s">
        <v>21</v>
      </c>
      <c r="I46" s="28" t="s">
        <v>22</v>
      </c>
      <c r="J46" s="28" t="s">
        <v>22</v>
      </c>
      <c r="K46" s="74" t="s">
        <v>23</v>
      </c>
      <c r="L46" s="74" t="s">
        <v>23</v>
      </c>
      <c r="M46" s="74" t="s">
        <v>23</v>
      </c>
      <c r="N46" s="74" t="s">
        <v>23</v>
      </c>
      <c r="O46" s="28" t="s">
        <v>22</v>
      </c>
      <c r="P46" s="28" t="s">
        <v>22</v>
      </c>
      <c r="Q46" s="60" t="s">
        <v>21</v>
      </c>
      <c r="R46" s="60" t="s">
        <v>21</v>
      </c>
      <c r="S46" s="60" t="s">
        <v>21</v>
      </c>
      <c r="T46" s="60" t="s">
        <v>21</v>
      </c>
      <c r="U46" s="28" t="s">
        <v>22</v>
      </c>
      <c r="V46" s="28" t="s">
        <v>22</v>
      </c>
      <c r="W46" s="74" t="s">
        <v>23</v>
      </c>
      <c r="X46" s="74" t="s">
        <v>23</v>
      </c>
      <c r="Y46" s="74" t="s">
        <v>23</v>
      </c>
      <c r="Z46" s="74" t="s">
        <v>23</v>
      </c>
      <c r="AA46" s="28" t="s">
        <v>22</v>
      </c>
      <c r="AB46" s="28" t="s">
        <v>22</v>
      </c>
      <c r="AC46" s="60" t="s">
        <v>21</v>
      </c>
      <c r="AD46" s="60" t="s">
        <v>21</v>
      </c>
      <c r="AE46" s="60" t="s">
        <v>21</v>
      </c>
      <c r="AF46" s="60" t="s">
        <v>21</v>
      </c>
      <c r="AG46" s="28" t="s">
        <v>22</v>
      </c>
      <c r="AH46" s="28" t="s">
        <v>22</v>
      </c>
      <c r="AI46" s="89" t="s">
        <v>23</v>
      </c>
      <c r="AJ46" s="19"/>
      <c r="AK46" s="20"/>
      <c r="AL46" s="21">
        <f t="shared" si="0"/>
        <v>0</v>
      </c>
      <c r="AM46" s="20">
        <f t="shared" si="1"/>
        <v>0</v>
      </c>
      <c r="AN46" s="19"/>
      <c r="AO46" s="20"/>
      <c r="AP46" s="21">
        <f t="shared" si="2"/>
        <v>0</v>
      </c>
      <c r="AQ46" s="20">
        <f t="shared" si="3"/>
        <v>0</v>
      </c>
      <c r="AR46" s="19"/>
      <c r="AS46" s="21">
        <f t="shared" si="4"/>
        <v>21</v>
      </c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</row>
    <row r="47" spans="2:60">
      <c r="B47" s="281"/>
      <c r="C47" s="92" t="s">
        <v>126</v>
      </c>
      <c r="D47" s="93" t="s">
        <v>127</v>
      </c>
      <c r="E47" s="96" t="s">
        <v>23</v>
      </c>
      <c r="F47" s="96" t="s">
        <v>23</v>
      </c>
      <c r="G47" s="94" t="s">
        <v>22</v>
      </c>
      <c r="H47" s="94" t="s">
        <v>22</v>
      </c>
      <c r="I47" s="95" t="s">
        <v>21</v>
      </c>
      <c r="J47" s="95" t="s">
        <v>21</v>
      </c>
      <c r="K47" s="95" t="s">
        <v>21</v>
      </c>
      <c r="L47" s="95" t="s">
        <v>21</v>
      </c>
      <c r="M47" s="94" t="s">
        <v>22</v>
      </c>
      <c r="N47" s="94" t="s">
        <v>22</v>
      </c>
      <c r="O47" s="96" t="s">
        <v>23</v>
      </c>
      <c r="P47" s="96" t="s">
        <v>23</v>
      </c>
      <c r="Q47" s="96" t="s">
        <v>23</v>
      </c>
      <c r="R47" s="96" t="s">
        <v>23</v>
      </c>
      <c r="S47" s="94" t="s">
        <v>22</v>
      </c>
      <c r="T47" s="94" t="s">
        <v>22</v>
      </c>
      <c r="U47" s="95" t="s">
        <v>21</v>
      </c>
      <c r="V47" s="95" t="s">
        <v>21</v>
      </c>
      <c r="W47" s="95" t="s">
        <v>21</v>
      </c>
      <c r="X47" s="95" t="s">
        <v>21</v>
      </c>
      <c r="Y47" s="94" t="s">
        <v>22</v>
      </c>
      <c r="Z47" s="94" t="s">
        <v>22</v>
      </c>
      <c r="AA47" s="96" t="s">
        <v>23</v>
      </c>
      <c r="AB47" s="96" t="s">
        <v>23</v>
      </c>
      <c r="AC47" s="96" t="s">
        <v>23</v>
      </c>
      <c r="AD47" s="96" t="s">
        <v>23</v>
      </c>
      <c r="AE47" s="94" t="s">
        <v>22</v>
      </c>
      <c r="AF47" s="94" t="s">
        <v>22</v>
      </c>
      <c r="AG47" s="95" t="s">
        <v>21</v>
      </c>
      <c r="AH47" s="95" t="s">
        <v>21</v>
      </c>
      <c r="AI47" s="122" t="s">
        <v>21</v>
      </c>
      <c r="AJ47" s="19"/>
      <c r="AK47" s="20"/>
      <c r="AL47" s="21">
        <f t="shared" si="0"/>
        <v>0</v>
      </c>
      <c r="AM47" s="20">
        <f t="shared" si="1"/>
        <v>0</v>
      </c>
      <c r="AN47" s="19"/>
      <c r="AO47" s="20"/>
      <c r="AP47" s="21">
        <f t="shared" si="2"/>
        <v>0</v>
      </c>
      <c r="AQ47" s="20">
        <f t="shared" si="3"/>
        <v>0</v>
      </c>
      <c r="AR47" s="19"/>
      <c r="AS47" s="21">
        <f t="shared" si="4"/>
        <v>21</v>
      </c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</row>
    <row r="48" spans="2:60">
      <c r="B48" s="42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</row>
    <row r="49" spans="2:60">
      <c r="B49" s="282" t="s">
        <v>252</v>
      </c>
      <c r="C49" s="286" t="s">
        <v>253</v>
      </c>
      <c r="D49" s="286"/>
      <c r="E49" s="21">
        <f>COUNTIF(C5:C47,$C$49)</f>
        <v>0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</row>
    <row r="50" spans="2:60">
      <c r="B50" s="282"/>
      <c r="C50" s="286" t="s">
        <v>253</v>
      </c>
      <c r="D50" s="286"/>
      <c r="E50" s="21">
        <f>COUNTIF(C5:C47,$C$50)</f>
        <v>0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</row>
    <row r="51" spans="2:60">
      <c r="C51" s="286" t="s">
        <v>128</v>
      </c>
      <c r="D51" s="286"/>
      <c r="E51" s="21">
        <f>E49+E50</f>
        <v>0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</row>
    <row r="52" spans="2:60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</row>
    <row r="53" spans="2:60"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</row>
    <row r="54" spans="2:60">
      <c r="C54" s="19"/>
      <c r="D54" s="19"/>
      <c r="E54" s="28" t="s">
        <v>22</v>
      </c>
      <c r="F54" s="250" t="s">
        <v>129</v>
      </c>
      <c r="G54" s="251"/>
      <c r="H54" s="251"/>
      <c r="I54" s="252"/>
      <c r="J54" s="19"/>
      <c r="K54" s="29" t="s">
        <v>130</v>
      </c>
      <c r="L54" s="250" t="s">
        <v>131</v>
      </c>
      <c r="M54" s="251"/>
      <c r="N54" s="251"/>
      <c r="O54" s="252"/>
      <c r="P54" s="19"/>
      <c r="Q54" s="256" t="s">
        <v>132</v>
      </c>
      <c r="R54" s="256"/>
      <c r="S54" s="256"/>
      <c r="T54" s="25"/>
      <c r="V54" s="258" t="s">
        <v>133</v>
      </c>
      <c r="W54" s="258"/>
      <c r="X54" s="258"/>
      <c r="Y54" s="258" t="s">
        <v>134</v>
      </c>
      <c r="Z54" s="258"/>
      <c r="AA54" s="258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</row>
    <row r="55" spans="2:60">
      <c r="C55" s="19"/>
      <c r="D55" s="19"/>
      <c r="E55" s="28" t="s">
        <v>135</v>
      </c>
      <c r="F55" s="250" t="s">
        <v>136</v>
      </c>
      <c r="G55" s="251"/>
      <c r="H55" s="251"/>
      <c r="I55" s="252"/>
      <c r="J55" s="19"/>
      <c r="K55" s="29" t="s">
        <v>123</v>
      </c>
      <c r="L55" s="250" t="s">
        <v>137</v>
      </c>
      <c r="M55" s="251"/>
      <c r="N55" s="251"/>
      <c r="O55" s="252"/>
      <c r="P55" s="19"/>
      <c r="Q55" s="21" t="s">
        <v>20</v>
      </c>
      <c r="R55" s="283" t="s">
        <v>138</v>
      </c>
      <c r="S55" s="284"/>
      <c r="U55" s="57" t="s">
        <v>29</v>
      </c>
      <c r="V55" s="240" t="s">
        <v>139</v>
      </c>
      <c r="W55" s="240"/>
      <c r="X55" s="240"/>
      <c r="Y55" s="240" t="s">
        <v>140</v>
      </c>
      <c r="Z55" s="240"/>
      <c r="AA55" s="240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</row>
    <row r="56" spans="2:60">
      <c r="C56" s="19"/>
      <c r="D56" s="19"/>
      <c r="E56" s="30" t="s">
        <v>20</v>
      </c>
      <c r="F56" s="250" t="s">
        <v>141</v>
      </c>
      <c r="G56" s="251"/>
      <c r="H56" s="251"/>
      <c r="I56" s="252"/>
      <c r="J56" s="19"/>
      <c r="K56" s="28" t="s">
        <v>107</v>
      </c>
      <c r="L56" s="250" t="s">
        <v>142</v>
      </c>
      <c r="M56" s="251"/>
      <c r="N56" s="251"/>
      <c r="O56" s="252"/>
      <c r="P56" s="19"/>
      <c r="Q56" s="21" t="s">
        <v>143</v>
      </c>
      <c r="R56" s="283" t="s">
        <v>144</v>
      </c>
      <c r="S56" s="284"/>
      <c r="U56" s="46" t="s">
        <v>145</v>
      </c>
      <c r="V56" s="240" t="s">
        <v>146</v>
      </c>
      <c r="W56" s="240"/>
      <c r="X56" s="240"/>
      <c r="Y56" s="240" t="s">
        <v>147</v>
      </c>
      <c r="Z56" s="240"/>
      <c r="AA56" s="240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</row>
    <row r="57" spans="2:60">
      <c r="C57" s="19"/>
      <c r="D57" s="19"/>
      <c r="E57" s="31" t="s">
        <v>36</v>
      </c>
      <c r="F57" s="250" t="s">
        <v>148</v>
      </c>
      <c r="G57" s="251"/>
      <c r="H57" s="251"/>
      <c r="I57" s="252"/>
      <c r="J57" s="19"/>
      <c r="K57" s="28" t="s">
        <v>143</v>
      </c>
      <c r="L57" s="250" t="s">
        <v>142</v>
      </c>
      <c r="M57" s="251"/>
      <c r="N57" s="251"/>
      <c r="O57" s="252"/>
      <c r="P57" s="19"/>
      <c r="Q57" s="21" t="s">
        <v>149</v>
      </c>
      <c r="R57" s="259" t="s">
        <v>150</v>
      </c>
      <c r="S57" s="260"/>
      <c r="U57" s="47" t="s">
        <v>151</v>
      </c>
      <c r="V57" s="240" t="s">
        <v>152</v>
      </c>
      <c r="W57" s="240"/>
      <c r="X57" s="240"/>
      <c r="Y57" s="240" t="s">
        <v>153</v>
      </c>
      <c r="Z57" s="240"/>
      <c r="AA57" s="240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</row>
    <row r="58" spans="2:60">
      <c r="C58" s="19"/>
      <c r="D58" s="19"/>
      <c r="E58" s="31" t="s">
        <v>33</v>
      </c>
      <c r="F58" s="250" t="s">
        <v>154</v>
      </c>
      <c r="G58" s="251"/>
      <c r="H58" s="251"/>
      <c r="I58" s="252"/>
      <c r="J58" s="19"/>
      <c r="K58" s="28" t="s">
        <v>155</v>
      </c>
      <c r="L58" s="250" t="s">
        <v>142</v>
      </c>
      <c r="M58" s="251"/>
      <c r="N58" s="251"/>
      <c r="O58" s="252"/>
      <c r="P58" s="19"/>
      <c r="Q58" s="21" t="s">
        <v>156</v>
      </c>
      <c r="R58" s="282" t="s">
        <v>157</v>
      </c>
      <c r="S58" s="282"/>
      <c r="U58" s="58" t="s">
        <v>100</v>
      </c>
      <c r="V58" s="240" t="s">
        <v>158</v>
      </c>
      <c r="W58" s="240"/>
      <c r="X58" s="240"/>
      <c r="Y58" s="240" t="s">
        <v>159</v>
      </c>
      <c r="Z58" s="240"/>
      <c r="AA58" s="240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</row>
    <row r="59" spans="2:60">
      <c r="C59" s="19"/>
      <c r="D59" s="19"/>
      <c r="E59" s="32" t="s">
        <v>20</v>
      </c>
      <c r="F59" s="250" t="s">
        <v>160</v>
      </c>
      <c r="G59" s="251"/>
      <c r="H59" s="251"/>
      <c r="I59" s="252"/>
      <c r="J59" s="19"/>
      <c r="K59" s="33" t="s">
        <v>81</v>
      </c>
      <c r="L59" s="250" t="s">
        <v>161</v>
      </c>
      <c r="M59" s="251"/>
      <c r="N59" s="251"/>
      <c r="O59" s="252"/>
      <c r="P59" s="19"/>
      <c r="Q59" s="21" t="s">
        <v>162</v>
      </c>
      <c r="R59" s="282" t="s">
        <v>163</v>
      </c>
      <c r="S59" s="282"/>
      <c r="U59" s="59" t="s">
        <v>164</v>
      </c>
      <c r="V59" s="240" t="s">
        <v>165</v>
      </c>
      <c r="W59" s="240"/>
      <c r="X59" s="240"/>
      <c r="Y59" s="240" t="s">
        <v>166</v>
      </c>
      <c r="Z59" s="240"/>
      <c r="AA59" s="240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</row>
    <row r="60" spans="2:60">
      <c r="C60" s="19"/>
      <c r="D60" s="19"/>
      <c r="E60" s="32" t="s">
        <v>36</v>
      </c>
      <c r="F60" s="250" t="s">
        <v>167</v>
      </c>
      <c r="G60" s="251"/>
      <c r="H60" s="251"/>
      <c r="I60" s="252"/>
      <c r="J60" s="19"/>
      <c r="K60" s="28" t="s">
        <v>168</v>
      </c>
      <c r="L60" s="250" t="s">
        <v>161</v>
      </c>
      <c r="M60" s="251"/>
      <c r="N60" s="251"/>
      <c r="O60" s="252"/>
      <c r="T60" s="19"/>
      <c r="U60" s="72" t="s">
        <v>169</v>
      </c>
      <c r="V60" s="240" t="s">
        <v>170</v>
      </c>
      <c r="W60" s="240"/>
      <c r="X60" s="240"/>
      <c r="Y60" s="240" t="s">
        <v>171</v>
      </c>
      <c r="Z60" s="240"/>
      <c r="AA60" s="240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</row>
    <row r="61" spans="2:60">
      <c r="C61" s="19"/>
      <c r="D61" s="19"/>
      <c r="E61" s="34" t="s">
        <v>26</v>
      </c>
      <c r="F61" s="250" t="s">
        <v>172</v>
      </c>
      <c r="G61" s="251"/>
      <c r="H61" s="251"/>
      <c r="I61" s="252"/>
      <c r="J61" s="19"/>
      <c r="K61" s="28" t="s">
        <v>173</v>
      </c>
      <c r="L61" s="250" t="s">
        <v>161</v>
      </c>
      <c r="M61" s="251"/>
      <c r="N61" s="251"/>
      <c r="O61" s="252"/>
      <c r="T61" s="19"/>
      <c r="U61" s="60" t="s">
        <v>21</v>
      </c>
      <c r="V61" s="240" t="s">
        <v>174</v>
      </c>
      <c r="W61" s="240"/>
      <c r="X61" s="240"/>
      <c r="Y61" s="240" t="s">
        <v>175</v>
      </c>
      <c r="Z61" s="240"/>
      <c r="AA61" s="240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</row>
    <row r="62" spans="2:60">
      <c r="C62" s="19"/>
      <c r="D62" s="19"/>
      <c r="E62" s="34" t="s">
        <v>176</v>
      </c>
      <c r="F62" s="250" t="s">
        <v>177</v>
      </c>
      <c r="G62" s="251"/>
      <c r="H62" s="251"/>
      <c r="I62" s="252"/>
      <c r="J62" s="19"/>
      <c r="K62" s="28" t="s">
        <v>178</v>
      </c>
      <c r="L62" s="250" t="s">
        <v>161</v>
      </c>
      <c r="M62" s="251"/>
      <c r="N62" s="251"/>
      <c r="O62" s="252"/>
      <c r="T62" s="19"/>
      <c r="U62" s="61" t="s">
        <v>179</v>
      </c>
      <c r="V62" s="240" t="s">
        <v>180</v>
      </c>
      <c r="W62" s="240"/>
      <c r="X62" s="240"/>
      <c r="Y62" s="240" t="s">
        <v>181</v>
      </c>
      <c r="Z62" s="240"/>
      <c r="AA62" s="240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</row>
    <row r="63" spans="2:60">
      <c r="C63" s="19"/>
      <c r="D63" s="19"/>
      <c r="E63" s="32" t="s">
        <v>182</v>
      </c>
      <c r="F63" s="250" t="s">
        <v>183</v>
      </c>
      <c r="G63" s="251"/>
      <c r="H63" s="251"/>
      <c r="I63" s="252"/>
      <c r="J63" s="19"/>
      <c r="K63" s="27" t="s">
        <v>67</v>
      </c>
      <c r="L63" s="250" t="s">
        <v>161</v>
      </c>
      <c r="M63" s="251"/>
      <c r="N63" s="251"/>
      <c r="O63" s="252"/>
      <c r="P63" s="19"/>
      <c r="Q63" s="19"/>
      <c r="R63" s="19"/>
      <c r="S63" s="19"/>
      <c r="T63" s="19"/>
      <c r="U63" s="62" t="s">
        <v>184</v>
      </c>
      <c r="V63" s="240" t="s">
        <v>185</v>
      </c>
      <c r="W63" s="240"/>
      <c r="X63" s="240"/>
      <c r="Y63" s="240" t="s">
        <v>186</v>
      </c>
      <c r="Z63" s="240"/>
      <c r="AA63" s="240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</row>
    <row r="64" spans="2:60">
      <c r="C64" s="19"/>
      <c r="D64" s="19"/>
      <c r="E64" s="33" t="s">
        <v>30</v>
      </c>
      <c r="F64" s="250" t="s">
        <v>187</v>
      </c>
      <c r="G64" s="251"/>
      <c r="H64" s="251"/>
      <c r="I64" s="252"/>
      <c r="J64" s="19"/>
      <c r="K64" s="28" t="s">
        <v>188</v>
      </c>
      <c r="L64" s="250" t="s">
        <v>161</v>
      </c>
      <c r="M64" s="251"/>
      <c r="N64" s="251"/>
      <c r="O64" s="252"/>
      <c r="P64" s="19"/>
      <c r="Q64" s="19"/>
      <c r="R64" s="19"/>
      <c r="S64" s="19"/>
      <c r="T64" s="19"/>
      <c r="U64" s="50" t="s">
        <v>42</v>
      </c>
      <c r="V64" s="240" t="s">
        <v>189</v>
      </c>
      <c r="W64" s="240"/>
      <c r="X64" s="240"/>
      <c r="Y64" s="240" t="s">
        <v>190</v>
      </c>
      <c r="Z64" s="240"/>
      <c r="AA64" s="240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</row>
    <row r="65" spans="3:60">
      <c r="C65" s="19"/>
      <c r="D65" s="19"/>
      <c r="E65" s="35" t="s">
        <v>191</v>
      </c>
      <c r="F65" s="250" t="s">
        <v>192</v>
      </c>
      <c r="G65" s="251"/>
      <c r="H65" s="251"/>
      <c r="I65" s="252"/>
      <c r="J65" s="19"/>
      <c r="K65" s="28" t="s">
        <v>193</v>
      </c>
      <c r="L65" s="250" t="s">
        <v>161</v>
      </c>
      <c r="M65" s="251"/>
      <c r="N65" s="251"/>
      <c r="O65" s="252"/>
      <c r="P65" s="19"/>
      <c r="Q65" s="19"/>
      <c r="R65" s="19"/>
      <c r="S65" s="19"/>
      <c r="T65" s="19"/>
      <c r="U65" s="51" t="s">
        <v>194</v>
      </c>
      <c r="V65" s="240" t="s">
        <v>195</v>
      </c>
      <c r="W65" s="240"/>
      <c r="X65" s="240"/>
      <c r="Y65" s="240" t="s">
        <v>196</v>
      </c>
      <c r="Z65" s="240"/>
      <c r="AA65" s="240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</row>
    <row r="66" spans="3:60">
      <c r="C66" s="19"/>
      <c r="D66" s="19"/>
      <c r="E66" s="36" t="s">
        <v>197</v>
      </c>
      <c r="F66" s="250" t="s">
        <v>198</v>
      </c>
      <c r="G66" s="251"/>
      <c r="H66" s="251"/>
      <c r="I66" s="252"/>
      <c r="J66" s="19"/>
      <c r="K66" s="37" t="s">
        <v>199</v>
      </c>
      <c r="L66" s="250" t="s">
        <v>161</v>
      </c>
      <c r="M66" s="251"/>
      <c r="N66" s="251"/>
      <c r="O66" s="252"/>
      <c r="P66" s="19"/>
      <c r="Q66" s="19"/>
      <c r="R66" s="19"/>
      <c r="S66" s="19"/>
      <c r="T66" s="19"/>
      <c r="U66" s="49" t="s">
        <v>200</v>
      </c>
      <c r="V66" s="240" t="s">
        <v>201</v>
      </c>
      <c r="W66" s="240"/>
      <c r="X66" s="240"/>
      <c r="Y66" s="240" t="s">
        <v>202</v>
      </c>
      <c r="Z66" s="240"/>
      <c r="AA66" s="240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</row>
    <row r="67" spans="3:60">
      <c r="C67" s="19"/>
      <c r="D67" s="19"/>
      <c r="E67" s="27" t="s">
        <v>203</v>
      </c>
      <c r="F67" s="250" t="s">
        <v>204</v>
      </c>
      <c r="G67" s="251"/>
      <c r="H67" s="251"/>
      <c r="I67" s="252"/>
      <c r="J67" s="19"/>
      <c r="K67" s="28" t="s">
        <v>205</v>
      </c>
      <c r="L67" s="250" t="s">
        <v>161</v>
      </c>
      <c r="M67" s="251"/>
      <c r="N67" s="251"/>
      <c r="O67" s="252"/>
      <c r="P67" s="19"/>
      <c r="Q67" s="19"/>
      <c r="R67" s="19"/>
      <c r="S67" s="19"/>
      <c r="T67" s="19"/>
      <c r="U67" s="63" t="s">
        <v>206</v>
      </c>
      <c r="V67" s="240" t="s">
        <v>207</v>
      </c>
      <c r="W67" s="240"/>
      <c r="X67" s="240"/>
      <c r="Y67" s="240" t="s">
        <v>208</v>
      </c>
      <c r="Z67" s="240"/>
      <c r="AA67" s="240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</row>
    <row r="68" spans="3:60">
      <c r="C68" s="19"/>
      <c r="D68" s="19"/>
      <c r="E68" s="36" t="s">
        <v>209</v>
      </c>
      <c r="F68" s="250" t="s">
        <v>210</v>
      </c>
      <c r="G68" s="251"/>
      <c r="H68" s="251"/>
      <c r="I68" s="252"/>
      <c r="J68" s="19"/>
      <c r="K68" s="38" t="s">
        <v>211</v>
      </c>
      <c r="L68" s="250" t="s">
        <v>212</v>
      </c>
      <c r="M68" s="251"/>
      <c r="N68" s="251"/>
      <c r="O68" s="252"/>
      <c r="P68" s="19"/>
      <c r="Q68" s="19"/>
      <c r="R68" s="19"/>
      <c r="S68" s="19"/>
      <c r="T68" s="19"/>
      <c r="U68" s="56" t="s">
        <v>116</v>
      </c>
      <c r="V68" s="240" t="s">
        <v>213</v>
      </c>
      <c r="W68" s="240"/>
      <c r="X68" s="240"/>
      <c r="Y68" s="240" t="s">
        <v>214</v>
      </c>
      <c r="Z68" s="240"/>
      <c r="AA68" s="240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</row>
    <row r="69" spans="3:60">
      <c r="C69" s="19"/>
      <c r="D69" s="19"/>
      <c r="U69" s="54" t="s">
        <v>215</v>
      </c>
      <c r="V69" s="240" t="s">
        <v>216</v>
      </c>
      <c r="W69" s="240"/>
      <c r="X69" s="240"/>
      <c r="Y69" s="240" t="s">
        <v>217</v>
      </c>
      <c r="Z69" s="240"/>
      <c r="AA69" s="240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</row>
    <row r="70" spans="3:60"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55" t="s">
        <v>113</v>
      </c>
      <c r="V70" s="240" t="s">
        <v>218</v>
      </c>
      <c r="W70" s="240"/>
      <c r="X70" s="240"/>
      <c r="Y70" s="240" t="s">
        <v>219</v>
      </c>
      <c r="Z70" s="240"/>
      <c r="AA70" s="240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</row>
    <row r="71" spans="3:60"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64" t="s">
        <v>220</v>
      </c>
      <c r="V71" s="240" t="s">
        <v>221</v>
      </c>
      <c r="W71" s="240"/>
      <c r="X71" s="240"/>
      <c r="Y71" s="240" t="s">
        <v>222</v>
      </c>
      <c r="Z71" s="240"/>
      <c r="AA71" s="240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</row>
    <row r="72" spans="3:60"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65" t="s">
        <v>223</v>
      </c>
      <c r="V72" s="240" t="s">
        <v>224</v>
      </c>
      <c r="W72" s="240"/>
      <c r="X72" s="240"/>
      <c r="Y72" s="240" t="s">
        <v>225</v>
      </c>
      <c r="Z72" s="240"/>
      <c r="AA72" s="240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</row>
    <row r="73" spans="3:60"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66" t="s">
        <v>226</v>
      </c>
      <c r="V73" s="240" t="s">
        <v>227</v>
      </c>
      <c r="W73" s="240"/>
      <c r="X73" s="240"/>
      <c r="Y73" s="240" t="s">
        <v>228</v>
      </c>
      <c r="Z73" s="240"/>
      <c r="AA73" s="240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</row>
    <row r="74" spans="3:60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67" t="s">
        <v>84</v>
      </c>
      <c r="V74" s="240" t="s">
        <v>229</v>
      </c>
      <c r="W74" s="240"/>
      <c r="X74" s="240"/>
      <c r="Y74" s="240" t="s">
        <v>230</v>
      </c>
      <c r="Z74" s="240"/>
      <c r="AA74" s="240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</row>
    <row r="75" spans="3:60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68" t="s">
        <v>41</v>
      </c>
      <c r="V75" s="240" t="s">
        <v>231</v>
      </c>
      <c r="W75" s="240"/>
      <c r="X75" s="240"/>
      <c r="Y75" s="240" t="s">
        <v>232</v>
      </c>
      <c r="Z75" s="240"/>
      <c r="AA75" s="240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</row>
    <row r="76" spans="3:60"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69" t="s">
        <v>233</v>
      </c>
      <c r="V76" s="240" t="s">
        <v>234</v>
      </c>
      <c r="W76" s="240"/>
      <c r="X76" s="240"/>
      <c r="Y76" s="240" t="s">
        <v>235</v>
      </c>
      <c r="Z76" s="240"/>
      <c r="AA76" s="240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</row>
    <row r="77" spans="3:60"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70" t="s">
        <v>66</v>
      </c>
      <c r="V77" s="240" t="s">
        <v>236</v>
      </c>
      <c r="W77" s="240"/>
      <c r="X77" s="240"/>
      <c r="Y77" s="240" t="s">
        <v>237</v>
      </c>
      <c r="Z77" s="240"/>
      <c r="AA77" s="240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</row>
    <row r="78" spans="3:60"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52" t="s">
        <v>23</v>
      </c>
      <c r="V78" s="240" t="s">
        <v>238</v>
      </c>
      <c r="W78" s="240"/>
      <c r="X78" s="240"/>
      <c r="Y78" s="240" t="s">
        <v>239</v>
      </c>
      <c r="Z78" s="240"/>
      <c r="AA78" s="240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</row>
    <row r="79" spans="3:60"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53" t="s">
        <v>240</v>
      </c>
      <c r="V79" s="240" t="s">
        <v>241</v>
      </c>
      <c r="W79" s="240"/>
      <c r="X79" s="240"/>
      <c r="Y79" s="240" t="s">
        <v>242</v>
      </c>
      <c r="Z79" s="240"/>
      <c r="AA79" s="240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</row>
    <row r="80" spans="3:60"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71" t="s">
        <v>243</v>
      </c>
      <c r="V80" s="240" t="s">
        <v>244</v>
      </c>
      <c r="W80" s="240"/>
      <c r="X80" s="240"/>
      <c r="Y80" s="240" t="s">
        <v>245</v>
      </c>
      <c r="Z80" s="240"/>
      <c r="AA80" s="240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</row>
    <row r="81" spans="3:60"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48" t="s">
        <v>246</v>
      </c>
      <c r="V81" s="240" t="s">
        <v>247</v>
      </c>
      <c r="W81" s="240"/>
      <c r="X81" s="240"/>
      <c r="Y81" s="240" t="s">
        <v>248</v>
      </c>
      <c r="Z81" s="240"/>
      <c r="AA81" s="240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</row>
    <row r="82" spans="3:60"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</row>
    <row r="83" spans="3:60"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</row>
    <row r="84" spans="3:60"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</row>
    <row r="85" spans="3:60"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</row>
    <row r="86" spans="3:60"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</row>
    <row r="87" spans="3:60"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</row>
    <row r="88" spans="3:60"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</row>
    <row r="89" spans="3:60"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</row>
    <row r="90" spans="3:60"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</row>
    <row r="91" spans="3:60"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</row>
    <row r="92" spans="3:60"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</row>
    <row r="93" spans="3:60"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</row>
    <row r="94" spans="3:60"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</row>
    <row r="95" spans="3:60"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</row>
    <row r="96" spans="3:60"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</row>
    <row r="97" spans="3:60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</row>
    <row r="98" spans="3:60"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</row>
    <row r="99" spans="3:60"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</row>
    <row r="100" spans="3:60"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</row>
    <row r="101" spans="3:60"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</row>
    <row r="102" spans="3:60"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</row>
    <row r="103" spans="3:60"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</row>
    <row r="104" spans="3:60"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</row>
    <row r="105" spans="3:60"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</row>
    <row r="106" spans="3:60"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</row>
    <row r="107" spans="3:60"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</row>
    <row r="108" spans="3:60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</row>
    <row r="109" spans="3:60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</row>
    <row r="110" spans="3:60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</row>
    <row r="111" spans="3:60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</row>
    <row r="112" spans="3:60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</row>
    <row r="113" spans="3:60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</row>
    <row r="114" spans="3:60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</row>
    <row r="115" spans="3:60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</row>
    <row r="116" spans="3:60"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</row>
    <row r="117" spans="3:60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</row>
    <row r="118" spans="3:60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</row>
    <row r="119" spans="3:60"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</row>
    <row r="120" spans="3:60"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</row>
    <row r="121" spans="3:60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</row>
    <row r="122" spans="3:60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</row>
    <row r="123" spans="3:60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</row>
    <row r="124" spans="3:60"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</row>
    <row r="125" spans="3:60"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</row>
    <row r="126" spans="3:60"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</row>
    <row r="127" spans="3:60"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</row>
    <row r="128" spans="3:60"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</row>
    <row r="129" spans="3:60"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</row>
    <row r="130" spans="3:60"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</row>
    <row r="131" spans="3:60"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</row>
    <row r="132" spans="3:60"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</row>
    <row r="133" spans="3:60"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</row>
    <row r="134" spans="3:60"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</row>
    <row r="135" spans="3:60"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</row>
    <row r="136" spans="3:60"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</row>
    <row r="137" spans="3:60"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</row>
    <row r="138" spans="3:60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</row>
    <row r="139" spans="3:60"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</row>
    <row r="140" spans="3:60"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</row>
    <row r="141" spans="3:60"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</row>
    <row r="142" spans="3:60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</row>
    <row r="143" spans="3:60"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</row>
    <row r="144" spans="3:60"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</row>
    <row r="145" spans="3:60"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</row>
    <row r="146" spans="3:60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</row>
    <row r="147" spans="3:60"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</row>
    <row r="148" spans="3:60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</row>
    <row r="149" spans="3:60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</row>
    <row r="150" spans="3:60"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</row>
    <row r="151" spans="3:60"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</row>
    <row r="152" spans="3:60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</row>
    <row r="153" spans="3:60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</row>
    <row r="154" spans="3:60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</row>
    <row r="155" spans="3:60"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</row>
    <row r="156" spans="3:60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</row>
    <row r="157" spans="3:60"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</row>
    <row r="158" spans="3:60"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</row>
    <row r="159" spans="3:60"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</row>
    <row r="160" spans="3:60"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</row>
    <row r="161" spans="3:60"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</row>
    <row r="162" spans="3:60"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</row>
    <row r="163" spans="3:60"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</row>
    <row r="164" spans="3:60"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</row>
    <row r="165" spans="3:60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</row>
    <row r="166" spans="3:60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</row>
    <row r="167" spans="3:60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</row>
    <row r="168" spans="3:60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</row>
    <row r="169" spans="3:60"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</row>
    <row r="170" spans="3:60"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</row>
    <row r="171" spans="3:60"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</row>
    <row r="172" spans="3:60"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</row>
    <row r="173" spans="3:60"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</row>
    <row r="174" spans="3:60"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</row>
    <row r="175" spans="3:60"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</row>
    <row r="176" spans="3:60"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</row>
    <row r="177" spans="3:60"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</row>
    <row r="178" spans="3:60"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</row>
    <row r="179" spans="3:60"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</row>
    <row r="180" spans="3:60"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</row>
    <row r="181" spans="3:60"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</row>
    <row r="182" spans="3:60"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</row>
    <row r="183" spans="3:60"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</row>
    <row r="184" spans="3:60"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</row>
    <row r="185" spans="3:60"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</row>
    <row r="186" spans="3:60"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</row>
    <row r="187" spans="3:60"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</row>
    <row r="188" spans="3:60"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</row>
    <row r="189" spans="3:60"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</row>
    <row r="190" spans="3:60"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</row>
    <row r="191" spans="3:60"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</row>
    <row r="192" spans="3:60"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</row>
    <row r="193" spans="3:60"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</row>
    <row r="194" spans="3:60"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</row>
    <row r="195" spans="3:60"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</row>
    <row r="196" spans="3:60"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</row>
    <row r="197" spans="3:60"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</row>
    <row r="198" spans="3:60"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</row>
    <row r="199" spans="3:60"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</row>
    <row r="200" spans="3:60"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</row>
    <row r="201" spans="3:60"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</row>
    <row r="202" spans="3:60"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</row>
    <row r="203" spans="3:60"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</row>
    <row r="204" spans="3:60"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</row>
    <row r="205" spans="3:60"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</row>
    <row r="206" spans="3:60"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</row>
    <row r="207" spans="3:60"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</row>
    <row r="208" spans="3:60"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</row>
    <row r="209" spans="3:60"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</row>
    <row r="210" spans="3:60"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</row>
    <row r="211" spans="3:60"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</row>
    <row r="212" spans="3:60"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</row>
    <row r="213" spans="3:60"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</row>
    <row r="214" spans="3:60"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</row>
    <row r="215" spans="3:60"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</row>
    <row r="216" spans="3:60"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</row>
    <row r="217" spans="3:60"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</row>
    <row r="218" spans="3:60"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</row>
    <row r="219" spans="3:60"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</row>
    <row r="220" spans="3:60"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</row>
    <row r="221" spans="3:60"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</row>
    <row r="222" spans="3:60"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</row>
    <row r="223" spans="3:60"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</row>
    <row r="224" spans="3:60"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</row>
    <row r="225" spans="3:60"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</row>
    <row r="226" spans="3:60"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</row>
    <row r="227" spans="3:60"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</row>
    <row r="228" spans="3:60"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</row>
    <row r="229" spans="3:60"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</row>
    <row r="230" spans="3:60"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</row>
    <row r="231" spans="3:60"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</row>
    <row r="232" spans="3:60"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</row>
    <row r="233" spans="3:60"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</row>
    <row r="234" spans="3:60"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</row>
    <row r="235" spans="3:60"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</row>
    <row r="236" spans="3:60"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</row>
    <row r="237" spans="3:60"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</row>
    <row r="238" spans="3:60"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</row>
    <row r="239" spans="3:60"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</row>
    <row r="240" spans="3:60"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</row>
    <row r="241" spans="3:60"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</row>
    <row r="242" spans="3:60"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</row>
    <row r="243" spans="3:60"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</row>
    <row r="244" spans="3:60"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</row>
    <row r="245" spans="3:60"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</row>
    <row r="246" spans="3:60"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</row>
    <row r="247" spans="3:60"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</row>
    <row r="248" spans="3:60"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</row>
    <row r="249" spans="3:60"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</row>
    <row r="250" spans="3:60"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</row>
    <row r="251" spans="3:60"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</row>
    <row r="252" spans="3:60"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</row>
    <row r="253" spans="3:60"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</row>
    <row r="254" spans="3:60"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</row>
    <row r="255" spans="3:60"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</row>
    <row r="256" spans="3:60"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</row>
    <row r="257" spans="3:60"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</row>
    <row r="258" spans="3:60"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</row>
    <row r="259" spans="3:60"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</row>
    <row r="260" spans="3:60"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</row>
    <row r="261" spans="3:60"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</row>
    <row r="262" spans="3:60"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</row>
    <row r="263" spans="3:60"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</row>
    <row r="264" spans="3:60"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</row>
    <row r="265" spans="3:60"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</row>
    <row r="266" spans="3:60"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</row>
    <row r="267" spans="3:60"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</row>
    <row r="268" spans="3:60"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</row>
    <row r="269" spans="3:60"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</row>
    <row r="270" spans="3:60"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</row>
    <row r="271" spans="3:60"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</row>
    <row r="272" spans="3:60"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</row>
    <row r="273" spans="3:60"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</row>
    <row r="274" spans="3:60"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</row>
    <row r="275" spans="3:60"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</row>
    <row r="276" spans="3:60"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</row>
    <row r="277" spans="3:60"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</row>
    <row r="278" spans="3:60"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</row>
    <row r="279" spans="3:60"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</row>
    <row r="280" spans="3:60"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</row>
    <row r="281" spans="3:60"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</row>
    <row r="282" spans="3:60"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</row>
    <row r="283" spans="3:60"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</row>
    <row r="284" spans="3:60"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</row>
    <row r="285" spans="3:60"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</row>
    <row r="286" spans="3:60"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</row>
    <row r="287" spans="3:60"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</row>
    <row r="288" spans="3:60"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</row>
    <row r="289" spans="3:60"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</row>
    <row r="290" spans="3:60"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</row>
    <row r="291" spans="3:60"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</row>
    <row r="292" spans="3:60"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</row>
    <row r="293" spans="3:60"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</row>
    <row r="294" spans="3:60"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</row>
    <row r="295" spans="3:60"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</row>
    <row r="296" spans="3:60"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</row>
    <row r="297" spans="3:60"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</row>
    <row r="298" spans="3:60"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</row>
    <row r="299" spans="3:60"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</row>
    <row r="300" spans="3:60"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</row>
    <row r="301" spans="3:60"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</row>
    <row r="302" spans="3:60"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</row>
    <row r="303" spans="3:60"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</row>
    <row r="304" spans="3:60"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</row>
    <row r="305" spans="3:60"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</row>
    <row r="306" spans="3:60"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</row>
    <row r="307" spans="3:60"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</row>
    <row r="308" spans="3:60"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</row>
    <row r="309" spans="3:60"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</row>
    <row r="310" spans="3:60"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</row>
    <row r="311" spans="3:60"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</row>
    <row r="312" spans="3:60"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</row>
    <row r="313" spans="3:60"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</row>
    <row r="314" spans="3:60"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</row>
    <row r="315" spans="3:60"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</row>
    <row r="316" spans="3:60"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</row>
    <row r="317" spans="3:60"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</row>
    <row r="318" spans="3:60"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</row>
    <row r="319" spans="3:60"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</row>
    <row r="320" spans="3:60"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</row>
    <row r="321" spans="3:60"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</row>
    <row r="322" spans="3:60"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</row>
    <row r="323" spans="3:60"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</row>
    <row r="324" spans="3:60"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</row>
    <row r="325" spans="3:60"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</row>
    <row r="326" spans="3:60"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</row>
    <row r="327" spans="3:60"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</row>
  </sheetData>
  <autoFilter ref="E4:AI4" xr:uid="{D1CEEBC9-B4E5-4974-97B8-EBF418D8D693}"/>
  <mergeCells count="108">
    <mergeCell ref="V80:X80"/>
    <mergeCell ref="Y80:AA80"/>
    <mergeCell ref="V76:X76"/>
    <mergeCell ref="Y76:AA76"/>
    <mergeCell ref="V77:X77"/>
    <mergeCell ref="Y77:AA77"/>
    <mergeCell ref="V78:X78"/>
    <mergeCell ref="Y78:AA78"/>
    <mergeCell ref="F61:I61"/>
    <mergeCell ref="L61:O61"/>
    <mergeCell ref="F62:I62"/>
    <mergeCell ref="L62:O62"/>
    <mergeCell ref="F63:I63"/>
    <mergeCell ref="L63:O63"/>
    <mergeCell ref="F67:I67"/>
    <mergeCell ref="L67:O67"/>
    <mergeCell ref="Y62:AA62"/>
    <mergeCell ref="V62:X62"/>
    <mergeCell ref="V66:X66"/>
    <mergeCell ref="Y61:AA61"/>
    <mergeCell ref="V61:X61"/>
    <mergeCell ref="V63:X63"/>
    <mergeCell ref="Y63:AA63"/>
    <mergeCell ref="V64:X64"/>
    <mergeCell ref="R59:S59"/>
    <mergeCell ref="V57:X57"/>
    <mergeCell ref="Y57:AA57"/>
    <mergeCell ref="V58:X58"/>
    <mergeCell ref="Y58:AA58"/>
    <mergeCell ref="V59:X59"/>
    <mergeCell ref="Y59:AA59"/>
    <mergeCell ref="V79:X79"/>
    <mergeCell ref="Y79:AA79"/>
    <mergeCell ref="Y64:AA64"/>
    <mergeCell ref="V65:X65"/>
    <mergeCell ref="Y65:AA65"/>
    <mergeCell ref="Y74:AA74"/>
    <mergeCell ref="V75:X75"/>
    <mergeCell ref="Y75:AA75"/>
    <mergeCell ref="V70:X70"/>
    <mergeCell ref="Y70:AA70"/>
    <mergeCell ref="V71:X71"/>
    <mergeCell ref="Y71:AA71"/>
    <mergeCell ref="Y66:AA66"/>
    <mergeCell ref="V67:X67"/>
    <mergeCell ref="Y67:AA67"/>
    <mergeCell ref="V72:X72"/>
    <mergeCell ref="Y72:AA72"/>
    <mergeCell ref="V56:X56"/>
    <mergeCell ref="Y56:AA56"/>
    <mergeCell ref="V60:X60"/>
    <mergeCell ref="AK2:AM3"/>
    <mergeCell ref="B2:B4"/>
    <mergeCell ref="C2:D2"/>
    <mergeCell ref="E2:AI2"/>
    <mergeCell ref="C3:D4"/>
    <mergeCell ref="Y60:AA60"/>
    <mergeCell ref="F54:I54"/>
    <mergeCell ref="L54:O54"/>
    <mergeCell ref="Q54:S54"/>
    <mergeCell ref="V54:X54"/>
    <mergeCell ref="Y54:AA54"/>
    <mergeCell ref="V55:X55"/>
    <mergeCell ref="B49:B50"/>
    <mergeCell ref="B25:B35"/>
    <mergeCell ref="C49:D49"/>
    <mergeCell ref="C50:D50"/>
    <mergeCell ref="C51:D51"/>
    <mergeCell ref="F59:I59"/>
    <mergeCell ref="L59:O59"/>
    <mergeCell ref="F60:I60"/>
    <mergeCell ref="L60:O60"/>
    <mergeCell ref="F57:I57"/>
    <mergeCell ref="L57:O57"/>
    <mergeCell ref="F58:I58"/>
    <mergeCell ref="L58:O58"/>
    <mergeCell ref="F55:I55"/>
    <mergeCell ref="L55:O55"/>
    <mergeCell ref="F56:I56"/>
    <mergeCell ref="L56:O56"/>
    <mergeCell ref="R55:S55"/>
    <mergeCell ref="R56:S56"/>
    <mergeCell ref="R57:S57"/>
    <mergeCell ref="R58:S58"/>
    <mergeCell ref="B5:B12"/>
    <mergeCell ref="B13:B24"/>
    <mergeCell ref="B36:B39"/>
    <mergeCell ref="B40:B47"/>
    <mergeCell ref="AO2:AQ3"/>
    <mergeCell ref="AS2:AS4"/>
    <mergeCell ref="V81:X81"/>
    <mergeCell ref="Y81:AA81"/>
    <mergeCell ref="F68:I68"/>
    <mergeCell ref="L68:O68"/>
    <mergeCell ref="F64:I64"/>
    <mergeCell ref="L64:O64"/>
    <mergeCell ref="F65:I65"/>
    <mergeCell ref="L65:O65"/>
    <mergeCell ref="F66:I66"/>
    <mergeCell ref="L66:O66"/>
    <mergeCell ref="V69:X69"/>
    <mergeCell ref="Y69:AA69"/>
    <mergeCell ref="V68:X68"/>
    <mergeCell ref="Y68:AA68"/>
    <mergeCell ref="V73:X73"/>
    <mergeCell ref="Y73:AA73"/>
    <mergeCell ref="V74:X74"/>
    <mergeCell ref="Y55:AA55"/>
  </mergeCells>
  <conditionalFormatting sqref="AM5:AM47">
    <cfRule type="cellIs" dxfId="35" priority="2" operator="greaterThan">
      <formula>1</formula>
    </cfRule>
    <cfRule type="cellIs" dxfId="34" priority="3" operator="equal">
      <formula>1</formula>
    </cfRule>
    <cfRule type="cellIs" dxfId="33" priority="4" operator="greaterThan">
      <formula>0</formula>
    </cfRule>
  </conditionalFormatting>
  <conditionalFormatting sqref="AQ5:AQ47">
    <cfRule type="cellIs" dxfId="32" priority="1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" operator="equal" id="{E89A1035-4E83-4429-8009-4376A2D6A1D4}">
            <xm:f>Sheet1!$B$3</xm:f>
            <x14:dxf>
              <fill>
                <patternFill>
                  <bgColor theme="6" tint="0.79998168889431442"/>
                </patternFill>
              </fill>
            </x14:dxf>
          </x14:cfRule>
          <x14:cfRule type="cellIs" priority="7" operator="equal" id="{37476690-FD3D-4C6E-AF49-D5F847406952}">
            <xm:f>Sheet1!$B$2</xm:f>
            <x14:dxf>
              <fill>
                <patternFill>
                  <bgColor rgb="FFFFFF99"/>
                </patternFill>
              </fill>
            </x14:dxf>
          </x14:cfRule>
          <xm:sqref>B2:B4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7B875EB-0562-40FF-8B21-06591050BF5A}">
          <x14:formula1>
            <xm:f>Sheet1!$B$2:$B$3</xm:f>
          </x14:formula1>
          <xm:sqref>B2:B4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1C26-015C-438D-8594-4E9183307085}">
  <dimension ref="B2:BH327"/>
  <sheetViews>
    <sheetView showGridLines="0" zoomScaleNormal="100" workbookViewId="0">
      <pane xSplit="4" ySplit="4" topLeftCell="E25" activePane="bottomRight" state="frozen"/>
      <selection pane="bottomRight" activeCell="J46" sqref="J46"/>
      <selection pane="bottomLeft"/>
      <selection pane="topRight"/>
    </sheetView>
  </sheetViews>
  <sheetFormatPr defaultRowHeight="15"/>
  <cols>
    <col min="1" max="2" width="9.140625" style="18"/>
    <col min="3" max="3" width="20.7109375" style="18" customWidth="1"/>
    <col min="4" max="4" width="30.28515625" style="18" bestFit="1" customWidth="1"/>
    <col min="5" max="35" width="6" style="18" customWidth="1"/>
    <col min="36" max="40" width="9.140625" style="18"/>
    <col min="41" max="41" width="10.7109375" style="18" customWidth="1"/>
    <col min="42" max="44" width="9.140625" style="18"/>
    <col min="45" max="45" width="10.7109375" style="18" customWidth="1"/>
    <col min="46" max="16384" width="9.140625" style="18"/>
  </cols>
  <sheetData>
    <row r="2" spans="2:60" ht="15.75" customHeight="1">
      <c r="B2" s="270" t="s">
        <v>0</v>
      </c>
      <c r="C2" s="267" t="s">
        <v>2</v>
      </c>
      <c r="D2" s="267"/>
      <c r="E2" s="253" t="s">
        <v>3</v>
      </c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5"/>
      <c r="AK2" s="241" t="s">
        <v>4</v>
      </c>
      <c r="AL2" s="242"/>
      <c r="AM2" s="243"/>
      <c r="AO2" s="241" t="s">
        <v>5</v>
      </c>
      <c r="AP2" s="242"/>
      <c r="AQ2" s="243"/>
      <c r="AS2" s="247" t="s">
        <v>6</v>
      </c>
    </row>
    <row r="3" spans="2:60" ht="15.75" customHeight="1">
      <c r="B3" s="271"/>
      <c r="C3" s="268" t="s">
        <v>258</v>
      </c>
      <c r="D3" s="268"/>
      <c r="E3" s="2" t="s">
        <v>10</v>
      </c>
      <c r="F3" s="2" t="s">
        <v>11</v>
      </c>
      <c r="G3" s="1" t="s">
        <v>12</v>
      </c>
      <c r="H3" s="1" t="s">
        <v>13</v>
      </c>
      <c r="I3" s="1" t="s">
        <v>14</v>
      </c>
      <c r="J3" s="1" t="s">
        <v>8</v>
      </c>
      <c r="K3" s="1" t="s">
        <v>9</v>
      </c>
      <c r="L3" s="2" t="s">
        <v>10</v>
      </c>
      <c r="M3" s="2" t="s">
        <v>11</v>
      </c>
      <c r="N3" s="1" t="s">
        <v>12</v>
      </c>
      <c r="O3" s="1" t="s">
        <v>13</v>
      </c>
      <c r="P3" s="1" t="s">
        <v>14</v>
      </c>
      <c r="Q3" s="1" t="s">
        <v>8</v>
      </c>
      <c r="R3" s="12" t="s">
        <v>9</v>
      </c>
      <c r="S3" s="13" t="s">
        <v>10</v>
      </c>
      <c r="T3" s="2" t="s">
        <v>11</v>
      </c>
      <c r="U3" s="1" t="s">
        <v>12</v>
      </c>
      <c r="V3" s="1" t="s">
        <v>13</v>
      </c>
      <c r="W3" s="1" t="s">
        <v>14</v>
      </c>
      <c r="X3" s="1" t="s">
        <v>8</v>
      </c>
      <c r="Y3" s="1" t="s">
        <v>9</v>
      </c>
      <c r="Z3" s="2" t="s">
        <v>10</v>
      </c>
      <c r="AA3" s="2" t="s">
        <v>11</v>
      </c>
      <c r="AB3" s="1" t="s">
        <v>12</v>
      </c>
      <c r="AC3" s="1" t="s">
        <v>13</v>
      </c>
      <c r="AD3" s="1" t="s">
        <v>14</v>
      </c>
      <c r="AE3" s="1" t="s">
        <v>8</v>
      </c>
      <c r="AF3" s="1" t="s">
        <v>9</v>
      </c>
      <c r="AG3" s="2" t="s">
        <v>10</v>
      </c>
      <c r="AH3" s="2" t="s">
        <v>11</v>
      </c>
      <c r="AI3" s="6" t="s">
        <v>12</v>
      </c>
      <c r="AK3" s="244"/>
      <c r="AL3" s="245"/>
      <c r="AM3" s="246"/>
      <c r="AO3" s="244"/>
      <c r="AP3" s="245"/>
      <c r="AQ3" s="246"/>
      <c r="AS3" s="248"/>
    </row>
    <row r="4" spans="2:60" ht="15.75">
      <c r="B4" s="291"/>
      <c r="C4" s="292"/>
      <c r="D4" s="292"/>
      <c r="E4" s="5">
        <v>1</v>
      </c>
      <c r="F4" s="5">
        <v>2</v>
      </c>
      <c r="G4" s="4">
        <v>3</v>
      </c>
      <c r="H4" s="4">
        <v>4</v>
      </c>
      <c r="I4" s="4">
        <v>5</v>
      </c>
      <c r="J4" s="4">
        <v>6</v>
      </c>
      <c r="K4" s="4">
        <v>7</v>
      </c>
      <c r="L4" s="5">
        <v>8</v>
      </c>
      <c r="M4" s="5">
        <v>9</v>
      </c>
      <c r="N4" s="4">
        <v>10</v>
      </c>
      <c r="O4" s="4">
        <v>11</v>
      </c>
      <c r="P4" s="4">
        <v>12</v>
      </c>
      <c r="Q4" s="4">
        <v>13</v>
      </c>
      <c r="R4" s="11">
        <v>14</v>
      </c>
      <c r="S4" s="14">
        <v>15</v>
      </c>
      <c r="T4" s="5">
        <v>16</v>
      </c>
      <c r="U4" s="4">
        <v>17</v>
      </c>
      <c r="V4" s="4">
        <v>18</v>
      </c>
      <c r="W4" s="4">
        <v>19</v>
      </c>
      <c r="X4" s="4">
        <v>20</v>
      </c>
      <c r="Y4" s="4">
        <v>21</v>
      </c>
      <c r="Z4" s="5">
        <v>22</v>
      </c>
      <c r="AA4" s="5">
        <v>23</v>
      </c>
      <c r="AB4" s="4">
        <v>24</v>
      </c>
      <c r="AC4" s="4">
        <v>25</v>
      </c>
      <c r="AD4" s="4">
        <v>26</v>
      </c>
      <c r="AE4" s="4">
        <v>27</v>
      </c>
      <c r="AF4" s="4">
        <v>28</v>
      </c>
      <c r="AG4" s="5">
        <v>29</v>
      </c>
      <c r="AH4" s="5">
        <v>30</v>
      </c>
      <c r="AI4" s="7">
        <v>31</v>
      </c>
      <c r="AK4" s="23">
        <v>2025</v>
      </c>
      <c r="AL4" s="24" t="s">
        <v>15</v>
      </c>
      <c r="AM4" s="23" t="s">
        <v>16</v>
      </c>
      <c r="AN4" s="25"/>
      <c r="AO4" s="23">
        <v>2026</v>
      </c>
      <c r="AP4" s="24" t="s">
        <v>15</v>
      </c>
      <c r="AQ4" s="23" t="s">
        <v>16</v>
      </c>
      <c r="AS4" s="249"/>
    </row>
    <row r="5" spans="2:60" ht="15" customHeight="1">
      <c r="B5" s="288" t="s">
        <v>17</v>
      </c>
      <c r="C5" s="129" t="s">
        <v>18</v>
      </c>
      <c r="D5" s="20" t="s">
        <v>19</v>
      </c>
      <c r="E5" s="28" t="s">
        <v>22</v>
      </c>
      <c r="F5" s="60" t="s">
        <v>21</v>
      </c>
      <c r="G5" s="60" t="s">
        <v>21</v>
      </c>
      <c r="H5" s="60" t="s">
        <v>21</v>
      </c>
      <c r="I5" s="60" t="s">
        <v>21</v>
      </c>
      <c r="J5" s="28" t="s">
        <v>22</v>
      </c>
      <c r="K5" s="28" t="s">
        <v>22</v>
      </c>
      <c r="L5" s="74" t="s">
        <v>23</v>
      </c>
      <c r="M5" s="74" t="s">
        <v>23</v>
      </c>
      <c r="N5" s="74" t="s">
        <v>23</v>
      </c>
      <c r="O5" s="74" t="s">
        <v>23</v>
      </c>
      <c r="P5" s="28" t="s">
        <v>22</v>
      </c>
      <c r="Q5" s="28" t="s">
        <v>22</v>
      </c>
      <c r="R5" s="60" t="s">
        <v>21</v>
      </c>
      <c r="S5" s="60" t="s">
        <v>21</v>
      </c>
      <c r="T5" s="60" t="s">
        <v>21</v>
      </c>
      <c r="U5" s="60" t="s">
        <v>21</v>
      </c>
      <c r="V5" s="28" t="s">
        <v>22</v>
      </c>
      <c r="W5" s="28" t="s">
        <v>22</v>
      </c>
      <c r="X5" s="74" t="s">
        <v>23</v>
      </c>
      <c r="Y5" s="74" t="s">
        <v>23</v>
      </c>
      <c r="Z5" s="74" t="s">
        <v>23</v>
      </c>
      <c r="AA5" s="74" t="s">
        <v>23</v>
      </c>
      <c r="AB5" s="28" t="s">
        <v>22</v>
      </c>
      <c r="AC5" s="28" t="s">
        <v>22</v>
      </c>
      <c r="AD5" s="60" t="s">
        <v>21</v>
      </c>
      <c r="AE5" s="60" t="s">
        <v>21</v>
      </c>
      <c r="AF5" s="75" t="s">
        <v>26</v>
      </c>
      <c r="AG5" s="60" t="s">
        <v>21</v>
      </c>
      <c r="AH5" s="28" t="s">
        <v>22</v>
      </c>
      <c r="AI5" s="28" t="s">
        <v>22</v>
      </c>
      <c r="AJ5" s="19"/>
      <c r="AK5" s="20"/>
      <c r="AL5" s="21">
        <f t="shared" ref="AL5:AL47" si="0">COUNTIF(E5:AI5, "UA")</f>
        <v>0</v>
      </c>
      <c r="AM5" s="20">
        <f t="shared" ref="AM5:AM47" si="1">AK5-AL5</f>
        <v>0</v>
      </c>
      <c r="AN5" s="19"/>
      <c r="AO5" s="20"/>
      <c r="AP5" s="21">
        <f t="shared" ref="AP5:AP47" si="2">COUNTIF(E5:AI5, "U")</f>
        <v>0</v>
      </c>
      <c r="AQ5" s="20">
        <f t="shared" ref="AQ5:AQ47" si="3">AO5-AP5</f>
        <v>0</v>
      </c>
      <c r="AR5" s="19"/>
      <c r="AS5" s="21">
        <f t="shared" ref="AS5:AS47" si="4">COUNTIF(E5:AI5,"P*")+COUNTIF(E5:AI5,"H*")+COUNTIF(E5:AI5,"T*")-COUNTIF(E5:AI5,"H")-COUNTIF(E5:AI5,"P")</f>
        <v>19</v>
      </c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</row>
    <row r="6" spans="2:60">
      <c r="B6" s="288"/>
      <c r="C6" s="130" t="s">
        <v>24</v>
      </c>
      <c r="D6" s="20" t="s">
        <v>25</v>
      </c>
      <c r="E6" s="60" t="s">
        <v>21</v>
      </c>
      <c r="F6" s="28" t="s">
        <v>22</v>
      </c>
      <c r="G6" s="28" t="s">
        <v>22</v>
      </c>
      <c r="H6" s="74" t="s">
        <v>23</v>
      </c>
      <c r="I6" s="74" t="s">
        <v>23</v>
      </c>
      <c r="J6" s="74" t="s">
        <v>23</v>
      </c>
      <c r="K6" s="74" t="s">
        <v>23</v>
      </c>
      <c r="L6" s="28" t="s">
        <v>22</v>
      </c>
      <c r="M6" s="28" t="s">
        <v>22</v>
      </c>
      <c r="N6" s="60" t="s">
        <v>21</v>
      </c>
      <c r="O6" s="60" t="s">
        <v>21</v>
      </c>
      <c r="P6" s="60" t="s">
        <v>21</v>
      </c>
      <c r="Q6" s="60" t="s">
        <v>21</v>
      </c>
      <c r="R6" s="28" t="s">
        <v>22</v>
      </c>
      <c r="S6" s="28" t="s">
        <v>22</v>
      </c>
      <c r="T6" s="74" t="s">
        <v>23</v>
      </c>
      <c r="U6" s="74" t="s">
        <v>23</v>
      </c>
      <c r="V6" s="74" t="s">
        <v>23</v>
      </c>
      <c r="W6" s="74" t="s">
        <v>23</v>
      </c>
      <c r="X6" s="28" t="s">
        <v>22</v>
      </c>
      <c r="Y6" s="28" t="s">
        <v>22</v>
      </c>
      <c r="Z6" s="60" t="s">
        <v>21</v>
      </c>
      <c r="AA6" s="60" t="s">
        <v>21</v>
      </c>
      <c r="AB6" s="60" t="s">
        <v>21</v>
      </c>
      <c r="AC6" s="60" t="s">
        <v>21</v>
      </c>
      <c r="AD6" s="28" t="s">
        <v>22</v>
      </c>
      <c r="AE6" s="28" t="s">
        <v>22</v>
      </c>
      <c r="AF6" s="74" t="s">
        <v>23</v>
      </c>
      <c r="AG6" s="74" t="s">
        <v>23</v>
      </c>
      <c r="AH6" s="74" t="s">
        <v>23</v>
      </c>
      <c r="AI6" s="74" t="s">
        <v>23</v>
      </c>
      <c r="AJ6" s="19"/>
      <c r="AK6" s="20"/>
      <c r="AL6" s="21">
        <f t="shared" si="0"/>
        <v>0</v>
      </c>
      <c r="AM6" s="20">
        <f t="shared" si="1"/>
        <v>0</v>
      </c>
      <c r="AN6" s="19"/>
      <c r="AO6" s="20"/>
      <c r="AP6" s="21">
        <f t="shared" si="2"/>
        <v>0</v>
      </c>
      <c r="AQ6" s="20">
        <f t="shared" si="3"/>
        <v>0</v>
      </c>
      <c r="AR6" s="19"/>
      <c r="AS6" s="21">
        <f t="shared" si="4"/>
        <v>21</v>
      </c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</row>
    <row r="7" spans="2:60" ht="15" customHeight="1">
      <c r="B7" s="288"/>
      <c r="C7" s="20" t="s">
        <v>27</v>
      </c>
      <c r="D7" s="20" t="s">
        <v>28</v>
      </c>
      <c r="E7" s="60" t="s">
        <v>21</v>
      </c>
      <c r="F7" s="60" t="s">
        <v>21</v>
      </c>
      <c r="G7" s="60" t="s">
        <v>21</v>
      </c>
      <c r="H7" s="60" t="s">
        <v>21</v>
      </c>
      <c r="I7" s="28" t="s">
        <v>22</v>
      </c>
      <c r="J7" s="28" t="s">
        <v>22</v>
      </c>
      <c r="K7" s="74" t="s">
        <v>23</v>
      </c>
      <c r="L7" s="74" t="s">
        <v>23</v>
      </c>
      <c r="M7" s="74" t="s">
        <v>23</v>
      </c>
      <c r="N7" s="74" t="s">
        <v>23</v>
      </c>
      <c r="O7" s="28" t="s">
        <v>22</v>
      </c>
      <c r="P7" s="28" t="s">
        <v>22</v>
      </c>
      <c r="Q7" s="60" t="s">
        <v>21</v>
      </c>
      <c r="R7" s="60" t="s">
        <v>21</v>
      </c>
      <c r="S7" s="60" t="s">
        <v>21</v>
      </c>
      <c r="T7" s="60" t="s">
        <v>21</v>
      </c>
      <c r="U7" s="28" t="s">
        <v>22</v>
      </c>
      <c r="V7" s="28" t="s">
        <v>22</v>
      </c>
      <c r="W7" s="74" t="s">
        <v>23</v>
      </c>
      <c r="X7" s="74" t="s">
        <v>23</v>
      </c>
      <c r="Y7" s="74" t="s">
        <v>23</v>
      </c>
      <c r="Z7" s="74" t="s">
        <v>23</v>
      </c>
      <c r="AA7" s="28" t="s">
        <v>22</v>
      </c>
      <c r="AB7" s="28" t="s">
        <v>22</v>
      </c>
      <c r="AC7" s="60" t="s">
        <v>21</v>
      </c>
      <c r="AD7" s="60" t="s">
        <v>21</v>
      </c>
      <c r="AE7" s="60" t="s">
        <v>21</v>
      </c>
      <c r="AF7" s="60" t="s">
        <v>21</v>
      </c>
      <c r="AG7" s="28" t="s">
        <v>22</v>
      </c>
      <c r="AH7" s="28" t="s">
        <v>22</v>
      </c>
      <c r="AI7" s="74" t="s">
        <v>23</v>
      </c>
      <c r="AJ7" s="19"/>
      <c r="AK7" s="20"/>
      <c r="AL7" s="21">
        <f t="shared" si="0"/>
        <v>0</v>
      </c>
      <c r="AM7" s="20">
        <f t="shared" si="1"/>
        <v>0</v>
      </c>
      <c r="AN7" s="19"/>
      <c r="AO7" s="26"/>
      <c r="AP7" s="21">
        <f t="shared" si="2"/>
        <v>0</v>
      </c>
      <c r="AQ7" s="44">
        <f t="shared" si="3"/>
        <v>0</v>
      </c>
      <c r="AR7" s="19"/>
      <c r="AS7" s="21">
        <f t="shared" si="4"/>
        <v>21</v>
      </c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</row>
    <row r="8" spans="2:60" ht="15" customHeight="1">
      <c r="B8" s="288"/>
      <c r="C8" s="22" t="s">
        <v>31</v>
      </c>
      <c r="D8" s="20" t="s">
        <v>32</v>
      </c>
      <c r="E8" s="28" t="s">
        <v>22</v>
      </c>
      <c r="F8" s="28" t="s">
        <v>22</v>
      </c>
      <c r="G8" s="60" t="s">
        <v>21</v>
      </c>
      <c r="H8" s="60" t="s">
        <v>21</v>
      </c>
      <c r="I8" s="60" t="s">
        <v>21</v>
      </c>
      <c r="J8" s="60" t="s">
        <v>21</v>
      </c>
      <c r="K8" s="28" t="s">
        <v>22</v>
      </c>
      <c r="L8" s="28" t="s">
        <v>22</v>
      </c>
      <c r="M8" s="74" t="s">
        <v>23</v>
      </c>
      <c r="N8" s="74" t="s">
        <v>23</v>
      </c>
      <c r="O8" s="74" t="s">
        <v>23</v>
      </c>
      <c r="P8" s="74" t="s">
        <v>23</v>
      </c>
      <c r="Q8" s="28" t="s">
        <v>22</v>
      </c>
      <c r="R8" s="28" t="s">
        <v>22</v>
      </c>
      <c r="S8" s="60" t="s">
        <v>21</v>
      </c>
      <c r="T8" s="60" t="s">
        <v>21</v>
      </c>
      <c r="U8" s="60" t="s">
        <v>21</v>
      </c>
      <c r="V8" s="60" t="s">
        <v>21</v>
      </c>
      <c r="W8" s="28" t="s">
        <v>22</v>
      </c>
      <c r="X8" s="28" t="s">
        <v>22</v>
      </c>
      <c r="Y8" s="74" t="s">
        <v>23</v>
      </c>
      <c r="Z8" s="74" t="s">
        <v>23</v>
      </c>
      <c r="AA8" s="74" t="s">
        <v>23</v>
      </c>
      <c r="AB8" s="74" t="s">
        <v>23</v>
      </c>
      <c r="AC8" s="28" t="s">
        <v>22</v>
      </c>
      <c r="AD8" s="28" t="s">
        <v>22</v>
      </c>
      <c r="AE8" s="60" t="s">
        <v>21</v>
      </c>
      <c r="AF8" s="60" t="s">
        <v>21</v>
      </c>
      <c r="AG8" s="60" t="s">
        <v>21</v>
      </c>
      <c r="AH8" s="60" t="s">
        <v>21</v>
      </c>
      <c r="AI8" s="28" t="s">
        <v>22</v>
      </c>
      <c r="AJ8" s="19"/>
      <c r="AK8" s="20"/>
      <c r="AL8" s="21">
        <f t="shared" si="0"/>
        <v>0</v>
      </c>
      <c r="AM8" s="20">
        <f t="shared" si="1"/>
        <v>0</v>
      </c>
      <c r="AN8" s="19"/>
      <c r="AO8" s="20"/>
      <c r="AP8" s="21">
        <f t="shared" si="2"/>
        <v>0</v>
      </c>
      <c r="AQ8" s="20">
        <f t="shared" si="3"/>
        <v>0</v>
      </c>
      <c r="AR8" s="19"/>
      <c r="AS8" s="21">
        <f t="shared" si="4"/>
        <v>20</v>
      </c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</row>
    <row r="9" spans="2:60" ht="15" customHeight="1">
      <c r="B9" s="288"/>
      <c r="C9" s="20" t="s">
        <v>34</v>
      </c>
      <c r="D9" s="20" t="s">
        <v>35</v>
      </c>
      <c r="E9" s="60" t="s">
        <v>21</v>
      </c>
      <c r="F9" s="60" t="s">
        <v>21</v>
      </c>
      <c r="G9" s="28" t="s">
        <v>22</v>
      </c>
      <c r="H9" s="28" t="s">
        <v>22</v>
      </c>
      <c r="I9" s="74" t="s">
        <v>23</v>
      </c>
      <c r="J9" s="74" t="s">
        <v>23</v>
      </c>
      <c r="K9" s="74" t="s">
        <v>23</v>
      </c>
      <c r="L9" s="74" t="s">
        <v>23</v>
      </c>
      <c r="M9" s="28" t="s">
        <v>22</v>
      </c>
      <c r="N9" s="28" t="s">
        <v>22</v>
      </c>
      <c r="O9" s="60" t="s">
        <v>21</v>
      </c>
      <c r="P9" s="60" t="s">
        <v>21</v>
      </c>
      <c r="Q9" s="60" t="s">
        <v>21</v>
      </c>
      <c r="R9" s="60" t="s">
        <v>21</v>
      </c>
      <c r="S9" s="28" t="s">
        <v>22</v>
      </c>
      <c r="T9" s="28" t="s">
        <v>22</v>
      </c>
      <c r="U9" s="74" t="s">
        <v>23</v>
      </c>
      <c r="V9" s="74" t="s">
        <v>23</v>
      </c>
      <c r="W9" s="74" t="s">
        <v>23</v>
      </c>
      <c r="X9" s="74" t="s">
        <v>23</v>
      </c>
      <c r="Y9" s="28" t="s">
        <v>22</v>
      </c>
      <c r="Z9" s="28" t="s">
        <v>22</v>
      </c>
      <c r="AA9" s="60" t="s">
        <v>21</v>
      </c>
      <c r="AB9" s="60" t="s">
        <v>21</v>
      </c>
      <c r="AC9" s="60" t="s">
        <v>21</v>
      </c>
      <c r="AD9" s="60" t="s">
        <v>21</v>
      </c>
      <c r="AE9" s="28" t="s">
        <v>22</v>
      </c>
      <c r="AF9" s="28" t="s">
        <v>22</v>
      </c>
      <c r="AG9" s="74" t="s">
        <v>23</v>
      </c>
      <c r="AH9" s="74" t="s">
        <v>23</v>
      </c>
      <c r="AI9" s="74" t="s">
        <v>23</v>
      </c>
      <c r="AJ9" s="19"/>
      <c r="AK9" s="20"/>
      <c r="AL9" s="21">
        <f t="shared" si="0"/>
        <v>0</v>
      </c>
      <c r="AM9" s="20">
        <f t="shared" si="1"/>
        <v>0</v>
      </c>
      <c r="AN9" s="19"/>
      <c r="AO9" s="20"/>
      <c r="AP9" s="21">
        <f t="shared" si="2"/>
        <v>0</v>
      </c>
      <c r="AQ9" s="20">
        <f t="shared" si="3"/>
        <v>0</v>
      </c>
      <c r="AR9" s="19"/>
      <c r="AS9" s="21">
        <f t="shared" si="4"/>
        <v>21</v>
      </c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</row>
    <row r="10" spans="2:60" ht="15" customHeight="1">
      <c r="B10" s="288"/>
      <c r="C10" s="22" t="s">
        <v>37</v>
      </c>
      <c r="D10" s="20" t="s">
        <v>38</v>
      </c>
      <c r="E10" s="28" t="s">
        <v>22</v>
      </c>
      <c r="F10" s="28" t="s">
        <v>22</v>
      </c>
      <c r="G10" s="74" t="s">
        <v>23</v>
      </c>
      <c r="H10" s="74" t="s">
        <v>23</v>
      </c>
      <c r="I10" s="74" t="s">
        <v>23</v>
      </c>
      <c r="J10" s="74" t="s">
        <v>23</v>
      </c>
      <c r="K10" s="28" t="s">
        <v>22</v>
      </c>
      <c r="L10" s="28" t="s">
        <v>22</v>
      </c>
      <c r="M10" s="60" t="s">
        <v>21</v>
      </c>
      <c r="N10" s="60" t="s">
        <v>21</v>
      </c>
      <c r="O10" s="60" t="s">
        <v>21</v>
      </c>
      <c r="P10" s="60" t="s">
        <v>21</v>
      </c>
      <c r="Q10" s="28" t="s">
        <v>22</v>
      </c>
      <c r="R10" s="28" t="s">
        <v>22</v>
      </c>
      <c r="S10" s="74" t="s">
        <v>23</v>
      </c>
      <c r="T10" s="74" t="s">
        <v>23</v>
      </c>
      <c r="U10" s="74" t="s">
        <v>23</v>
      </c>
      <c r="V10" s="74" t="s">
        <v>23</v>
      </c>
      <c r="W10" s="28" t="s">
        <v>22</v>
      </c>
      <c r="X10" s="28" t="s">
        <v>22</v>
      </c>
      <c r="Y10" s="60" t="s">
        <v>21</v>
      </c>
      <c r="Z10" s="60" t="s">
        <v>21</v>
      </c>
      <c r="AA10" s="60" t="s">
        <v>21</v>
      </c>
      <c r="AB10" s="60" t="s">
        <v>21</v>
      </c>
      <c r="AC10" s="28" t="s">
        <v>22</v>
      </c>
      <c r="AD10" s="28" t="s">
        <v>22</v>
      </c>
      <c r="AE10" s="74" t="s">
        <v>23</v>
      </c>
      <c r="AF10" s="74" t="s">
        <v>23</v>
      </c>
      <c r="AG10" s="74" t="s">
        <v>23</v>
      </c>
      <c r="AH10" s="74" t="s">
        <v>23</v>
      </c>
      <c r="AI10" s="28" t="s">
        <v>22</v>
      </c>
      <c r="AJ10" s="19"/>
      <c r="AK10" s="20"/>
      <c r="AL10" s="21">
        <f t="shared" si="0"/>
        <v>0</v>
      </c>
      <c r="AM10" s="20">
        <f t="shared" si="1"/>
        <v>0</v>
      </c>
      <c r="AN10" s="19"/>
      <c r="AO10" s="20"/>
      <c r="AP10" s="21">
        <f t="shared" si="2"/>
        <v>0</v>
      </c>
      <c r="AQ10" s="20">
        <f t="shared" si="3"/>
        <v>0</v>
      </c>
      <c r="AR10" s="19"/>
      <c r="AS10" s="21">
        <f t="shared" si="4"/>
        <v>20</v>
      </c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</row>
    <row r="11" spans="2:60" ht="15" customHeight="1">
      <c r="B11" s="288"/>
      <c r="C11" s="20" t="s">
        <v>39</v>
      </c>
      <c r="D11" s="20" t="s">
        <v>40</v>
      </c>
      <c r="E11" s="74" t="s">
        <v>23</v>
      </c>
      <c r="F11" s="74" t="s">
        <v>23</v>
      </c>
      <c r="G11" s="28" t="s">
        <v>22</v>
      </c>
      <c r="H11" s="28" t="s">
        <v>22</v>
      </c>
      <c r="I11" s="60" t="s">
        <v>21</v>
      </c>
      <c r="J11" s="60" t="s">
        <v>21</v>
      </c>
      <c r="K11" s="60" t="s">
        <v>21</v>
      </c>
      <c r="L11" s="60" t="s">
        <v>21</v>
      </c>
      <c r="M11" s="28" t="s">
        <v>22</v>
      </c>
      <c r="N11" s="28" t="s">
        <v>22</v>
      </c>
      <c r="O11" s="74" t="s">
        <v>23</v>
      </c>
      <c r="P11" s="74" t="s">
        <v>23</v>
      </c>
      <c r="Q11" s="74" t="s">
        <v>23</v>
      </c>
      <c r="R11" s="74" t="s">
        <v>23</v>
      </c>
      <c r="S11" s="28" t="s">
        <v>22</v>
      </c>
      <c r="T11" s="28" t="s">
        <v>22</v>
      </c>
      <c r="U11" s="60" t="s">
        <v>21</v>
      </c>
      <c r="V11" s="60" t="s">
        <v>21</v>
      </c>
      <c r="W11" s="60" t="s">
        <v>21</v>
      </c>
      <c r="X11" s="60" t="s">
        <v>21</v>
      </c>
      <c r="Y11" s="28" t="s">
        <v>22</v>
      </c>
      <c r="Z11" s="28" t="s">
        <v>22</v>
      </c>
      <c r="AA11" s="74" t="s">
        <v>23</v>
      </c>
      <c r="AB11" s="74" t="s">
        <v>23</v>
      </c>
      <c r="AC11" s="74" t="s">
        <v>23</v>
      </c>
      <c r="AD11" s="74" t="s">
        <v>23</v>
      </c>
      <c r="AE11" s="28" t="s">
        <v>22</v>
      </c>
      <c r="AF11" s="28" t="s">
        <v>22</v>
      </c>
      <c r="AG11" s="60" t="s">
        <v>21</v>
      </c>
      <c r="AH11" s="60" t="s">
        <v>21</v>
      </c>
      <c r="AI11" s="60" t="s">
        <v>21</v>
      </c>
      <c r="AJ11" s="19"/>
      <c r="AK11" s="20"/>
      <c r="AL11" s="21">
        <f t="shared" si="0"/>
        <v>0</v>
      </c>
      <c r="AM11" s="20">
        <f t="shared" si="1"/>
        <v>0</v>
      </c>
      <c r="AN11" s="19"/>
      <c r="AO11" s="20"/>
      <c r="AP11" s="21">
        <f t="shared" si="2"/>
        <v>0</v>
      </c>
      <c r="AQ11" s="20">
        <f t="shared" si="3"/>
        <v>0</v>
      </c>
      <c r="AR11" s="19"/>
      <c r="AS11" s="21">
        <f t="shared" si="4"/>
        <v>21</v>
      </c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</row>
    <row r="12" spans="2:60" ht="15" customHeight="1">
      <c r="B12" s="288"/>
      <c r="C12" s="108" t="s">
        <v>43</v>
      </c>
      <c r="D12" s="109" t="s">
        <v>44</v>
      </c>
      <c r="E12" s="112" t="s">
        <v>23</v>
      </c>
      <c r="F12" s="112" t="s">
        <v>23</v>
      </c>
      <c r="G12" s="112" t="s">
        <v>23</v>
      </c>
      <c r="H12" s="112" t="s">
        <v>23</v>
      </c>
      <c r="I12" s="110" t="s">
        <v>22</v>
      </c>
      <c r="J12" s="110" t="s">
        <v>22</v>
      </c>
      <c r="K12" s="111" t="s">
        <v>21</v>
      </c>
      <c r="L12" s="111" t="s">
        <v>21</v>
      </c>
      <c r="M12" s="111" t="s">
        <v>21</v>
      </c>
      <c r="N12" s="111" t="s">
        <v>21</v>
      </c>
      <c r="O12" s="110" t="s">
        <v>22</v>
      </c>
      <c r="P12" s="110" t="s">
        <v>22</v>
      </c>
      <c r="Q12" s="112" t="s">
        <v>23</v>
      </c>
      <c r="R12" s="112" t="s">
        <v>23</v>
      </c>
      <c r="S12" s="112" t="s">
        <v>23</v>
      </c>
      <c r="T12" s="112" t="s">
        <v>23</v>
      </c>
      <c r="U12" s="110" t="s">
        <v>22</v>
      </c>
      <c r="V12" s="110" t="s">
        <v>22</v>
      </c>
      <c r="W12" s="111" t="s">
        <v>21</v>
      </c>
      <c r="X12" s="111" t="s">
        <v>21</v>
      </c>
      <c r="Y12" s="111" t="s">
        <v>21</v>
      </c>
      <c r="Z12" s="111" t="s">
        <v>21</v>
      </c>
      <c r="AA12" s="110" t="s">
        <v>22</v>
      </c>
      <c r="AB12" s="110" t="s">
        <v>22</v>
      </c>
      <c r="AC12" s="112" t="s">
        <v>23</v>
      </c>
      <c r="AD12" s="112" t="s">
        <v>23</v>
      </c>
      <c r="AE12" s="112" t="s">
        <v>23</v>
      </c>
      <c r="AF12" s="112" t="s">
        <v>23</v>
      </c>
      <c r="AG12" s="110" t="s">
        <v>22</v>
      </c>
      <c r="AH12" s="110" t="s">
        <v>22</v>
      </c>
      <c r="AI12" s="111" t="s">
        <v>21</v>
      </c>
      <c r="AJ12" s="19"/>
      <c r="AK12" s="20"/>
      <c r="AL12" s="21">
        <f t="shared" si="0"/>
        <v>0</v>
      </c>
      <c r="AM12" s="20">
        <f t="shared" si="1"/>
        <v>0</v>
      </c>
      <c r="AN12" s="19"/>
      <c r="AO12" s="20"/>
      <c r="AP12" s="21">
        <f t="shared" si="2"/>
        <v>0</v>
      </c>
      <c r="AQ12" s="20">
        <f t="shared" si="3"/>
        <v>0</v>
      </c>
      <c r="AR12" s="19"/>
      <c r="AS12" s="21">
        <f t="shared" si="4"/>
        <v>21</v>
      </c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</row>
    <row r="13" spans="2:60">
      <c r="B13" s="280" t="s">
        <v>45</v>
      </c>
      <c r="C13" s="88" t="s">
        <v>46</v>
      </c>
      <c r="D13" s="88" t="s">
        <v>47</v>
      </c>
      <c r="E13" s="102" t="s">
        <v>23</v>
      </c>
      <c r="F13" s="102" t="s">
        <v>23</v>
      </c>
      <c r="G13" s="103" t="s">
        <v>22</v>
      </c>
      <c r="H13" s="103" t="s">
        <v>22</v>
      </c>
      <c r="I13" s="104" t="s">
        <v>21</v>
      </c>
      <c r="J13" s="104" t="s">
        <v>21</v>
      </c>
      <c r="K13" s="104" t="s">
        <v>21</v>
      </c>
      <c r="L13" s="104" t="s">
        <v>21</v>
      </c>
      <c r="M13" s="103" t="s">
        <v>22</v>
      </c>
      <c r="N13" s="103" t="s">
        <v>22</v>
      </c>
      <c r="O13" s="102" t="s">
        <v>23</v>
      </c>
      <c r="P13" s="102" t="s">
        <v>23</v>
      </c>
      <c r="Q13" s="102" t="s">
        <v>23</v>
      </c>
      <c r="R13" s="102" t="s">
        <v>23</v>
      </c>
      <c r="S13" s="103" t="s">
        <v>22</v>
      </c>
      <c r="T13" s="103" t="s">
        <v>22</v>
      </c>
      <c r="U13" s="104" t="s">
        <v>21</v>
      </c>
      <c r="V13" s="104" t="s">
        <v>21</v>
      </c>
      <c r="W13" s="104" t="s">
        <v>21</v>
      </c>
      <c r="X13" s="104" t="s">
        <v>21</v>
      </c>
      <c r="Y13" s="103" t="s">
        <v>22</v>
      </c>
      <c r="Z13" s="103" t="s">
        <v>22</v>
      </c>
      <c r="AA13" s="104" t="s">
        <v>21</v>
      </c>
      <c r="AB13" s="104" t="s">
        <v>21</v>
      </c>
      <c r="AC13" s="104" t="s">
        <v>21</v>
      </c>
      <c r="AD13" s="104" t="s">
        <v>21</v>
      </c>
      <c r="AE13" s="103" t="s">
        <v>22</v>
      </c>
      <c r="AF13" s="103" t="s">
        <v>22</v>
      </c>
      <c r="AG13" s="115" t="s">
        <v>29</v>
      </c>
      <c r="AH13" s="115" t="s">
        <v>29</v>
      </c>
      <c r="AI13" s="184" t="s">
        <v>29</v>
      </c>
      <c r="AJ13" s="19"/>
      <c r="AK13" s="20"/>
      <c r="AL13" s="21">
        <f t="shared" si="0"/>
        <v>0</v>
      </c>
      <c r="AM13" s="20">
        <f t="shared" si="1"/>
        <v>0</v>
      </c>
      <c r="AN13" s="19"/>
      <c r="AO13" s="20"/>
      <c r="AP13" s="21">
        <f t="shared" si="2"/>
        <v>0</v>
      </c>
      <c r="AQ13" s="20">
        <f t="shared" si="3"/>
        <v>0</v>
      </c>
      <c r="AR13" s="19"/>
      <c r="AS13" s="21">
        <f t="shared" si="4"/>
        <v>21</v>
      </c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</row>
    <row r="14" spans="2:60">
      <c r="B14" s="276"/>
      <c r="C14" s="22" t="s">
        <v>48</v>
      </c>
      <c r="D14" s="20" t="s">
        <v>49</v>
      </c>
      <c r="E14" s="28" t="s">
        <v>22</v>
      </c>
      <c r="F14" s="28" t="s">
        <v>22</v>
      </c>
      <c r="G14" s="74" t="s">
        <v>23</v>
      </c>
      <c r="H14" s="74" t="s">
        <v>23</v>
      </c>
      <c r="I14" s="74" t="s">
        <v>23</v>
      </c>
      <c r="J14" s="74" t="s">
        <v>23</v>
      </c>
      <c r="K14" s="28" t="s">
        <v>22</v>
      </c>
      <c r="L14" s="28" t="s">
        <v>22</v>
      </c>
      <c r="M14" s="60" t="s">
        <v>21</v>
      </c>
      <c r="N14" s="60" t="s">
        <v>21</v>
      </c>
      <c r="O14" s="60" t="s">
        <v>21</v>
      </c>
      <c r="P14" s="60" t="s">
        <v>21</v>
      </c>
      <c r="Q14" s="28" t="s">
        <v>22</v>
      </c>
      <c r="R14" s="28" t="s">
        <v>22</v>
      </c>
      <c r="S14" s="74" t="s">
        <v>23</v>
      </c>
      <c r="T14" s="74" t="s">
        <v>23</v>
      </c>
      <c r="U14" s="74" t="s">
        <v>23</v>
      </c>
      <c r="V14" s="74" t="s">
        <v>23</v>
      </c>
      <c r="W14" s="28" t="s">
        <v>22</v>
      </c>
      <c r="X14" s="28" t="s">
        <v>22</v>
      </c>
      <c r="Y14" s="60" t="s">
        <v>21</v>
      </c>
      <c r="Z14" s="60" t="s">
        <v>21</v>
      </c>
      <c r="AA14" s="60" t="s">
        <v>21</v>
      </c>
      <c r="AB14" s="60" t="s">
        <v>21</v>
      </c>
      <c r="AC14" s="28" t="s">
        <v>22</v>
      </c>
      <c r="AD14" s="28" t="s">
        <v>22</v>
      </c>
      <c r="AE14" s="75" t="s">
        <v>26</v>
      </c>
      <c r="AF14" s="60" t="s">
        <v>21</v>
      </c>
      <c r="AG14" s="60" t="s">
        <v>21</v>
      </c>
      <c r="AH14" s="60" t="s">
        <v>21</v>
      </c>
      <c r="AI14" s="91" t="s">
        <v>22</v>
      </c>
      <c r="AJ14" s="19"/>
      <c r="AK14" s="20"/>
      <c r="AL14" s="21">
        <f t="shared" si="0"/>
        <v>0</v>
      </c>
      <c r="AM14" s="20">
        <f t="shared" si="1"/>
        <v>0</v>
      </c>
      <c r="AN14" s="19"/>
      <c r="AO14" s="20"/>
      <c r="AP14" s="21">
        <f t="shared" si="2"/>
        <v>0</v>
      </c>
      <c r="AQ14" s="20">
        <f t="shared" si="3"/>
        <v>0</v>
      </c>
      <c r="AR14" s="19"/>
      <c r="AS14" s="21">
        <f t="shared" si="4"/>
        <v>19</v>
      </c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</row>
    <row r="15" spans="2:60">
      <c r="B15" s="276"/>
      <c r="C15" s="20" t="s">
        <v>50</v>
      </c>
      <c r="D15" s="20" t="s">
        <v>51</v>
      </c>
      <c r="E15" s="60" t="s">
        <v>21</v>
      </c>
      <c r="F15" s="60" t="s">
        <v>21</v>
      </c>
      <c r="G15" s="60" t="s">
        <v>21</v>
      </c>
      <c r="H15" s="60" t="s">
        <v>21</v>
      </c>
      <c r="I15" s="28" t="s">
        <v>22</v>
      </c>
      <c r="J15" s="28" t="s">
        <v>22</v>
      </c>
      <c r="K15" s="74" t="s">
        <v>23</v>
      </c>
      <c r="L15" s="74" t="s">
        <v>23</v>
      </c>
      <c r="M15" s="74" t="s">
        <v>23</v>
      </c>
      <c r="N15" s="74" t="s">
        <v>23</v>
      </c>
      <c r="O15" s="28" t="s">
        <v>22</v>
      </c>
      <c r="P15" s="28" t="s">
        <v>22</v>
      </c>
      <c r="Q15" s="60" t="s">
        <v>21</v>
      </c>
      <c r="R15" s="60" t="s">
        <v>21</v>
      </c>
      <c r="S15" s="60" t="s">
        <v>21</v>
      </c>
      <c r="T15" s="60" t="s">
        <v>21</v>
      </c>
      <c r="U15" s="28" t="s">
        <v>22</v>
      </c>
      <c r="V15" s="28" t="s">
        <v>22</v>
      </c>
      <c r="W15" s="74" t="s">
        <v>23</v>
      </c>
      <c r="X15" s="74" t="s">
        <v>23</v>
      </c>
      <c r="Y15" s="74" t="s">
        <v>23</v>
      </c>
      <c r="Z15" s="74" t="s">
        <v>23</v>
      </c>
      <c r="AA15" s="28" t="s">
        <v>22</v>
      </c>
      <c r="AB15" s="28" t="s">
        <v>22</v>
      </c>
      <c r="AC15" s="60" t="s">
        <v>21</v>
      </c>
      <c r="AD15" s="60" t="s">
        <v>21</v>
      </c>
      <c r="AE15" s="60" t="s">
        <v>21</v>
      </c>
      <c r="AF15" s="60" t="s">
        <v>21</v>
      </c>
      <c r="AG15" s="28" t="s">
        <v>22</v>
      </c>
      <c r="AH15" s="28" t="s">
        <v>22</v>
      </c>
      <c r="AI15" s="90" t="s">
        <v>21</v>
      </c>
      <c r="AJ15" s="19"/>
      <c r="AK15" s="20"/>
      <c r="AL15" s="21">
        <f t="shared" si="0"/>
        <v>0</v>
      </c>
      <c r="AM15" s="20">
        <f t="shared" si="1"/>
        <v>0</v>
      </c>
      <c r="AN15" s="19"/>
      <c r="AO15" s="20"/>
      <c r="AP15" s="21">
        <f t="shared" si="2"/>
        <v>0</v>
      </c>
      <c r="AQ15" s="20">
        <f t="shared" si="3"/>
        <v>0</v>
      </c>
      <c r="AR15" s="19"/>
      <c r="AS15" s="21">
        <f t="shared" si="4"/>
        <v>21</v>
      </c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</row>
    <row r="16" spans="2:60">
      <c r="B16" s="276"/>
      <c r="C16" s="22" t="s">
        <v>52</v>
      </c>
      <c r="D16" s="20" t="s">
        <v>53</v>
      </c>
      <c r="E16" s="74" t="s">
        <v>23</v>
      </c>
      <c r="F16" s="74" t="s">
        <v>23</v>
      </c>
      <c r="G16" s="28" t="s">
        <v>22</v>
      </c>
      <c r="H16" s="75" t="s">
        <v>26</v>
      </c>
      <c r="I16" s="75" t="s">
        <v>176</v>
      </c>
      <c r="J16" s="60" t="s">
        <v>21</v>
      </c>
      <c r="K16" s="60" t="s">
        <v>21</v>
      </c>
      <c r="L16" s="60" t="s">
        <v>21</v>
      </c>
      <c r="M16" s="28" t="s">
        <v>22</v>
      </c>
      <c r="N16" s="28" t="s">
        <v>22</v>
      </c>
      <c r="O16" s="74" t="s">
        <v>23</v>
      </c>
      <c r="P16" s="74" t="s">
        <v>23</v>
      </c>
      <c r="Q16" s="74" t="s">
        <v>23</v>
      </c>
      <c r="R16" s="74" t="s">
        <v>23</v>
      </c>
      <c r="S16" s="28" t="s">
        <v>22</v>
      </c>
      <c r="T16" s="28" t="s">
        <v>22</v>
      </c>
      <c r="U16" s="60" t="s">
        <v>21</v>
      </c>
      <c r="V16" s="60" t="s">
        <v>21</v>
      </c>
      <c r="W16" s="60" t="s">
        <v>21</v>
      </c>
      <c r="X16" s="60" t="s">
        <v>21</v>
      </c>
      <c r="Y16" s="28" t="s">
        <v>22</v>
      </c>
      <c r="Z16" s="28" t="s">
        <v>22</v>
      </c>
      <c r="AA16" s="74" t="s">
        <v>23</v>
      </c>
      <c r="AB16" s="74" t="s">
        <v>23</v>
      </c>
      <c r="AC16" s="74" t="s">
        <v>23</v>
      </c>
      <c r="AD16" s="74" t="s">
        <v>23</v>
      </c>
      <c r="AE16" s="28" t="s">
        <v>22</v>
      </c>
      <c r="AF16" s="28" t="s">
        <v>22</v>
      </c>
      <c r="AG16" s="60" t="s">
        <v>21</v>
      </c>
      <c r="AH16" s="60" t="s">
        <v>21</v>
      </c>
      <c r="AI16" s="90" t="s">
        <v>21</v>
      </c>
      <c r="AJ16" s="19"/>
      <c r="AK16" s="20"/>
      <c r="AL16" s="21">
        <f t="shared" si="0"/>
        <v>0</v>
      </c>
      <c r="AM16" s="20">
        <f t="shared" si="1"/>
        <v>0</v>
      </c>
      <c r="AN16" s="19"/>
      <c r="AO16" s="20"/>
      <c r="AP16" s="21">
        <f t="shared" si="2"/>
        <v>0</v>
      </c>
      <c r="AQ16" s="20">
        <f t="shared" si="3"/>
        <v>0</v>
      </c>
      <c r="AR16" s="19"/>
      <c r="AS16" s="21">
        <f t="shared" si="4"/>
        <v>20</v>
      </c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</row>
    <row r="17" spans="2:60" ht="15" customHeight="1">
      <c r="B17" s="276"/>
      <c r="C17" s="22" t="s">
        <v>54</v>
      </c>
      <c r="D17" s="20" t="s">
        <v>55</v>
      </c>
      <c r="E17" s="28" t="s">
        <v>22</v>
      </c>
      <c r="F17" s="28" t="s">
        <v>22</v>
      </c>
      <c r="G17" s="74" t="s">
        <v>23</v>
      </c>
      <c r="H17" s="74" t="s">
        <v>23</v>
      </c>
      <c r="I17" s="74" t="s">
        <v>23</v>
      </c>
      <c r="J17" s="74" t="s">
        <v>23</v>
      </c>
      <c r="K17" s="28" t="s">
        <v>22</v>
      </c>
      <c r="L17" s="28" t="s">
        <v>22</v>
      </c>
      <c r="M17" s="74" t="s">
        <v>23</v>
      </c>
      <c r="N17" s="74" t="s">
        <v>23</v>
      </c>
      <c r="O17" s="74" t="s">
        <v>23</v>
      </c>
      <c r="P17" s="74" t="s">
        <v>23</v>
      </c>
      <c r="Q17" s="28" t="s">
        <v>22</v>
      </c>
      <c r="R17" s="28" t="s">
        <v>22</v>
      </c>
      <c r="S17" s="74" t="s">
        <v>23</v>
      </c>
      <c r="T17" s="74" t="s">
        <v>23</v>
      </c>
      <c r="U17" s="74" t="s">
        <v>23</v>
      </c>
      <c r="V17" s="74" t="s">
        <v>23</v>
      </c>
      <c r="W17" s="28" t="s">
        <v>22</v>
      </c>
      <c r="X17" s="28" t="s">
        <v>22</v>
      </c>
      <c r="Y17" s="60" t="s">
        <v>21</v>
      </c>
      <c r="Z17" s="60" t="s">
        <v>21</v>
      </c>
      <c r="AA17" s="60" t="s">
        <v>21</v>
      </c>
      <c r="AB17" s="60" t="s">
        <v>21</v>
      </c>
      <c r="AC17" s="28" t="s">
        <v>22</v>
      </c>
      <c r="AD17" s="28" t="s">
        <v>22</v>
      </c>
      <c r="AE17" s="74" t="s">
        <v>23</v>
      </c>
      <c r="AF17" s="74" t="s">
        <v>23</v>
      </c>
      <c r="AG17" s="74" t="s">
        <v>23</v>
      </c>
      <c r="AH17" s="74" t="s">
        <v>23</v>
      </c>
      <c r="AI17" s="91" t="s">
        <v>22</v>
      </c>
      <c r="AJ17" s="19"/>
      <c r="AK17" s="20"/>
      <c r="AL17" s="21">
        <f t="shared" si="0"/>
        <v>0</v>
      </c>
      <c r="AM17" s="20">
        <f t="shared" si="1"/>
        <v>0</v>
      </c>
      <c r="AN17" s="19"/>
      <c r="AO17" s="20"/>
      <c r="AP17" s="21">
        <f t="shared" si="2"/>
        <v>0</v>
      </c>
      <c r="AQ17" s="20">
        <f t="shared" si="3"/>
        <v>0</v>
      </c>
      <c r="AR17" s="19"/>
      <c r="AS17" s="21">
        <f t="shared" si="4"/>
        <v>20</v>
      </c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</row>
    <row r="18" spans="2:60">
      <c r="B18" s="276"/>
      <c r="C18" s="22" t="s">
        <v>56</v>
      </c>
      <c r="D18" s="20" t="s">
        <v>57</v>
      </c>
      <c r="E18" s="78" t="s">
        <v>29</v>
      </c>
      <c r="F18" s="78" t="s">
        <v>29</v>
      </c>
      <c r="G18" s="78" t="s">
        <v>29</v>
      </c>
      <c r="H18" s="78" t="s">
        <v>29</v>
      </c>
      <c r="I18" s="28" t="s">
        <v>22</v>
      </c>
      <c r="J18" s="28" t="s">
        <v>22</v>
      </c>
      <c r="K18" s="74" t="s">
        <v>23</v>
      </c>
      <c r="L18" s="74" t="s">
        <v>23</v>
      </c>
      <c r="M18" s="74" t="s">
        <v>23</v>
      </c>
      <c r="N18" s="74" t="s">
        <v>23</v>
      </c>
      <c r="O18" s="28" t="s">
        <v>22</v>
      </c>
      <c r="P18" s="28" t="s">
        <v>22</v>
      </c>
      <c r="Q18" s="60" t="s">
        <v>21</v>
      </c>
      <c r="R18" s="60" t="s">
        <v>21</v>
      </c>
      <c r="S18" s="60" t="s">
        <v>21</v>
      </c>
      <c r="T18" s="60" t="s">
        <v>21</v>
      </c>
      <c r="U18" s="28" t="s">
        <v>22</v>
      </c>
      <c r="V18" s="28" t="s">
        <v>22</v>
      </c>
      <c r="W18" s="74" t="s">
        <v>23</v>
      </c>
      <c r="X18" s="74" t="s">
        <v>23</v>
      </c>
      <c r="Y18" s="74" t="s">
        <v>23</v>
      </c>
      <c r="Z18" s="74" t="s">
        <v>23</v>
      </c>
      <c r="AA18" s="28" t="s">
        <v>22</v>
      </c>
      <c r="AB18" s="28" t="s">
        <v>22</v>
      </c>
      <c r="AC18" s="60" t="s">
        <v>21</v>
      </c>
      <c r="AD18" s="60" t="s">
        <v>21</v>
      </c>
      <c r="AE18" s="60" t="s">
        <v>21</v>
      </c>
      <c r="AF18" s="60" t="s">
        <v>21</v>
      </c>
      <c r="AG18" s="28" t="s">
        <v>22</v>
      </c>
      <c r="AH18" s="28" t="s">
        <v>22</v>
      </c>
      <c r="AI18" s="89" t="s">
        <v>23</v>
      </c>
      <c r="AJ18" s="19"/>
      <c r="AK18" s="20"/>
      <c r="AL18" s="21">
        <f t="shared" si="0"/>
        <v>0</v>
      </c>
      <c r="AM18" s="20">
        <f t="shared" si="1"/>
        <v>0</v>
      </c>
      <c r="AN18" s="19"/>
      <c r="AO18" s="20"/>
      <c r="AP18" s="21">
        <f t="shared" si="2"/>
        <v>0</v>
      </c>
      <c r="AQ18" s="20">
        <f t="shared" si="3"/>
        <v>0</v>
      </c>
      <c r="AR18" s="19"/>
      <c r="AS18" s="21">
        <f t="shared" si="4"/>
        <v>21</v>
      </c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</row>
    <row r="19" spans="2:60">
      <c r="B19" s="276"/>
      <c r="C19" s="20" t="s">
        <v>58</v>
      </c>
      <c r="D19" s="20" t="s">
        <v>59</v>
      </c>
      <c r="E19" s="60" t="s">
        <v>21</v>
      </c>
      <c r="F19" s="60" t="s">
        <v>21</v>
      </c>
      <c r="G19" s="28" t="s">
        <v>22</v>
      </c>
      <c r="H19" s="28" t="s">
        <v>22</v>
      </c>
      <c r="I19" s="78" t="s">
        <v>29</v>
      </c>
      <c r="J19" s="78" t="s">
        <v>29</v>
      </c>
      <c r="K19" s="78" t="s">
        <v>29</v>
      </c>
      <c r="L19" s="78" t="s">
        <v>29</v>
      </c>
      <c r="M19" s="28" t="s">
        <v>22</v>
      </c>
      <c r="N19" s="28" t="s">
        <v>22</v>
      </c>
      <c r="O19" s="74" t="s">
        <v>23</v>
      </c>
      <c r="P19" s="74" t="s">
        <v>23</v>
      </c>
      <c r="Q19" s="74" t="s">
        <v>23</v>
      </c>
      <c r="R19" s="74" t="s">
        <v>23</v>
      </c>
      <c r="S19" s="28" t="s">
        <v>22</v>
      </c>
      <c r="T19" s="28" t="s">
        <v>22</v>
      </c>
      <c r="U19" s="60" t="s">
        <v>21</v>
      </c>
      <c r="V19" s="60" t="s">
        <v>21</v>
      </c>
      <c r="W19" s="60" t="s">
        <v>21</v>
      </c>
      <c r="X19" s="60" t="s">
        <v>21</v>
      </c>
      <c r="Y19" s="28" t="s">
        <v>22</v>
      </c>
      <c r="Z19" s="28" t="s">
        <v>22</v>
      </c>
      <c r="AA19" s="74" t="s">
        <v>23</v>
      </c>
      <c r="AB19" s="74" t="s">
        <v>23</v>
      </c>
      <c r="AC19" s="74" t="s">
        <v>23</v>
      </c>
      <c r="AD19" s="74" t="s">
        <v>23</v>
      </c>
      <c r="AE19" s="28" t="s">
        <v>22</v>
      </c>
      <c r="AF19" s="28" t="s">
        <v>22</v>
      </c>
      <c r="AG19" s="60" t="s">
        <v>21</v>
      </c>
      <c r="AH19" s="60" t="s">
        <v>21</v>
      </c>
      <c r="AI19" s="90" t="s">
        <v>21</v>
      </c>
      <c r="AJ19" s="19"/>
      <c r="AK19" s="20"/>
      <c r="AL19" s="21">
        <f t="shared" si="0"/>
        <v>0</v>
      </c>
      <c r="AM19" s="20">
        <f t="shared" si="1"/>
        <v>0</v>
      </c>
      <c r="AN19" s="19"/>
      <c r="AO19" s="26"/>
      <c r="AP19" s="21">
        <f t="shared" si="2"/>
        <v>0</v>
      </c>
      <c r="AQ19" s="44">
        <f t="shared" si="3"/>
        <v>0</v>
      </c>
      <c r="AR19" s="19"/>
      <c r="AS19" s="21">
        <f t="shared" si="4"/>
        <v>21</v>
      </c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</row>
    <row r="20" spans="2:60">
      <c r="B20" s="276"/>
      <c r="C20" s="22" t="s">
        <v>60</v>
      </c>
      <c r="D20" s="20" t="s">
        <v>61</v>
      </c>
      <c r="E20" s="28" t="s">
        <v>22</v>
      </c>
      <c r="F20" s="28" t="s">
        <v>22</v>
      </c>
      <c r="G20" s="60" t="s">
        <v>21</v>
      </c>
      <c r="H20" s="60" t="s">
        <v>21</v>
      </c>
      <c r="I20" s="60" t="s">
        <v>21</v>
      </c>
      <c r="J20" s="60" t="s">
        <v>21</v>
      </c>
      <c r="K20" s="28" t="s">
        <v>22</v>
      </c>
      <c r="L20" s="28" t="s">
        <v>22</v>
      </c>
      <c r="M20" s="78" t="s">
        <v>29</v>
      </c>
      <c r="N20" s="78" t="s">
        <v>29</v>
      </c>
      <c r="O20" s="78" t="s">
        <v>29</v>
      </c>
      <c r="P20" s="78" t="s">
        <v>29</v>
      </c>
      <c r="Q20" s="28" t="s">
        <v>22</v>
      </c>
      <c r="R20" s="28" t="s">
        <v>22</v>
      </c>
      <c r="S20" s="74" t="s">
        <v>23</v>
      </c>
      <c r="T20" s="74" t="s">
        <v>23</v>
      </c>
      <c r="U20" s="74" t="s">
        <v>23</v>
      </c>
      <c r="V20" s="74" t="s">
        <v>23</v>
      </c>
      <c r="W20" s="28" t="s">
        <v>22</v>
      </c>
      <c r="X20" s="28" t="s">
        <v>22</v>
      </c>
      <c r="Y20" s="60" t="s">
        <v>21</v>
      </c>
      <c r="Z20" s="60" t="s">
        <v>21</v>
      </c>
      <c r="AA20" s="60" t="s">
        <v>21</v>
      </c>
      <c r="AB20" s="60" t="s">
        <v>21</v>
      </c>
      <c r="AC20" s="28" t="s">
        <v>22</v>
      </c>
      <c r="AD20" s="28" t="s">
        <v>22</v>
      </c>
      <c r="AE20" s="74" t="s">
        <v>23</v>
      </c>
      <c r="AF20" s="74" t="s">
        <v>23</v>
      </c>
      <c r="AG20" s="74" t="s">
        <v>23</v>
      </c>
      <c r="AH20" s="74" t="s">
        <v>23</v>
      </c>
      <c r="AI20" s="91" t="s">
        <v>22</v>
      </c>
      <c r="AJ20" s="19"/>
      <c r="AK20" s="20"/>
      <c r="AL20" s="21">
        <f t="shared" si="0"/>
        <v>0</v>
      </c>
      <c r="AM20" s="20">
        <f t="shared" si="1"/>
        <v>0</v>
      </c>
      <c r="AN20" s="19"/>
      <c r="AO20" s="20"/>
      <c r="AP20" s="21">
        <f t="shared" si="2"/>
        <v>0</v>
      </c>
      <c r="AQ20" s="20">
        <f t="shared" si="3"/>
        <v>0</v>
      </c>
      <c r="AR20" s="19"/>
      <c r="AS20" s="21">
        <f t="shared" si="4"/>
        <v>20</v>
      </c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</row>
    <row r="21" spans="2:60">
      <c r="B21" s="276"/>
      <c r="C21" s="20" t="s">
        <v>62</v>
      </c>
      <c r="D21" s="20" t="s">
        <v>63</v>
      </c>
      <c r="E21" s="60" t="s">
        <v>21</v>
      </c>
      <c r="F21" s="60" t="s">
        <v>21</v>
      </c>
      <c r="G21" s="60" t="s">
        <v>21</v>
      </c>
      <c r="H21" s="60" t="s">
        <v>21</v>
      </c>
      <c r="I21" s="28" t="s">
        <v>22</v>
      </c>
      <c r="J21" s="28" t="s">
        <v>22</v>
      </c>
      <c r="K21" s="75" t="s">
        <v>26</v>
      </c>
      <c r="L21" s="60" t="s">
        <v>21</v>
      </c>
      <c r="M21" s="60" t="s">
        <v>21</v>
      </c>
      <c r="N21" s="60" t="s">
        <v>21</v>
      </c>
      <c r="O21" s="28" t="s">
        <v>22</v>
      </c>
      <c r="P21" s="28" t="s">
        <v>22</v>
      </c>
      <c r="Q21" s="78" t="s">
        <v>29</v>
      </c>
      <c r="R21" s="78" t="s">
        <v>29</v>
      </c>
      <c r="S21" s="78" t="s">
        <v>29</v>
      </c>
      <c r="T21" s="78" t="s">
        <v>29</v>
      </c>
      <c r="U21" s="28" t="s">
        <v>22</v>
      </c>
      <c r="V21" s="28" t="s">
        <v>22</v>
      </c>
      <c r="W21" s="74" t="s">
        <v>23</v>
      </c>
      <c r="X21" s="74" t="s">
        <v>23</v>
      </c>
      <c r="Y21" s="74" t="s">
        <v>23</v>
      </c>
      <c r="Z21" s="74" t="s">
        <v>23</v>
      </c>
      <c r="AA21" s="28" t="s">
        <v>22</v>
      </c>
      <c r="AB21" s="28" t="s">
        <v>22</v>
      </c>
      <c r="AC21" s="60" t="s">
        <v>21</v>
      </c>
      <c r="AD21" s="60" t="s">
        <v>21</v>
      </c>
      <c r="AE21" s="60" t="s">
        <v>21</v>
      </c>
      <c r="AF21" s="60" t="s">
        <v>21</v>
      </c>
      <c r="AG21" s="28" t="s">
        <v>22</v>
      </c>
      <c r="AH21" s="28" t="s">
        <v>22</v>
      </c>
      <c r="AI21" s="89" t="s">
        <v>23</v>
      </c>
      <c r="AJ21" s="19"/>
      <c r="AK21" s="20"/>
      <c r="AL21" s="21">
        <f t="shared" si="0"/>
        <v>0</v>
      </c>
      <c r="AM21" s="20">
        <f t="shared" si="1"/>
        <v>0</v>
      </c>
      <c r="AN21" s="19"/>
      <c r="AO21" s="20"/>
      <c r="AP21" s="21">
        <f t="shared" si="2"/>
        <v>0</v>
      </c>
      <c r="AQ21" s="20">
        <f t="shared" si="3"/>
        <v>0</v>
      </c>
      <c r="AR21" s="19"/>
      <c r="AS21" s="21">
        <f t="shared" si="4"/>
        <v>20</v>
      </c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</row>
    <row r="22" spans="2:60">
      <c r="B22" s="276"/>
      <c r="C22" s="86" t="s">
        <v>64</v>
      </c>
      <c r="D22" s="87" t="s">
        <v>65</v>
      </c>
      <c r="E22" s="74" t="s">
        <v>23</v>
      </c>
      <c r="F22" s="74" t="s">
        <v>23</v>
      </c>
      <c r="G22" s="28" t="s">
        <v>22</v>
      </c>
      <c r="H22" s="28" t="s">
        <v>22</v>
      </c>
      <c r="I22" s="60" t="s">
        <v>21</v>
      </c>
      <c r="J22" s="60" t="s">
        <v>21</v>
      </c>
      <c r="K22" s="60" t="s">
        <v>21</v>
      </c>
      <c r="L22" s="60" t="s">
        <v>21</v>
      </c>
      <c r="M22" s="28" t="s">
        <v>22</v>
      </c>
      <c r="N22" s="28" t="s">
        <v>22</v>
      </c>
      <c r="O22" s="60" t="s">
        <v>21</v>
      </c>
      <c r="P22" s="60" t="s">
        <v>21</v>
      </c>
      <c r="Q22" s="60" t="s">
        <v>21</v>
      </c>
      <c r="R22" s="60" t="s">
        <v>21</v>
      </c>
      <c r="S22" s="28" t="s">
        <v>22</v>
      </c>
      <c r="T22" s="28" t="s">
        <v>22</v>
      </c>
      <c r="U22" s="78" t="s">
        <v>29</v>
      </c>
      <c r="V22" s="78" t="s">
        <v>29</v>
      </c>
      <c r="W22" s="78" t="s">
        <v>29</v>
      </c>
      <c r="X22" s="78" t="s">
        <v>29</v>
      </c>
      <c r="Y22" s="28" t="s">
        <v>22</v>
      </c>
      <c r="Z22" s="28" t="s">
        <v>22</v>
      </c>
      <c r="AA22" s="74" t="s">
        <v>23</v>
      </c>
      <c r="AB22" s="74" t="s">
        <v>23</v>
      </c>
      <c r="AC22" s="74" t="s">
        <v>23</v>
      </c>
      <c r="AD22" s="74" t="s">
        <v>23</v>
      </c>
      <c r="AE22" s="28" t="s">
        <v>22</v>
      </c>
      <c r="AF22" s="28" t="s">
        <v>22</v>
      </c>
      <c r="AG22" s="60" t="s">
        <v>21</v>
      </c>
      <c r="AH22" s="60" t="s">
        <v>21</v>
      </c>
      <c r="AI22" s="90" t="s">
        <v>21</v>
      </c>
      <c r="AJ22" s="19"/>
      <c r="AK22" s="20"/>
      <c r="AL22" s="21">
        <f t="shared" si="0"/>
        <v>0</v>
      </c>
      <c r="AM22" s="20">
        <f t="shared" si="1"/>
        <v>0</v>
      </c>
      <c r="AN22" s="19"/>
      <c r="AO22" s="20"/>
      <c r="AP22" s="21">
        <f t="shared" si="2"/>
        <v>0</v>
      </c>
      <c r="AQ22" s="20">
        <f t="shared" si="3"/>
        <v>0</v>
      </c>
      <c r="AR22" s="19"/>
      <c r="AS22" s="21">
        <f t="shared" si="4"/>
        <v>21</v>
      </c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</row>
    <row r="23" spans="2:60" ht="15" customHeight="1">
      <c r="B23" s="276"/>
      <c r="C23" s="20" t="s">
        <v>68</v>
      </c>
      <c r="D23" s="20" t="s">
        <v>69</v>
      </c>
      <c r="E23" s="28" t="s">
        <v>22</v>
      </c>
      <c r="F23" s="28" t="s">
        <v>22</v>
      </c>
      <c r="G23" s="74" t="s">
        <v>23</v>
      </c>
      <c r="H23" s="74" t="s">
        <v>23</v>
      </c>
      <c r="I23" s="74" t="s">
        <v>23</v>
      </c>
      <c r="J23" s="74" t="s">
        <v>23</v>
      </c>
      <c r="K23" s="28" t="s">
        <v>22</v>
      </c>
      <c r="L23" s="28" t="s">
        <v>22</v>
      </c>
      <c r="M23" s="60" t="s">
        <v>21</v>
      </c>
      <c r="N23" s="60" t="s">
        <v>21</v>
      </c>
      <c r="O23" s="60" t="s">
        <v>21</v>
      </c>
      <c r="P23" s="60" t="s">
        <v>21</v>
      </c>
      <c r="Q23" s="28" t="s">
        <v>22</v>
      </c>
      <c r="R23" s="28" t="s">
        <v>22</v>
      </c>
      <c r="S23" s="60" t="s">
        <v>21</v>
      </c>
      <c r="T23" s="60" t="s">
        <v>21</v>
      </c>
      <c r="U23" s="60" t="s">
        <v>21</v>
      </c>
      <c r="V23" s="60" t="s">
        <v>21</v>
      </c>
      <c r="W23" s="28" t="s">
        <v>22</v>
      </c>
      <c r="X23" s="28" t="s">
        <v>22</v>
      </c>
      <c r="Y23" s="78" t="s">
        <v>29</v>
      </c>
      <c r="Z23" s="78" t="s">
        <v>29</v>
      </c>
      <c r="AA23" s="78" t="s">
        <v>29</v>
      </c>
      <c r="AB23" s="78" t="s">
        <v>29</v>
      </c>
      <c r="AC23" s="28" t="s">
        <v>22</v>
      </c>
      <c r="AD23" s="28" t="s">
        <v>22</v>
      </c>
      <c r="AE23" s="74" t="s">
        <v>23</v>
      </c>
      <c r="AF23" s="74" t="s">
        <v>23</v>
      </c>
      <c r="AG23" s="74" t="s">
        <v>23</v>
      </c>
      <c r="AH23" s="74" t="s">
        <v>23</v>
      </c>
      <c r="AI23" s="91" t="s">
        <v>22</v>
      </c>
      <c r="AJ23" s="19"/>
      <c r="AK23" s="20"/>
      <c r="AL23" s="21">
        <f t="shared" si="0"/>
        <v>0</v>
      </c>
      <c r="AM23" s="20">
        <f t="shared" si="1"/>
        <v>0</v>
      </c>
      <c r="AN23" s="19"/>
      <c r="AO23" s="20"/>
      <c r="AP23" s="21">
        <f t="shared" si="2"/>
        <v>0</v>
      </c>
      <c r="AQ23" s="20">
        <f t="shared" si="3"/>
        <v>0</v>
      </c>
      <c r="AR23" s="19"/>
      <c r="AS23" s="21">
        <f t="shared" si="4"/>
        <v>20</v>
      </c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</row>
    <row r="24" spans="2:60">
      <c r="B24" s="276"/>
      <c r="C24" s="108" t="s">
        <v>70</v>
      </c>
      <c r="D24" s="109" t="s">
        <v>71</v>
      </c>
      <c r="E24" s="111" t="s">
        <v>21</v>
      </c>
      <c r="F24" s="111" t="s">
        <v>21</v>
      </c>
      <c r="G24" s="111" t="s">
        <v>21</v>
      </c>
      <c r="H24" s="111" t="s">
        <v>21</v>
      </c>
      <c r="I24" s="110" t="s">
        <v>22</v>
      </c>
      <c r="J24" s="110" t="s">
        <v>22</v>
      </c>
      <c r="K24" s="112" t="s">
        <v>23</v>
      </c>
      <c r="L24" s="112" t="s">
        <v>23</v>
      </c>
      <c r="M24" s="112" t="s">
        <v>23</v>
      </c>
      <c r="N24" s="112" t="s">
        <v>23</v>
      </c>
      <c r="O24" s="110" t="s">
        <v>22</v>
      </c>
      <c r="P24" s="110" t="s">
        <v>22</v>
      </c>
      <c r="Q24" s="111" t="s">
        <v>21</v>
      </c>
      <c r="R24" s="111" t="s">
        <v>21</v>
      </c>
      <c r="S24" s="111" t="s">
        <v>21</v>
      </c>
      <c r="T24" s="111" t="s">
        <v>21</v>
      </c>
      <c r="U24" s="110" t="s">
        <v>22</v>
      </c>
      <c r="V24" s="110" t="s">
        <v>22</v>
      </c>
      <c r="W24" s="111" t="s">
        <v>21</v>
      </c>
      <c r="X24" s="111" t="s">
        <v>21</v>
      </c>
      <c r="Y24" s="111" t="s">
        <v>21</v>
      </c>
      <c r="Z24" s="111" t="s">
        <v>21</v>
      </c>
      <c r="AA24" s="110" t="s">
        <v>22</v>
      </c>
      <c r="AB24" s="110" t="s">
        <v>22</v>
      </c>
      <c r="AC24" s="116" t="s">
        <v>29</v>
      </c>
      <c r="AD24" s="116" t="s">
        <v>29</v>
      </c>
      <c r="AE24" s="116" t="s">
        <v>29</v>
      </c>
      <c r="AF24" s="116" t="s">
        <v>29</v>
      </c>
      <c r="AG24" s="110" t="s">
        <v>22</v>
      </c>
      <c r="AH24" s="110" t="s">
        <v>22</v>
      </c>
      <c r="AI24" s="125" t="s">
        <v>23</v>
      </c>
      <c r="AJ24" s="19"/>
      <c r="AK24" s="20"/>
      <c r="AL24" s="21">
        <f t="shared" si="0"/>
        <v>0</v>
      </c>
      <c r="AM24" s="20">
        <f t="shared" si="1"/>
        <v>0</v>
      </c>
      <c r="AN24" s="19"/>
      <c r="AO24" s="20"/>
      <c r="AP24" s="21">
        <f t="shared" si="2"/>
        <v>0</v>
      </c>
      <c r="AQ24" s="20">
        <f t="shared" si="3"/>
        <v>0</v>
      </c>
      <c r="AR24" s="19"/>
      <c r="AS24" s="21">
        <f t="shared" si="4"/>
        <v>21</v>
      </c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</row>
    <row r="25" spans="2:60" ht="15" customHeight="1">
      <c r="B25" s="280" t="s">
        <v>72</v>
      </c>
      <c r="C25" s="88" t="s">
        <v>73</v>
      </c>
      <c r="D25" s="88" t="s">
        <v>74</v>
      </c>
      <c r="E25" s="104" t="s">
        <v>21</v>
      </c>
      <c r="F25" s="104" t="s">
        <v>21</v>
      </c>
      <c r="G25" s="103" t="s">
        <v>22</v>
      </c>
      <c r="H25" s="103" t="s">
        <v>22</v>
      </c>
      <c r="I25" s="104" t="s">
        <v>21</v>
      </c>
      <c r="J25" s="104" t="s">
        <v>21</v>
      </c>
      <c r="K25" s="104" t="s">
        <v>21</v>
      </c>
      <c r="L25" s="104" t="s">
        <v>21</v>
      </c>
      <c r="M25" s="103" t="s">
        <v>22</v>
      </c>
      <c r="N25" s="103" t="s">
        <v>22</v>
      </c>
      <c r="O25" s="104" t="s">
        <v>21</v>
      </c>
      <c r="P25" s="104" t="s">
        <v>21</v>
      </c>
      <c r="Q25" s="104" t="s">
        <v>21</v>
      </c>
      <c r="R25" s="104" t="s">
        <v>21</v>
      </c>
      <c r="S25" s="103" t="s">
        <v>22</v>
      </c>
      <c r="T25" s="103" t="s">
        <v>22</v>
      </c>
      <c r="U25" s="115" t="s">
        <v>29</v>
      </c>
      <c r="V25" s="115" t="s">
        <v>29</v>
      </c>
      <c r="W25" s="115" t="s">
        <v>29</v>
      </c>
      <c r="X25" s="115" t="s">
        <v>29</v>
      </c>
      <c r="Y25" s="103" t="s">
        <v>22</v>
      </c>
      <c r="Z25" s="103" t="s">
        <v>22</v>
      </c>
      <c r="AA25" s="102" t="s">
        <v>23</v>
      </c>
      <c r="AB25" s="102" t="s">
        <v>23</v>
      </c>
      <c r="AC25" s="102" t="s">
        <v>23</v>
      </c>
      <c r="AD25" s="102" t="s">
        <v>23</v>
      </c>
      <c r="AE25" s="103" t="s">
        <v>22</v>
      </c>
      <c r="AF25" s="103" t="s">
        <v>22</v>
      </c>
      <c r="AG25" s="74" t="s">
        <v>23</v>
      </c>
      <c r="AH25" s="74" t="s">
        <v>23</v>
      </c>
      <c r="AI25" s="74" t="s">
        <v>23</v>
      </c>
      <c r="AJ25" s="19"/>
      <c r="AK25" s="20"/>
      <c r="AL25" s="21">
        <f t="shared" si="0"/>
        <v>0</v>
      </c>
      <c r="AM25" s="20">
        <f t="shared" si="1"/>
        <v>0</v>
      </c>
      <c r="AN25" s="19"/>
      <c r="AO25" s="20"/>
      <c r="AP25" s="21">
        <f t="shared" si="2"/>
        <v>0</v>
      </c>
      <c r="AQ25" s="20">
        <f t="shared" si="3"/>
        <v>0</v>
      </c>
      <c r="AR25" s="19"/>
      <c r="AS25" s="21">
        <f t="shared" si="4"/>
        <v>21</v>
      </c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</row>
    <row r="26" spans="2:60">
      <c r="B26" s="276"/>
      <c r="C26" s="22" t="s">
        <v>75</v>
      </c>
      <c r="D26" s="20" t="s">
        <v>76</v>
      </c>
      <c r="E26" s="28" t="s">
        <v>22</v>
      </c>
      <c r="F26" s="28" t="s">
        <v>22</v>
      </c>
      <c r="G26" s="74" t="s">
        <v>23</v>
      </c>
      <c r="H26" s="74" t="s">
        <v>23</v>
      </c>
      <c r="I26" s="74" t="s">
        <v>23</v>
      </c>
      <c r="J26" s="74" t="s">
        <v>23</v>
      </c>
      <c r="K26" s="28" t="s">
        <v>22</v>
      </c>
      <c r="L26" s="28" t="s">
        <v>22</v>
      </c>
      <c r="M26" s="60" t="s">
        <v>21</v>
      </c>
      <c r="N26" s="60" t="s">
        <v>21</v>
      </c>
      <c r="O26" s="60" t="s">
        <v>21</v>
      </c>
      <c r="P26" s="60" t="s">
        <v>21</v>
      </c>
      <c r="Q26" s="28" t="s">
        <v>22</v>
      </c>
      <c r="R26" s="28" t="s">
        <v>22</v>
      </c>
      <c r="S26" s="60" t="s">
        <v>21</v>
      </c>
      <c r="T26" s="60" t="s">
        <v>21</v>
      </c>
      <c r="U26" s="60" t="s">
        <v>21</v>
      </c>
      <c r="V26" s="60" t="s">
        <v>21</v>
      </c>
      <c r="W26" s="28" t="s">
        <v>22</v>
      </c>
      <c r="X26" s="28" t="s">
        <v>22</v>
      </c>
      <c r="Y26" s="78" t="s">
        <v>29</v>
      </c>
      <c r="Z26" s="78" t="s">
        <v>29</v>
      </c>
      <c r="AA26" s="78" t="s">
        <v>29</v>
      </c>
      <c r="AB26" s="78" t="s">
        <v>29</v>
      </c>
      <c r="AC26" s="28" t="s">
        <v>22</v>
      </c>
      <c r="AD26" s="28" t="s">
        <v>22</v>
      </c>
      <c r="AE26" s="74" t="s">
        <v>23</v>
      </c>
      <c r="AF26" s="74" t="s">
        <v>23</v>
      </c>
      <c r="AG26" s="74" t="s">
        <v>23</v>
      </c>
      <c r="AH26" s="74" t="s">
        <v>23</v>
      </c>
      <c r="AI26" s="91" t="s">
        <v>22</v>
      </c>
      <c r="AJ26" s="19"/>
      <c r="AK26" s="20"/>
      <c r="AL26" s="21">
        <f t="shared" si="0"/>
        <v>0</v>
      </c>
      <c r="AM26" s="20">
        <f t="shared" si="1"/>
        <v>0</v>
      </c>
      <c r="AN26" s="19"/>
      <c r="AO26" s="20"/>
      <c r="AP26" s="21">
        <f t="shared" si="2"/>
        <v>0</v>
      </c>
      <c r="AQ26" s="20">
        <f t="shared" si="3"/>
        <v>0</v>
      </c>
      <c r="AR26" s="19"/>
      <c r="AS26" s="21">
        <f t="shared" si="4"/>
        <v>20</v>
      </c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</row>
    <row r="27" spans="2:60">
      <c r="B27" s="276"/>
      <c r="C27" s="22" t="s">
        <v>77</v>
      </c>
      <c r="D27" s="20" t="s">
        <v>78</v>
      </c>
      <c r="E27" s="74" t="s">
        <v>23</v>
      </c>
      <c r="F27" s="74" t="s">
        <v>23</v>
      </c>
      <c r="G27" s="28" t="s">
        <v>22</v>
      </c>
      <c r="H27" s="28" t="s">
        <v>22</v>
      </c>
      <c r="I27" s="60" t="s">
        <v>21</v>
      </c>
      <c r="J27" s="60" t="s">
        <v>21</v>
      </c>
      <c r="K27" s="60" t="s">
        <v>21</v>
      </c>
      <c r="L27" s="60" t="s">
        <v>21</v>
      </c>
      <c r="M27" s="28" t="s">
        <v>22</v>
      </c>
      <c r="N27" s="28" t="s">
        <v>22</v>
      </c>
      <c r="O27" s="74" t="s">
        <v>23</v>
      </c>
      <c r="P27" s="74" t="s">
        <v>23</v>
      </c>
      <c r="Q27" s="74" t="s">
        <v>23</v>
      </c>
      <c r="R27" s="74" t="s">
        <v>23</v>
      </c>
      <c r="S27" s="28" t="s">
        <v>22</v>
      </c>
      <c r="T27" s="28" t="s">
        <v>22</v>
      </c>
      <c r="U27" s="60" t="s">
        <v>21</v>
      </c>
      <c r="V27" s="60" t="s">
        <v>21</v>
      </c>
      <c r="W27" s="60" t="s">
        <v>21</v>
      </c>
      <c r="X27" s="60" t="s">
        <v>21</v>
      </c>
      <c r="Y27" s="28" t="s">
        <v>22</v>
      </c>
      <c r="Z27" s="28" t="s">
        <v>22</v>
      </c>
      <c r="AA27" s="60" t="s">
        <v>21</v>
      </c>
      <c r="AB27" s="60" t="s">
        <v>21</v>
      </c>
      <c r="AC27" s="60" t="s">
        <v>21</v>
      </c>
      <c r="AD27" s="60" t="s">
        <v>21</v>
      </c>
      <c r="AE27" s="28" t="s">
        <v>22</v>
      </c>
      <c r="AF27" s="28" t="s">
        <v>22</v>
      </c>
      <c r="AG27" s="78" t="s">
        <v>29</v>
      </c>
      <c r="AH27" s="78" t="s">
        <v>29</v>
      </c>
      <c r="AI27" s="107" t="s">
        <v>29</v>
      </c>
      <c r="AJ27" s="19"/>
      <c r="AK27" s="20"/>
      <c r="AL27" s="21">
        <f t="shared" si="0"/>
        <v>0</v>
      </c>
      <c r="AM27" s="20">
        <f t="shared" si="1"/>
        <v>0</v>
      </c>
      <c r="AN27" s="19"/>
      <c r="AO27" s="20"/>
      <c r="AP27" s="21">
        <f t="shared" si="2"/>
        <v>0</v>
      </c>
      <c r="AQ27" s="20">
        <f t="shared" si="3"/>
        <v>0</v>
      </c>
      <c r="AR27" s="19"/>
      <c r="AS27" s="21">
        <f t="shared" si="4"/>
        <v>21</v>
      </c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</row>
    <row r="28" spans="2:60" ht="15" customHeight="1">
      <c r="B28" s="276"/>
      <c r="C28" s="20" t="s">
        <v>79</v>
      </c>
      <c r="D28" s="20" t="s">
        <v>80</v>
      </c>
      <c r="E28" s="28" t="s">
        <v>22</v>
      </c>
      <c r="F28" s="28" t="s">
        <v>22</v>
      </c>
      <c r="G28" s="74" t="s">
        <v>23</v>
      </c>
      <c r="H28" s="74" t="s">
        <v>23</v>
      </c>
      <c r="I28" s="74" t="s">
        <v>23</v>
      </c>
      <c r="J28" s="74" t="s">
        <v>23</v>
      </c>
      <c r="K28" s="28" t="s">
        <v>22</v>
      </c>
      <c r="L28" s="28" t="s">
        <v>22</v>
      </c>
      <c r="M28" s="60" t="s">
        <v>21</v>
      </c>
      <c r="N28" s="60" t="s">
        <v>21</v>
      </c>
      <c r="O28" s="60" t="s">
        <v>21</v>
      </c>
      <c r="P28" s="60" t="s">
        <v>21</v>
      </c>
      <c r="Q28" s="28" t="s">
        <v>22</v>
      </c>
      <c r="R28" s="28" t="s">
        <v>22</v>
      </c>
      <c r="S28" s="74" t="s">
        <v>23</v>
      </c>
      <c r="T28" s="74" t="s">
        <v>23</v>
      </c>
      <c r="U28" s="74" t="s">
        <v>23</v>
      </c>
      <c r="V28" s="74" t="s">
        <v>23</v>
      </c>
      <c r="W28" s="28" t="s">
        <v>22</v>
      </c>
      <c r="X28" s="28" t="s">
        <v>22</v>
      </c>
      <c r="Y28" s="60" t="s">
        <v>21</v>
      </c>
      <c r="Z28" s="60" t="s">
        <v>21</v>
      </c>
      <c r="AA28" s="60" t="s">
        <v>21</v>
      </c>
      <c r="AB28" s="60" t="s">
        <v>21</v>
      </c>
      <c r="AC28" s="28" t="s">
        <v>22</v>
      </c>
      <c r="AD28" s="28" t="s">
        <v>22</v>
      </c>
      <c r="AE28" s="74" t="s">
        <v>23</v>
      </c>
      <c r="AF28" s="74" t="s">
        <v>23</v>
      </c>
      <c r="AG28" s="74" t="s">
        <v>23</v>
      </c>
      <c r="AH28" s="74" t="s">
        <v>23</v>
      </c>
      <c r="AI28" s="91" t="s">
        <v>22</v>
      </c>
      <c r="AJ28" s="19"/>
      <c r="AK28" s="20"/>
      <c r="AL28" s="21">
        <f t="shared" si="0"/>
        <v>0</v>
      </c>
      <c r="AM28" s="20">
        <f t="shared" si="1"/>
        <v>0</v>
      </c>
      <c r="AN28" s="19"/>
      <c r="AO28" s="20"/>
      <c r="AP28" s="21">
        <f t="shared" si="2"/>
        <v>0</v>
      </c>
      <c r="AQ28" s="20">
        <f t="shared" si="3"/>
        <v>0</v>
      </c>
      <c r="AR28" s="19"/>
      <c r="AS28" s="21">
        <f t="shared" si="4"/>
        <v>20</v>
      </c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</row>
    <row r="29" spans="2:60">
      <c r="B29" s="276"/>
      <c r="C29" s="22" t="s">
        <v>82</v>
      </c>
      <c r="D29" s="20" t="s">
        <v>83</v>
      </c>
      <c r="E29" s="78" t="s">
        <v>29</v>
      </c>
      <c r="F29" s="78" t="s">
        <v>29</v>
      </c>
      <c r="G29" s="78" t="s">
        <v>29</v>
      </c>
      <c r="H29" s="78" t="s">
        <v>29</v>
      </c>
      <c r="I29" s="28" t="s">
        <v>22</v>
      </c>
      <c r="J29" s="28" t="s">
        <v>22</v>
      </c>
      <c r="K29" s="74" t="s">
        <v>23</v>
      </c>
      <c r="L29" s="74" t="s">
        <v>23</v>
      </c>
      <c r="M29" s="74" t="s">
        <v>23</v>
      </c>
      <c r="N29" s="74" t="s">
        <v>23</v>
      </c>
      <c r="O29" s="28" t="s">
        <v>22</v>
      </c>
      <c r="P29" s="28" t="s">
        <v>22</v>
      </c>
      <c r="Q29" s="60" t="s">
        <v>21</v>
      </c>
      <c r="R29" s="60" t="s">
        <v>21</v>
      </c>
      <c r="S29" s="60" t="s">
        <v>21</v>
      </c>
      <c r="T29" s="60" t="s">
        <v>21</v>
      </c>
      <c r="U29" s="28" t="s">
        <v>22</v>
      </c>
      <c r="V29" s="28" t="s">
        <v>22</v>
      </c>
      <c r="W29" s="74" t="s">
        <v>23</v>
      </c>
      <c r="X29" s="74" t="s">
        <v>23</v>
      </c>
      <c r="Y29" s="74" t="s">
        <v>23</v>
      </c>
      <c r="Z29" s="74" t="s">
        <v>23</v>
      </c>
      <c r="AA29" s="28" t="s">
        <v>22</v>
      </c>
      <c r="AB29" s="28" t="s">
        <v>22</v>
      </c>
      <c r="AC29" s="60" t="s">
        <v>21</v>
      </c>
      <c r="AD29" s="60" t="s">
        <v>21</v>
      </c>
      <c r="AE29" s="60" t="s">
        <v>21</v>
      </c>
      <c r="AF29" s="60" t="s">
        <v>21</v>
      </c>
      <c r="AG29" s="28" t="s">
        <v>22</v>
      </c>
      <c r="AH29" s="28" t="s">
        <v>22</v>
      </c>
      <c r="AI29" s="90" t="s">
        <v>21</v>
      </c>
      <c r="AJ29" s="19"/>
      <c r="AK29" s="20"/>
      <c r="AL29" s="21">
        <f t="shared" si="0"/>
        <v>0</v>
      </c>
      <c r="AM29" s="20">
        <f t="shared" si="1"/>
        <v>0</v>
      </c>
      <c r="AN29" s="19"/>
      <c r="AO29" s="20"/>
      <c r="AP29" s="21">
        <f t="shared" si="2"/>
        <v>0</v>
      </c>
      <c r="AQ29" s="20">
        <f t="shared" si="3"/>
        <v>0</v>
      </c>
      <c r="AR29" s="19"/>
      <c r="AS29" s="21">
        <f t="shared" si="4"/>
        <v>21</v>
      </c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</row>
    <row r="30" spans="2:60">
      <c r="B30" s="276"/>
      <c r="C30" s="20" t="s">
        <v>85</v>
      </c>
      <c r="D30" s="20" t="s">
        <v>86</v>
      </c>
      <c r="E30" s="60" t="s">
        <v>21</v>
      </c>
      <c r="F30" s="60" t="s">
        <v>21</v>
      </c>
      <c r="G30" s="28" t="s">
        <v>22</v>
      </c>
      <c r="H30" s="28" t="s">
        <v>22</v>
      </c>
      <c r="I30" s="78" t="s">
        <v>29</v>
      </c>
      <c r="J30" s="78" t="s">
        <v>29</v>
      </c>
      <c r="K30" s="78" t="s">
        <v>29</v>
      </c>
      <c r="L30" s="78" t="s">
        <v>29</v>
      </c>
      <c r="M30" s="28" t="s">
        <v>22</v>
      </c>
      <c r="N30" s="28" t="s">
        <v>22</v>
      </c>
      <c r="O30" s="74" t="s">
        <v>23</v>
      </c>
      <c r="P30" s="74" t="s">
        <v>23</v>
      </c>
      <c r="Q30" s="74" t="s">
        <v>23</v>
      </c>
      <c r="R30" s="74" t="s">
        <v>23</v>
      </c>
      <c r="S30" s="28" t="s">
        <v>22</v>
      </c>
      <c r="T30" s="28" t="s">
        <v>22</v>
      </c>
      <c r="U30" s="60" t="s">
        <v>21</v>
      </c>
      <c r="V30" s="60" t="s">
        <v>21</v>
      </c>
      <c r="W30" s="60" t="s">
        <v>21</v>
      </c>
      <c r="X30" s="60" t="s">
        <v>21</v>
      </c>
      <c r="Y30" s="28" t="s">
        <v>22</v>
      </c>
      <c r="Z30" s="28" t="s">
        <v>22</v>
      </c>
      <c r="AA30" s="74" t="s">
        <v>23</v>
      </c>
      <c r="AB30" s="74" t="s">
        <v>23</v>
      </c>
      <c r="AC30" s="74" t="s">
        <v>23</v>
      </c>
      <c r="AD30" s="74" t="s">
        <v>23</v>
      </c>
      <c r="AE30" s="28" t="s">
        <v>22</v>
      </c>
      <c r="AF30" s="28" t="s">
        <v>22</v>
      </c>
      <c r="AG30" s="60" t="s">
        <v>21</v>
      </c>
      <c r="AH30" s="60" t="s">
        <v>21</v>
      </c>
      <c r="AI30" s="90" t="s">
        <v>21</v>
      </c>
      <c r="AJ30" s="19"/>
      <c r="AK30" s="20"/>
      <c r="AL30" s="21">
        <f t="shared" si="0"/>
        <v>0</v>
      </c>
      <c r="AM30" s="20">
        <f t="shared" si="1"/>
        <v>0</v>
      </c>
      <c r="AN30" s="19"/>
      <c r="AO30" s="26"/>
      <c r="AP30" s="21">
        <f t="shared" si="2"/>
        <v>0</v>
      </c>
      <c r="AQ30" s="44">
        <f t="shared" si="3"/>
        <v>0</v>
      </c>
      <c r="AR30" s="19"/>
      <c r="AS30" s="21">
        <f t="shared" si="4"/>
        <v>21</v>
      </c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</row>
    <row r="31" spans="2:60">
      <c r="B31" s="276"/>
      <c r="C31" s="22" t="s">
        <v>87</v>
      </c>
      <c r="D31" s="20" t="s">
        <v>88</v>
      </c>
      <c r="E31" s="28" t="s">
        <v>22</v>
      </c>
      <c r="F31" s="28" t="s">
        <v>22</v>
      </c>
      <c r="G31" s="60" t="s">
        <v>21</v>
      </c>
      <c r="H31" s="60" t="s">
        <v>21</v>
      </c>
      <c r="I31" s="60" t="s">
        <v>21</v>
      </c>
      <c r="J31" s="60" t="s">
        <v>21</v>
      </c>
      <c r="K31" s="28" t="s">
        <v>22</v>
      </c>
      <c r="L31" s="28" t="s">
        <v>22</v>
      </c>
      <c r="M31" s="78" t="s">
        <v>29</v>
      </c>
      <c r="N31" s="78" t="s">
        <v>29</v>
      </c>
      <c r="O31" s="78" t="s">
        <v>29</v>
      </c>
      <c r="P31" s="78" t="s">
        <v>29</v>
      </c>
      <c r="Q31" s="28" t="s">
        <v>22</v>
      </c>
      <c r="R31" s="28" t="s">
        <v>22</v>
      </c>
      <c r="S31" s="74" t="s">
        <v>23</v>
      </c>
      <c r="T31" s="74" t="s">
        <v>23</v>
      </c>
      <c r="U31" s="74" t="s">
        <v>23</v>
      </c>
      <c r="V31" s="74" t="s">
        <v>23</v>
      </c>
      <c r="W31" s="28" t="s">
        <v>22</v>
      </c>
      <c r="X31" s="28" t="s">
        <v>22</v>
      </c>
      <c r="Y31" s="60" t="s">
        <v>21</v>
      </c>
      <c r="Z31" s="60" t="s">
        <v>21</v>
      </c>
      <c r="AA31" s="60" t="s">
        <v>21</v>
      </c>
      <c r="AB31" s="60" t="s">
        <v>21</v>
      </c>
      <c r="AC31" s="28" t="s">
        <v>22</v>
      </c>
      <c r="AD31" s="28" t="s">
        <v>22</v>
      </c>
      <c r="AE31" s="74" t="s">
        <v>23</v>
      </c>
      <c r="AF31" s="74" t="s">
        <v>23</v>
      </c>
      <c r="AG31" s="74" t="s">
        <v>23</v>
      </c>
      <c r="AH31" s="74" t="s">
        <v>23</v>
      </c>
      <c r="AI31" s="91" t="s">
        <v>22</v>
      </c>
      <c r="AJ31" s="19"/>
      <c r="AK31" s="20"/>
      <c r="AL31" s="21">
        <f t="shared" si="0"/>
        <v>0</v>
      </c>
      <c r="AM31" s="20">
        <f t="shared" si="1"/>
        <v>0</v>
      </c>
      <c r="AN31" s="19"/>
      <c r="AO31" s="20"/>
      <c r="AP31" s="21">
        <f t="shared" si="2"/>
        <v>0</v>
      </c>
      <c r="AQ31" s="20">
        <f t="shared" si="3"/>
        <v>0</v>
      </c>
      <c r="AR31" s="19"/>
      <c r="AS31" s="21">
        <f t="shared" si="4"/>
        <v>20</v>
      </c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</row>
    <row r="32" spans="2:60">
      <c r="B32" s="276"/>
      <c r="C32" s="20" t="s">
        <v>89</v>
      </c>
      <c r="D32" s="20" t="s">
        <v>90</v>
      </c>
      <c r="E32" s="74" t="s">
        <v>23</v>
      </c>
      <c r="F32" s="74" t="s">
        <v>23</v>
      </c>
      <c r="G32" s="74" t="s">
        <v>23</v>
      </c>
      <c r="H32" s="74" t="s">
        <v>23</v>
      </c>
      <c r="I32" s="28" t="s">
        <v>22</v>
      </c>
      <c r="J32" s="28" t="s">
        <v>22</v>
      </c>
      <c r="K32" s="60" t="s">
        <v>21</v>
      </c>
      <c r="L32" s="60" t="s">
        <v>21</v>
      </c>
      <c r="M32" s="60" t="s">
        <v>21</v>
      </c>
      <c r="N32" s="60" t="s">
        <v>21</v>
      </c>
      <c r="O32" s="28" t="s">
        <v>22</v>
      </c>
      <c r="P32" s="28" t="s">
        <v>22</v>
      </c>
      <c r="Q32" s="78" t="s">
        <v>29</v>
      </c>
      <c r="R32" s="78" t="s">
        <v>29</v>
      </c>
      <c r="S32" s="78" t="s">
        <v>29</v>
      </c>
      <c r="T32" s="78" t="s">
        <v>29</v>
      </c>
      <c r="U32" s="28" t="s">
        <v>22</v>
      </c>
      <c r="V32" s="28" t="s">
        <v>22</v>
      </c>
      <c r="W32" s="74" t="s">
        <v>23</v>
      </c>
      <c r="X32" s="74" t="s">
        <v>23</v>
      </c>
      <c r="Y32" s="74" t="s">
        <v>23</v>
      </c>
      <c r="Z32" s="74" t="s">
        <v>23</v>
      </c>
      <c r="AA32" s="28" t="s">
        <v>22</v>
      </c>
      <c r="AB32" s="28" t="s">
        <v>22</v>
      </c>
      <c r="AC32" s="60" t="s">
        <v>21</v>
      </c>
      <c r="AD32" s="60" t="s">
        <v>21</v>
      </c>
      <c r="AE32" s="60" t="s">
        <v>21</v>
      </c>
      <c r="AF32" s="60" t="s">
        <v>21</v>
      </c>
      <c r="AG32" s="28" t="s">
        <v>22</v>
      </c>
      <c r="AH32" s="28" t="s">
        <v>22</v>
      </c>
      <c r="AI32" s="96" t="s">
        <v>23</v>
      </c>
      <c r="AJ32" s="19"/>
      <c r="AK32" s="20"/>
      <c r="AL32" s="21">
        <f t="shared" si="0"/>
        <v>0</v>
      </c>
      <c r="AM32" s="20">
        <f t="shared" si="1"/>
        <v>0</v>
      </c>
      <c r="AN32" s="19"/>
      <c r="AO32" s="20"/>
      <c r="AP32" s="21">
        <f t="shared" si="2"/>
        <v>0</v>
      </c>
      <c r="AQ32" s="20">
        <f t="shared" si="3"/>
        <v>0</v>
      </c>
      <c r="AR32" s="19"/>
      <c r="AS32" s="21">
        <f t="shared" si="4"/>
        <v>21</v>
      </c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</row>
    <row r="33" spans="2:60">
      <c r="B33" s="276"/>
      <c r="C33" s="22" t="s">
        <v>91</v>
      </c>
      <c r="D33" s="20" t="s">
        <v>92</v>
      </c>
      <c r="E33" s="74" t="s">
        <v>23</v>
      </c>
      <c r="F33" s="28" t="s">
        <v>22</v>
      </c>
      <c r="G33" s="28" t="s">
        <v>22</v>
      </c>
      <c r="H33" s="60" t="s">
        <v>21</v>
      </c>
      <c r="I33" s="60" t="s">
        <v>21</v>
      </c>
      <c r="J33" s="60" t="s">
        <v>21</v>
      </c>
      <c r="K33" s="60" t="s">
        <v>21</v>
      </c>
      <c r="L33" s="28" t="s">
        <v>22</v>
      </c>
      <c r="M33" s="28" t="s">
        <v>22</v>
      </c>
      <c r="N33" s="74" t="s">
        <v>23</v>
      </c>
      <c r="O33" s="74" t="s">
        <v>23</v>
      </c>
      <c r="P33" s="74" t="s">
        <v>23</v>
      </c>
      <c r="Q33" s="74" t="s">
        <v>23</v>
      </c>
      <c r="R33" s="28" t="s">
        <v>22</v>
      </c>
      <c r="S33" s="28" t="s">
        <v>22</v>
      </c>
      <c r="T33" s="60" t="s">
        <v>21</v>
      </c>
      <c r="U33" s="60" t="s">
        <v>21</v>
      </c>
      <c r="V33" s="60" t="s">
        <v>21</v>
      </c>
      <c r="W33" s="60" t="s">
        <v>21</v>
      </c>
      <c r="X33" s="28" t="s">
        <v>22</v>
      </c>
      <c r="Y33" s="28" t="s">
        <v>22</v>
      </c>
      <c r="Z33" s="74" t="s">
        <v>23</v>
      </c>
      <c r="AA33" s="74" t="s">
        <v>23</v>
      </c>
      <c r="AB33" s="74" t="s">
        <v>23</v>
      </c>
      <c r="AC33" s="74" t="s">
        <v>23</v>
      </c>
      <c r="AD33" s="28" t="s">
        <v>22</v>
      </c>
      <c r="AE33" s="28" t="s">
        <v>22</v>
      </c>
      <c r="AF33" s="60" t="s">
        <v>21</v>
      </c>
      <c r="AG33" s="60" t="s">
        <v>21</v>
      </c>
      <c r="AH33" s="60" t="s">
        <v>21</v>
      </c>
      <c r="AI33" s="90" t="s">
        <v>21</v>
      </c>
      <c r="AJ33" s="19"/>
      <c r="AK33" s="20"/>
      <c r="AL33" s="21">
        <f t="shared" si="0"/>
        <v>0</v>
      </c>
      <c r="AM33" s="20">
        <f t="shared" si="1"/>
        <v>0</v>
      </c>
      <c r="AN33" s="19"/>
      <c r="AO33" s="20"/>
      <c r="AP33" s="21">
        <f t="shared" si="2"/>
        <v>0</v>
      </c>
      <c r="AQ33" s="20">
        <f t="shared" si="3"/>
        <v>0</v>
      </c>
      <c r="AR33" s="19"/>
      <c r="AS33" s="21">
        <f t="shared" si="4"/>
        <v>21</v>
      </c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</row>
    <row r="34" spans="2:60" ht="15" customHeight="1">
      <c r="B34" s="276"/>
      <c r="C34" s="20" t="s">
        <v>93</v>
      </c>
      <c r="D34" s="20" t="s">
        <v>94</v>
      </c>
      <c r="E34" s="28" t="s">
        <v>22</v>
      </c>
      <c r="F34" s="74" t="s">
        <v>23</v>
      </c>
      <c r="G34" s="74" t="s">
        <v>23</v>
      </c>
      <c r="H34" s="74" t="s">
        <v>23</v>
      </c>
      <c r="I34" s="74" t="s">
        <v>23</v>
      </c>
      <c r="J34" s="28" t="s">
        <v>22</v>
      </c>
      <c r="K34" s="28" t="s">
        <v>22</v>
      </c>
      <c r="L34" s="60" t="s">
        <v>21</v>
      </c>
      <c r="M34" s="60" t="s">
        <v>21</v>
      </c>
      <c r="N34" s="60" t="s">
        <v>21</v>
      </c>
      <c r="O34" s="60" t="s">
        <v>21</v>
      </c>
      <c r="P34" s="28" t="s">
        <v>22</v>
      </c>
      <c r="Q34" s="28" t="s">
        <v>22</v>
      </c>
      <c r="R34" s="74" t="s">
        <v>23</v>
      </c>
      <c r="S34" s="74" t="s">
        <v>23</v>
      </c>
      <c r="T34" s="74" t="s">
        <v>23</v>
      </c>
      <c r="U34" s="74" t="s">
        <v>23</v>
      </c>
      <c r="V34" s="28" t="s">
        <v>22</v>
      </c>
      <c r="W34" s="28" t="s">
        <v>22</v>
      </c>
      <c r="X34" s="60" t="s">
        <v>21</v>
      </c>
      <c r="Y34" s="60" t="s">
        <v>21</v>
      </c>
      <c r="Z34" s="60" t="s">
        <v>21</v>
      </c>
      <c r="AA34" s="60" t="s">
        <v>21</v>
      </c>
      <c r="AB34" s="28" t="s">
        <v>22</v>
      </c>
      <c r="AC34" s="28" t="s">
        <v>22</v>
      </c>
      <c r="AD34" s="74" t="s">
        <v>23</v>
      </c>
      <c r="AE34" s="74" t="s">
        <v>23</v>
      </c>
      <c r="AF34" s="74" t="s">
        <v>23</v>
      </c>
      <c r="AG34" s="74" t="s">
        <v>23</v>
      </c>
      <c r="AH34" s="28" t="s">
        <v>22</v>
      </c>
      <c r="AI34" s="91" t="s">
        <v>22</v>
      </c>
      <c r="AJ34" s="19"/>
      <c r="AK34" s="20"/>
      <c r="AL34" s="21">
        <f t="shared" si="0"/>
        <v>0</v>
      </c>
      <c r="AM34" s="20">
        <f t="shared" si="1"/>
        <v>0</v>
      </c>
      <c r="AN34" s="19"/>
      <c r="AO34" s="20"/>
      <c r="AP34" s="21">
        <f t="shared" si="2"/>
        <v>0</v>
      </c>
      <c r="AQ34" s="20">
        <f t="shared" si="3"/>
        <v>0</v>
      </c>
      <c r="AR34" s="19"/>
      <c r="AS34" s="21">
        <f t="shared" si="4"/>
        <v>20</v>
      </c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</row>
    <row r="35" spans="2:60">
      <c r="B35" s="276"/>
      <c r="C35" s="108" t="s">
        <v>95</v>
      </c>
      <c r="D35" s="109" t="s">
        <v>96</v>
      </c>
      <c r="E35" s="111" t="s">
        <v>21</v>
      </c>
      <c r="F35" s="111" t="s">
        <v>21</v>
      </c>
      <c r="G35" s="111" t="s">
        <v>21</v>
      </c>
      <c r="H35" s="110" t="s">
        <v>22</v>
      </c>
      <c r="I35" s="110" t="s">
        <v>22</v>
      </c>
      <c r="J35" s="112" t="s">
        <v>23</v>
      </c>
      <c r="K35" s="112" t="s">
        <v>23</v>
      </c>
      <c r="L35" s="112" t="s">
        <v>23</v>
      </c>
      <c r="M35" s="112" t="s">
        <v>23</v>
      </c>
      <c r="N35" s="110" t="s">
        <v>22</v>
      </c>
      <c r="O35" s="110" t="s">
        <v>22</v>
      </c>
      <c r="P35" s="111" t="s">
        <v>21</v>
      </c>
      <c r="Q35" s="111" t="s">
        <v>21</v>
      </c>
      <c r="R35" s="111" t="s">
        <v>21</v>
      </c>
      <c r="S35" s="111" t="s">
        <v>21</v>
      </c>
      <c r="T35" s="110" t="s">
        <v>22</v>
      </c>
      <c r="U35" s="110" t="s">
        <v>22</v>
      </c>
      <c r="V35" s="112" t="s">
        <v>23</v>
      </c>
      <c r="W35" s="112" t="s">
        <v>23</v>
      </c>
      <c r="X35" s="112" t="s">
        <v>23</v>
      </c>
      <c r="Y35" s="112" t="s">
        <v>23</v>
      </c>
      <c r="Z35" s="110" t="s">
        <v>22</v>
      </c>
      <c r="AA35" s="110" t="s">
        <v>22</v>
      </c>
      <c r="AB35" s="111" t="s">
        <v>21</v>
      </c>
      <c r="AC35" s="111" t="s">
        <v>21</v>
      </c>
      <c r="AD35" s="111" t="s">
        <v>21</v>
      </c>
      <c r="AE35" s="111" t="s">
        <v>21</v>
      </c>
      <c r="AF35" s="110" t="s">
        <v>22</v>
      </c>
      <c r="AG35" s="110" t="s">
        <v>22</v>
      </c>
      <c r="AH35" s="112" t="s">
        <v>23</v>
      </c>
      <c r="AI35" s="125" t="s">
        <v>23</v>
      </c>
      <c r="AJ35" s="19"/>
      <c r="AK35" s="20"/>
      <c r="AL35" s="21">
        <f t="shared" si="0"/>
        <v>0</v>
      </c>
      <c r="AM35" s="20">
        <f t="shared" si="1"/>
        <v>0</v>
      </c>
      <c r="AN35" s="19"/>
      <c r="AO35" s="20"/>
      <c r="AP35" s="21">
        <f t="shared" si="2"/>
        <v>0</v>
      </c>
      <c r="AQ35" s="20">
        <f t="shared" si="3"/>
        <v>0</v>
      </c>
      <c r="AR35" s="19"/>
      <c r="AS35" s="21">
        <f t="shared" si="4"/>
        <v>21</v>
      </c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</row>
    <row r="36" spans="2:60">
      <c r="B36" s="285" t="s">
        <v>97</v>
      </c>
      <c r="C36" s="88" t="s">
        <v>98</v>
      </c>
      <c r="D36" s="88" t="s">
        <v>99</v>
      </c>
      <c r="E36" s="119" t="s">
        <v>66</v>
      </c>
      <c r="F36" s="119" t="s">
        <v>66</v>
      </c>
      <c r="G36" s="119" t="s">
        <v>66</v>
      </c>
      <c r="H36" s="103" t="s">
        <v>22</v>
      </c>
      <c r="I36" s="103" t="s">
        <v>22</v>
      </c>
      <c r="J36" s="118" t="s">
        <v>100</v>
      </c>
      <c r="K36" s="118" t="s">
        <v>100</v>
      </c>
      <c r="L36" s="118" t="s">
        <v>100</v>
      </c>
      <c r="M36" s="118" t="s">
        <v>100</v>
      </c>
      <c r="N36" s="103" t="s">
        <v>22</v>
      </c>
      <c r="O36" s="103" t="s">
        <v>22</v>
      </c>
      <c r="P36" s="119" t="s">
        <v>66</v>
      </c>
      <c r="Q36" s="119" t="s">
        <v>66</v>
      </c>
      <c r="R36" s="119" t="s">
        <v>66</v>
      </c>
      <c r="S36" s="119" t="s">
        <v>66</v>
      </c>
      <c r="T36" s="103" t="s">
        <v>22</v>
      </c>
      <c r="U36" s="103" t="s">
        <v>22</v>
      </c>
      <c r="V36" s="118" t="s">
        <v>100</v>
      </c>
      <c r="W36" s="118" t="s">
        <v>100</v>
      </c>
      <c r="X36" s="118" t="s">
        <v>100</v>
      </c>
      <c r="Y36" s="118" t="s">
        <v>100</v>
      </c>
      <c r="Z36" s="103" t="s">
        <v>22</v>
      </c>
      <c r="AA36" s="103" t="s">
        <v>22</v>
      </c>
      <c r="AB36" s="119" t="s">
        <v>66</v>
      </c>
      <c r="AC36" s="119" t="s">
        <v>66</v>
      </c>
      <c r="AD36" s="119" t="s">
        <v>66</v>
      </c>
      <c r="AE36" s="119" t="s">
        <v>66</v>
      </c>
      <c r="AF36" s="103" t="s">
        <v>22</v>
      </c>
      <c r="AG36" s="103" t="s">
        <v>22</v>
      </c>
      <c r="AH36" s="118" t="s">
        <v>100</v>
      </c>
      <c r="AI36" s="204" t="s">
        <v>100</v>
      </c>
      <c r="AJ36" s="19"/>
      <c r="AK36" s="20"/>
      <c r="AL36" s="21">
        <f t="shared" si="0"/>
        <v>0</v>
      </c>
      <c r="AM36" s="20">
        <f t="shared" si="1"/>
        <v>0</v>
      </c>
      <c r="AN36" s="19"/>
      <c r="AO36" s="20"/>
      <c r="AP36" s="21">
        <f t="shared" si="2"/>
        <v>0</v>
      </c>
      <c r="AQ36" s="20">
        <f t="shared" si="3"/>
        <v>0</v>
      </c>
      <c r="AR36" s="19"/>
      <c r="AS36" s="21">
        <f t="shared" si="4"/>
        <v>21</v>
      </c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</row>
    <row r="37" spans="2:60">
      <c r="B37" s="278"/>
      <c r="C37" s="22" t="s">
        <v>101</v>
      </c>
      <c r="D37" s="20" t="s">
        <v>102</v>
      </c>
      <c r="E37" s="28" t="s">
        <v>22</v>
      </c>
      <c r="F37" s="85" t="s">
        <v>100</v>
      </c>
      <c r="G37" s="85" t="s">
        <v>100</v>
      </c>
      <c r="H37" s="85" t="s">
        <v>100</v>
      </c>
      <c r="I37" s="85" t="s">
        <v>100</v>
      </c>
      <c r="J37" s="28" t="s">
        <v>22</v>
      </c>
      <c r="K37" s="28" t="s">
        <v>22</v>
      </c>
      <c r="L37" s="79" t="s">
        <v>66</v>
      </c>
      <c r="M37" s="79" t="s">
        <v>66</v>
      </c>
      <c r="N37" s="79" t="s">
        <v>66</v>
      </c>
      <c r="O37" s="79" t="s">
        <v>66</v>
      </c>
      <c r="P37" s="28" t="s">
        <v>22</v>
      </c>
      <c r="Q37" s="28" t="s">
        <v>22</v>
      </c>
      <c r="R37" s="85" t="s">
        <v>100</v>
      </c>
      <c r="S37" s="85" t="s">
        <v>100</v>
      </c>
      <c r="T37" s="85" t="s">
        <v>100</v>
      </c>
      <c r="U37" s="85" t="s">
        <v>100</v>
      </c>
      <c r="V37" s="28" t="s">
        <v>22</v>
      </c>
      <c r="W37" s="28" t="s">
        <v>22</v>
      </c>
      <c r="X37" s="79" t="s">
        <v>66</v>
      </c>
      <c r="Y37" s="79" t="s">
        <v>66</v>
      </c>
      <c r="Z37" s="79" t="s">
        <v>66</v>
      </c>
      <c r="AA37" s="79" t="s">
        <v>66</v>
      </c>
      <c r="AB37" s="28" t="s">
        <v>22</v>
      </c>
      <c r="AC37" s="28" t="s">
        <v>22</v>
      </c>
      <c r="AD37" s="85" t="s">
        <v>100</v>
      </c>
      <c r="AE37" s="85" t="s">
        <v>100</v>
      </c>
      <c r="AF37" s="85" t="s">
        <v>100</v>
      </c>
      <c r="AG37" s="85" t="s">
        <v>100</v>
      </c>
      <c r="AH37" s="28" t="s">
        <v>22</v>
      </c>
      <c r="AI37" s="91" t="s">
        <v>22</v>
      </c>
      <c r="AJ37" s="19"/>
      <c r="AK37" s="20"/>
      <c r="AL37" s="21">
        <f t="shared" si="0"/>
        <v>0</v>
      </c>
      <c r="AM37" s="20">
        <f t="shared" si="1"/>
        <v>0</v>
      </c>
      <c r="AN37" s="19"/>
      <c r="AO37" s="20"/>
      <c r="AP37" s="21">
        <f t="shared" si="2"/>
        <v>0</v>
      </c>
      <c r="AQ37" s="20">
        <f t="shared" si="3"/>
        <v>0</v>
      </c>
      <c r="AR37" s="19"/>
      <c r="AS37" s="21">
        <f t="shared" si="4"/>
        <v>20</v>
      </c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</row>
    <row r="38" spans="2:60">
      <c r="B38" s="278"/>
      <c r="C38" s="20" t="s">
        <v>103</v>
      </c>
      <c r="D38" s="20" t="s">
        <v>104</v>
      </c>
      <c r="E38" s="85" t="s">
        <v>100</v>
      </c>
      <c r="F38" s="28" t="s">
        <v>22</v>
      </c>
      <c r="G38" s="28" t="s">
        <v>22</v>
      </c>
      <c r="H38" s="79" t="s">
        <v>66</v>
      </c>
      <c r="I38" s="79" t="s">
        <v>66</v>
      </c>
      <c r="J38" s="79" t="s">
        <v>66</v>
      </c>
      <c r="K38" s="79" t="s">
        <v>66</v>
      </c>
      <c r="L38" s="28" t="s">
        <v>22</v>
      </c>
      <c r="M38" s="28" t="s">
        <v>22</v>
      </c>
      <c r="N38" s="85" t="s">
        <v>100</v>
      </c>
      <c r="O38" s="85" t="s">
        <v>100</v>
      </c>
      <c r="P38" s="85" t="s">
        <v>100</v>
      </c>
      <c r="Q38" s="85" t="s">
        <v>100</v>
      </c>
      <c r="R38" s="28" t="s">
        <v>22</v>
      </c>
      <c r="S38" s="28" t="s">
        <v>22</v>
      </c>
      <c r="T38" s="79" t="s">
        <v>66</v>
      </c>
      <c r="U38" s="79" t="s">
        <v>66</v>
      </c>
      <c r="V38" s="79" t="s">
        <v>66</v>
      </c>
      <c r="W38" s="79" t="s">
        <v>66</v>
      </c>
      <c r="X38" s="28" t="s">
        <v>22</v>
      </c>
      <c r="Y38" s="28" t="s">
        <v>22</v>
      </c>
      <c r="Z38" s="85" t="s">
        <v>100</v>
      </c>
      <c r="AA38" s="85" t="s">
        <v>100</v>
      </c>
      <c r="AB38" s="85" t="s">
        <v>100</v>
      </c>
      <c r="AC38" s="85" t="s">
        <v>100</v>
      </c>
      <c r="AD38" s="28" t="s">
        <v>22</v>
      </c>
      <c r="AE38" s="28" t="s">
        <v>22</v>
      </c>
      <c r="AF38" s="79" t="s">
        <v>66</v>
      </c>
      <c r="AG38" s="79" t="s">
        <v>66</v>
      </c>
      <c r="AH38" s="79" t="s">
        <v>66</v>
      </c>
      <c r="AI38" s="189" t="s">
        <v>66</v>
      </c>
      <c r="AJ38" s="19"/>
      <c r="AK38" s="20"/>
      <c r="AL38" s="21">
        <f t="shared" si="0"/>
        <v>0</v>
      </c>
      <c r="AM38" s="20">
        <f t="shared" si="1"/>
        <v>0</v>
      </c>
      <c r="AN38" s="19"/>
      <c r="AO38" s="20"/>
      <c r="AP38" s="21">
        <f t="shared" si="2"/>
        <v>0</v>
      </c>
      <c r="AQ38" s="20">
        <f t="shared" si="3"/>
        <v>0</v>
      </c>
      <c r="AR38" s="19"/>
      <c r="AS38" s="21">
        <f t="shared" si="4"/>
        <v>21</v>
      </c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</row>
    <row r="39" spans="2:60">
      <c r="B39" s="279"/>
      <c r="C39" s="108" t="s">
        <v>105</v>
      </c>
      <c r="D39" s="109" t="s">
        <v>106</v>
      </c>
      <c r="E39" s="85" t="s">
        <v>100</v>
      </c>
      <c r="F39" s="28" t="s">
        <v>22</v>
      </c>
      <c r="G39" s="28" t="s">
        <v>22</v>
      </c>
      <c r="H39" s="79" t="s">
        <v>66</v>
      </c>
      <c r="I39" s="79" t="s">
        <v>66</v>
      </c>
      <c r="J39" s="79" t="s">
        <v>66</v>
      </c>
      <c r="K39" s="79" t="s">
        <v>66</v>
      </c>
      <c r="L39" s="28" t="s">
        <v>22</v>
      </c>
      <c r="M39" s="28" t="s">
        <v>22</v>
      </c>
      <c r="N39" s="85" t="s">
        <v>100</v>
      </c>
      <c r="O39" s="85" t="s">
        <v>100</v>
      </c>
      <c r="P39" s="85" t="s">
        <v>100</v>
      </c>
      <c r="Q39" s="85" t="s">
        <v>100</v>
      </c>
      <c r="R39" s="28" t="s">
        <v>22</v>
      </c>
      <c r="S39" s="28" t="s">
        <v>22</v>
      </c>
      <c r="T39" s="79" t="s">
        <v>66</v>
      </c>
      <c r="U39" s="79" t="s">
        <v>66</v>
      </c>
      <c r="V39" s="79" t="s">
        <v>66</v>
      </c>
      <c r="W39" s="79" t="s">
        <v>66</v>
      </c>
      <c r="X39" s="28" t="s">
        <v>22</v>
      </c>
      <c r="Y39" s="28" t="s">
        <v>22</v>
      </c>
      <c r="Z39" s="85" t="s">
        <v>100</v>
      </c>
      <c r="AA39" s="85" t="s">
        <v>100</v>
      </c>
      <c r="AB39" s="85" t="s">
        <v>100</v>
      </c>
      <c r="AC39" s="85" t="s">
        <v>100</v>
      </c>
      <c r="AD39" s="28" t="s">
        <v>22</v>
      </c>
      <c r="AE39" s="28" t="s">
        <v>22</v>
      </c>
      <c r="AF39" s="79" t="s">
        <v>66</v>
      </c>
      <c r="AG39" s="79" t="s">
        <v>66</v>
      </c>
      <c r="AH39" s="79" t="s">
        <v>66</v>
      </c>
      <c r="AI39" s="189" t="s">
        <v>66</v>
      </c>
      <c r="AJ39" s="19"/>
      <c r="AK39" s="20"/>
      <c r="AL39" s="21">
        <f t="shared" si="0"/>
        <v>0</v>
      </c>
      <c r="AM39" s="20">
        <f t="shared" si="1"/>
        <v>0</v>
      </c>
      <c r="AN39" s="19"/>
      <c r="AO39" s="20"/>
      <c r="AP39" s="21">
        <f t="shared" si="2"/>
        <v>0</v>
      </c>
      <c r="AQ39" s="20">
        <f t="shared" si="3"/>
        <v>0</v>
      </c>
      <c r="AR39" s="19"/>
      <c r="AS39" s="21">
        <f t="shared" si="4"/>
        <v>21</v>
      </c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</row>
    <row r="40" spans="2:60" ht="15" customHeight="1">
      <c r="B40" s="280" t="s">
        <v>108</v>
      </c>
      <c r="C40" s="88" t="s">
        <v>109</v>
      </c>
      <c r="D40" s="88" t="s">
        <v>110</v>
      </c>
      <c r="E40" s="103" t="s">
        <v>22</v>
      </c>
      <c r="F40" s="103" t="s">
        <v>22</v>
      </c>
      <c r="G40" s="205" t="s">
        <v>113</v>
      </c>
      <c r="H40" s="205" t="s">
        <v>113</v>
      </c>
      <c r="I40" s="205" t="s">
        <v>113</v>
      </c>
      <c r="J40" s="205" t="s">
        <v>113</v>
      </c>
      <c r="K40" s="205" t="s">
        <v>113</v>
      </c>
      <c r="L40" s="103" t="s">
        <v>22</v>
      </c>
      <c r="M40" s="103" t="s">
        <v>22</v>
      </c>
      <c r="N40" s="205" t="s">
        <v>113</v>
      </c>
      <c r="O40" s="205" t="s">
        <v>113</v>
      </c>
      <c r="P40" s="205" t="s">
        <v>113</v>
      </c>
      <c r="Q40" s="205" t="s">
        <v>113</v>
      </c>
      <c r="R40" s="205" t="s">
        <v>113</v>
      </c>
      <c r="S40" s="103" t="s">
        <v>22</v>
      </c>
      <c r="T40" s="103" t="s">
        <v>22</v>
      </c>
      <c r="U40" s="205" t="s">
        <v>113</v>
      </c>
      <c r="V40" s="205" t="s">
        <v>113</v>
      </c>
      <c r="W40" s="205" t="s">
        <v>113</v>
      </c>
      <c r="X40" s="205" t="s">
        <v>113</v>
      </c>
      <c r="Y40" s="205" t="s">
        <v>113</v>
      </c>
      <c r="Z40" s="103" t="s">
        <v>22</v>
      </c>
      <c r="AA40" s="103" t="s">
        <v>22</v>
      </c>
      <c r="AB40" s="205" t="s">
        <v>113</v>
      </c>
      <c r="AC40" s="205" t="s">
        <v>113</v>
      </c>
      <c r="AD40" s="205" t="s">
        <v>113</v>
      </c>
      <c r="AE40" s="205" t="s">
        <v>113</v>
      </c>
      <c r="AF40" s="205" t="s">
        <v>113</v>
      </c>
      <c r="AG40" s="103" t="s">
        <v>22</v>
      </c>
      <c r="AH40" s="103" t="s">
        <v>22</v>
      </c>
      <c r="AI40" s="210" t="s">
        <v>113</v>
      </c>
      <c r="AJ40" s="19"/>
      <c r="AK40" s="20"/>
      <c r="AL40" s="21">
        <f t="shared" si="0"/>
        <v>0</v>
      </c>
      <c r="AM40" s="20">
        <f t="shared" si="1"/>
        <v>0</v>
      </c>
      <c r="AN40" s="19"/>
      <c r="AO40" s="20"/>
      <c r="AP40" s="21">
        <f t="shared" si="2"/>
        <v>0</v>
      </c>
      <c r="AQ40" s="20">
        <f t="shared" si="3"/>
        <v>0</v>
      </c>
      <c r="AR40" s="19"/>
      <c r="AS40" s="21">
        <f t="shared" si="4"/>
        <v>21</v>
      </c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</row>
    <row r="41" spans="2:60">
      <c r="B41" s="276"/>
      <c r="C41" s="22" t="s">
        <v>111</v>
      </c>
      <c r="D41" s="20" t="s">
        <v>112</v>
      </c>
      <c r="E41" s="28" t="s">
        <v>22</v>
      </c>
      <c r="F41" s="28" t="s">
        <v>22</v>
      </c>
      <c r="G41" s="80" t="s">
        <v>113</v>
      </c>
      <c r="H41" s="80" t="s">
        <v>113</v>
      </c>
      <c r="I41" s="80" t="s">
        <v>113</v>
      </c>
      <c r="J41" s="80" t="s">
        <v>113</v>
      </c>
      <c r="K41" s="80" t="s">
        <v>113</v>
      </c>
      <c r="L41" s="28" t="s">
        <v>22</v>
      </c>
      <c r="M41" s="28" t="s">
        <v>22</v>
      </c>
      <c r="N41" s="80" t="s">
        <v>113</v>
      </c>
      <c r="O41" s="80" t="s">
        <v>113</v>
      </c>
      <c r="P41" s="80" t="s">
        <v>113</v>
      </c>
      <c r="Q41" s="80" t="s">
        <v>113</v>
      </c>
      <c r="R41" s="80" t="s">
        <v>113</v>
      </c>
      <c r="S41" s="28" t="s">
        <v>22</v>
      </c>
      <c r="T41" s="28" t="s">
        <v>22</v>
      </c>
      <c r="U41" s="80" t="s">
        <v>113</v>
      </c>
      <c r="V41" s="80" t="s">
        <v>113</v>
      </c>
      <c r="W41" s="80" t="s">
        <v>113</v>
      </c>
      <c r="X41" s="80" t="s">
        <v>113</v>
      </c>
      <c r="Y41" s="80" t="s">
        <v>113</v>
      </c>
      <c r="Z41" s="28" t="s">
        <v>22</v>
      </c>
      <c r="AA41" s="28" t="s">
        <v>22</v>
      </c>
      <c r="AB41" s="80" t="s">
        <v>113</v>
      </c>
      <c r="AC41" s="80" t="s">
        <v>113</v>
      </c>
      <c r="AD41" s="80" t="s">
        <v>113</v>
      </c>
      <c r="AE41" s="80" t="s">
        <v>113</v>
      </c>
      <c r="AF41" s="80" t="s">
        <v>113</v>
      </c>
      <c r="AG41" s="28" t="s">
        <v>22</v>
      </c>
      <c r="AH41" s="28" t="s">
        <v>22</v>
      </c>
      <c r="AI41" s="190" t="s">
        <v>113</v>
      </c>
      <c r="AJ41" s="19"/>
      <c r="AK41" s="20"/>
      <c r="AL41" s="21">
        <f t="shared" si="0"/>
        <v>0</v>
      </c>
      <c r="AM41" s="20">
        <f t="shared" si="1"/>
        <v>0</v>
      </c>
      <c r="AN41" s="19"/>
      <c r="AO41" s="20"/>
      <c r="AP41" s="21">
        <f t="shared" si="2"/>
        <v>0</v>
      </c>
      <c r="AQ41" s="20">
        <f t="shared" si="3"/>
        <v>0</v>
      </c>
      <c r="AR41" s="19"/>
      <c r="AS41" s="21">
        <f t="shared" si="4"/>
        <v>21</v>
      </c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</row>
    <row r="42" spans="2:60">
      <c r="B42" s="276"/>
      <c r="C42" s="20" t="s">
        <v>114</v>
      </c>
      <c r="D42" s="20" t="s">
        <v>115</v>
      </c>
      <c r="E42" s="28" t="s">
        <v>22</v>
      </c>
      <c r="F42" s="28" t="s">
        <v>22</v>
      </c>
      <c r="G42" s="81" t="s">
        <v>116</v>
      </c>
      <c r="H42" s="81" t="s">
        <v>116</v>
      </c>
      <c r="I42" s="81" t="s">
        <v>116</v>
      </c>
      <c r="J42" s="81" t="s">
        <v>116</v>
      </c>
      <c r="K42" s="81" t="s">
        <v>116</v>
      </c>
      <c r="L42" s="28" t="s">
        <v>22</v>
      </c>
      <c r="M42" s="28" t="s">
        <v>22</v>
      </c>
      <c r="N42" s="81" t="s">
        <v>116</v>
      </c>
      <c r="O42" s="81" t="s">
        <v>116</v>
      </c>
      <c r="P42" s="81" t="s">
        <v>116</v>
      </c>
      <c r="Q42" s="81" t="s">
        <v>116</v>
      </c>
      <c r="R42" s="81" t="s">
        <v>116</v>
      </c>
      <c r="S42" s="28" t="s">
        <v>22</v>
      </c>
      <c r="T42" s="28" t="s">
        <v>22</v>
      </c>
      <c r="U42" s="81" t="s">
        <v>116</v>
      </c>
      <c r="V42" s="81" t="s">
        <v>116</v>
      </c>
      <c r="W42" s="81" t="s">
        <v>116</v>
      </c>
      <c r="X42" s="81" t="s">
        <v>116</v>
      </c>
      <c r="Y42" s="81" t="s">
        <v>116</v>
      </c>
      <c r="Z42" s="28" t="s">
        <v>22</v>
      </c>
      <c r="AA42" s="28" t="s">
        <v>22</v>
      </c>
      <c r="AB42" s="81" t="s">
        <v>116</v>
      </c>
      <c r="AC42" s="81" t="s">
        <v>116</v>
      </c>
      <c r="AD42" s="81" t="s">
        <v>116</v>
      </c>
      <c r="AE42" s="81" t="s">
        <v>116</v>
      </c>
      <c r="AF42" s="81" t="s">
        <v>116</v>
      </c>
      <c r="AG42" s="28" t="s">
        <v>22</v>
      </c>
      <c r="AH42" s="28" t="s">
        <v>22</v>
      </c>
      <c r="AI42" s="191" t="s">
        <v>116</v>
      </c>
      <c r="AJ42" s="19"/>
      <c r="AK42" s="20"/>
      <c r="AL42" s="21">
        <f t="shared" si="0"/>
        <v>0</v>
      </c>
      <c r="AM42" s="20">
        <f t="shared" si="1"/>
        <v>0</v>
      </c>
      <c r="AN42" s="19"/>
      <c r="AO42" s="26"/>
      <c r="AP42" s="21">
        <f t="shared" si="2"/>
        <v>0</v>
      </c>
      <c r="AQ42" s="44">
        <f t="shared" si="3"/>
        <v>0</v>
      </c>
      <c r="AR42" s="19"/>
      <c r="AS42" s="21">
        <f t="shared" si="4"/>
        <v>21</v>
      </c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</row>
    <row r="43" spans="2:60">
      <c r="B43" s="276"/>
      <c r="C43" s="22" t="s">
        <v>117</v>
      </c>
      <c r="D43" s="20" t="s">
        <v>118</v>
      </c>
      <c r="E43" s="28" t="s">
        <v>22</v>
      </c>
      <c r="F43" s="60" t="s">
        <v>21</v>
      </c>
      <c r="G43" s="60" t="s">
        <v>21</v>
      </c>
      <c r="H43" s="60" t="s">
        <v>21</v>
      </c>
      <c r="I43" s="60" t="s">
        <v>21</v>
      </c>
      <c r="J43" s="28" t="s">
        <v>22</v>
      </c>
      <c r="K43" s="28" t="s">
        <v>22</v>
      </c>
      <c r="L43" s="74" t="s">
        <v>23</v>
      </c>
      <c r="M43" s="74" t="s">
        <v>23</v>
      </c>
      <c r="N43" s="74" t="s">
        <v>23</v>
      </c>
      <c r="O43" s="74" t="s">
        <v>23</v>
      </c>
      <c r="P43" s="28" t="s">
        <v>22</v>
      </c>
      <c r="Q43" s="28" t="s">
        <v>22</v>
      </c>
      <c r="R43" s="60" t="s">
        <v>21</v>
      </c>
      <c r="S43" s="60" t="s">
        <v>21</v>
      </c>
      <c r="T43" s="60" t="s">
        <v>21</v>
      </c>
      <c r="U43" s="60" t="s">
        <v>21</v>
      </c>
      <c r="V43" s="28" t="s">
        <v>22</v>
      </c>
      <c r="W43" s="28" t="s">
        <v>22</v>
      </c>
      <c r="X43" s="74" t="s">
        <v>23</v>
      </c>
      <c r="Y43" s="74" t="s">
        <v>23</v>
      </c>
      <c r="Z43" s="74" t="s">
        <v>23</v>
      </c>
      <c r="AA43" s="74" t="s">
        <v>23</v>
      </c>
      <c r="AB43" s="28" t="s">
        <v>22</v>
      </c>
      <c r="AC43" s="28" t="s">
        <v>22</v>
      </c>
      <c r="AD43" s="60" t="s">
        <v>21</v>
      </c>
      <c r="AE43" s="60" t="s">
        <v>21</v>
      </c>
      <c r="AF43" s="60" t="s">
        <v>21</v>
      </c>
      <c r="AG43" s="60" t="s">
        <v>21</v>
      </c>
      <c r="AH43" s="28" t="s">
        <v>22</v>
      </c>
      <c r="AI43" s="91" t="s">
        <v>22</v>
      </c>
      <c r="AJ43" s="19"/>
      <c r="AK43" s="20"/>
      <c r="AL43" s="21">
        <f t="shared" si="0"/>
        <v>0</v>
      </c>
      <c r="AM43" s="20">
        <f t="shared" si="1"/>
        <v>0</v>
      </c>
      <c r="AN43" s="19"/>
      <c r="AO43" s="20"/>
      <c r="AP43" s="21">
        <f t="shared" si="2"/>
        <v>0</v>
      </c>
      <c r="AQ43" s="20">
        <f t="shared" si="3"/>
        <v>0</v>
      </c>
      <c r="AR43" s="19"/>
      <c r="AS43" s="21">
        <f t="shared" si="4"/>
        <v>20</v>
      </c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</row>
    <row r="44" spans="2:60">
      <c r="B44" s="276"/>
      <c r="C44" s="20" t="s">
        <v>119</v>
      </c>
      <c r="D44" s="20" t="s">
        <v>120</v>
      </c>
      <c r="E44" s="28" t="s">
        <v>22</v>
      </c>
      <c r="F44" s="60" t="s">
        <v>21</v>
      </c>
      <c r="G44" s="60" t="s">
        <v>21</v>
      </c>
      <c r="H44" s="60" t="s">
        <v>21</v>
      </c>
      <c r="I44" s="60" t="s">
        <v>21</v>
      </c>
      <c r="J44" s="28" t="s">
        <v>22</v>
      </c>
      <c r="K44" s="28" t="s">
        <v>22</v>
      </c>
      <c r="L44" s="74" t="s">
        <v>23</v>
      </c>
      <c r="M44" s="74" t="s">
        <v>23</v>
      </c>
      <c r="N44" s="74" t="s">
        <v>23</v>
      </c>
      <c r="O44" s="74" t="s">
        <v>23</v>
      </c>
      <c r="P44" s="28" t="s">
        <v>22</v>
      </c>
      <c r="Q44" s="28" t="s">
        <v>22</v>
      </c>
      <c r="R44" s="60" t="s">
        <v>21</v>
      </c>
      <c r="S44" s="60" t="s">
        <v>21</v>
      </c>
      <c r="T44" s="60" t="s">
        <v>21</v>
      </c>
      <c r="U44" s="60" t="s">
        <v>21</v>
      </c>
      <c r="V44" s="28" t="s">
        <v>22</v>
      </c>
      <c r="W44" s="28" t="s">
        <v>22</v>
      </c>
      <c r="X44" s="74" t="s">
        <v>23</v>
      </c>
      <c r="Y44" s="74" t="s">
        <v>23</v>
      </c>
      <c r="Z44" s="74" t="s">
        <v>23</v>
      </c>
      <c r="AA44" s="74" t="s">
        <v>23</v>
      </c>
      <c r="AB44" s="28" t="s">
        <v>22</v>
      </c>
      <c r="AC44" s="28" t="s">
        <v>22</v>
      </c>
      <c r="AD44" s="60" t="s">
        <v>21</v>
      </c>
      <c r="AE44" s="60" t="s">
        <v>21</v>
      </c>
      <c r="AF44" s="60" t="s">
        <v>21</v>
      </c>
      <c r="AG44" s="60" t="s">
        <v>21</v>
      </c>
      <c r="AH44" s="28" t="s">
        <v>22</v>
      </c>
      <c r="AI44" s="91" t="s">
        <v>22</v>
      </c>
      <c r="AJ44" s="19"/>
      <c r="AK44" s="20"/>
      <c r="AL44" s="21">
        <f t="shared" si="0"/>
        <v>0</v>
      </c>
      <c r="AM44" s="20">
        <f t="shared" si="1"/>
        <v>0</v>
      </c>
      <c r="AN44" s="19"/>
      <c r="AO44" s="20"/>
      <c r="AP44" s="21">
        <f t="shared" si="2"/>
        <v>0</v>
      </c>
      <c r="AQ44" s="20">
        <f t="shared" si="3"/>
        <v>0</v>
      </c>
      <c r="AR44" s="19"/>
      <c r="AS44" s="21">
        <f t="shared" si="4"/>
        <v>20</v>
      </c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</row>
    <row r="45" spans="2:60">
      <c r="B45" s="276"/>
      <c r="C45" s="22" t="s">
        <v>121</v>
      </c>
      <c r="D45" s="20" t="s">
        <v>122</v>
      </c>
      <c r="E45" s="74" t="s">
        <v>23</v>
      </c>
      <c r="F45" s="74" t="s">
        <v>23</v>
      </c>
      <c r="G45" s="74" t="s">
        <v>23</v>
      </c>
      <c r="H45" s="28" t="s">
        <v>22</v>
      </c>
      <c r="I45" s="28" t="s">
        <v>22</v>
      </c>
      <c r="J45" s="60" t="s">
        <v>21</v>
      </c>
      <c r="K45" s="60" t="s">
        <v>21</v>
      </c>
      <c r="L45" s="60" t="s">
        <v>21</v>
      </c>
      <c r="M45" s="60" t="s">
        <v>21</v>
      </c>
      <c r="N45" s="28" t="s">
        <v>22</v>
      </c>
      <c r="O45" s="28" t="s">
        <v>22</v>
      </c>
      <c r="P45" s="74" t="s">
        <v>23</v>
      </c>
      <c r="Q45" s="74" t="s">
        <v>23</v>
      </c>
      <c r="R45" s="74" t="s">
        <v>23</v>
      </c>
      <c r="S45" s="74" t="s">
        <v>23</v>
      </c>
      <c r="T45" s="28" t="s">
        <v>22</v>
      </c>
      <c r="U45" s="28" t="s">
        <v>22</v>
      </c>
      <c r="V45" s="60" t="s">
        <v>21</v>
      </c>
      <c r="W45" s="60" t="s">
        <v>21</v>
      </c>
      <c r="X45" s="60" t="s">
        <v>21</v>
      </c>
      <c r="Y45" s="60" t="s">
        <v>21</v>
      </c>
      <c r="Z45" s="28" t="s">
        <v>22</v>
      </c>
      <c r="AA45" s="28" t="s">
        <v>22</v>
      </c>
      <c r="AB45" s="74" t="s">
        <v>23</v>
      </c>
      <c r="AC45" s="74" t="s">
        <v>23</v>
      </c>
      <c r="AD45" s="74" t="s">
        <v>23</v>
      </c>
      <c r="AE45" s="74" t="s">
        <v>23</v>
      </c>
      <c r="AF45" s="28" t="s">
        <v>22</v>
      </c>
      <c r="AG45" s="28" t="s">
        <v>22</v>
      </c>
      <c r="AH45" s="60" t="s">
        <v>21</v>
      </c>
      <c r="AI45" s="90" t="s">
        <v>21</v>
      </c>
      <c r="AJ45" s="19"/>
      <c r="AK45" s="20"/>
      <c r="AL45" s="21">
        <f t="shared" si="0"/>
        <v>0</v>
      </c>
      <c r="AM45" s="20">
        <f t="shared" si="1"/>
        <v>0</v>
      </c>
      <c r="AN45" s="19"/>
      <c r="AO45" s="20"/>
      <c r="AP45" s="21">
        <f t="shared" si="2"/>
        <v>0</v>
      </c>
      <c r="AQ45" s="20">
        <f t="shared" si="3"/>
        <v>0</v>
      </c>
      <c r="AR45" s="19"/>
      <c r="AS45" s="21">
        <f t="shared" si="4"/>
        <v>21</v>
      </c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</row>
    <row r="46" spans="2:60" ht="15" customHeight="1">
      <c r="B46" s="276"/>
      <c r="C46" s="20" t="s">
        <v>124</v>
      </c>
      <c r="D46" s="20" t="s">
        <v>125</v>
      </c>
      <c r="E46" s="74" t="s">
        <v>23</v>
      </c>
      <c r="F46" s="74" t="s">
        <v>23</v>
      </c>
      <c r="G46" s="74" t="s">
        <v>23</v>
      </c>
      <c r="H46" s="28" t="s">
        <v>22</v>
      </c>
      <c r="I46" s="28" t="s">
        <v>22</v>
      </c>
      <c r="J46" s="60" t="s">
        <v>21</v>
      </c>
      <c r="K46" s="60" t="s">
        <v>21</v>
      </c>
      <c r="L46" s="60" t="s">
        <v>21</v>
      </c>
      <c r="M46" s="60" t="s">
        <v>21</v>
      </c>
      <c r="N46" s="28" t="s">
        <v>22</v>
      </c>
      <c r="O46" s="28" t="s">
        <v>22</v>
      </c>
      <c r="P46" s="74" t="s">
        <v>23</v>
      </c>
      <c r="Q46" s="74" t="s">
        <v>23</v>
      </c>
      <c r="R46" s="74" t="s">
        <v>23</v>
      </c>
      <c r="S46" s="74" t="s">
        <v>23</v>
      </c>
      <c r="T46" s="28" t="s">
        <v>22</v>
      </c>
      <c r="U46" s="28" t="s">
        <v>22</v>
      </c>
      <c r="V46" s="60" t="s">
        <v>21</v>
      </c>
      <c r="W46" s="60" t="s">
        <v>21</v>
      </c>
      <c r="X46" s="60" t="s">
        <v>21</v>
      </c>
      <c r="Y46" s="60" t="s">
        <v>21</v>
      </c>
      <c r="Z46" s="28" t="s">
        <v>22</v>
      </c>
      <c r="AA46" s="28" t="s">
        <v>22</v>
      </c>
      <c r="AB46" s="74" t="s">
        <v>23</v>
      </c>
      <c r="AC46" s="74" t="s">
        <v>23</v>
      </c>
      <c r="AD46" s="74" t="s">
        <v>23</v>
      </c>
      <c r="AE46" s="74" t="s">
        <v>23</v>
      </c>
      <c r="AF46" s="28" t="s">
        <v>22</v>
      </c>
      <c r="AG46" s="28" t="s">
        <v>22</v>
      </c>
      <c r="AH46" s="60" t="s">
        <v>21</v>
      </c>
      <c r="AI46" s="90" t="s">
        <v>21</v>
      </c>
      <c r="AJ46" s="19"/>
      <c r="AK46" s="20"/>
      <c r="AL46" s="21">
        <f t="shared" si="0"/>
        <v>0</v>
      </c>
      <c r="AM46" s="20">
        <f t="shared" si="1"/>
        <v>0</v>
      </c>
      <c r="AN46" s="19"/>
      <c r="AO46" s="20"/>
      <c r="AP46" s="21">
        <f t="shared" si="2"/>
        <v>0</v>
      </c>
      <c r="AQ46" s="20">
        <f t="shared" si="3"/>
        <v>0</v>
      </c>
      <c r="AR46" s="19"/>
      <c r="AS46" s="21">
        <f t="shared" si="4"/>
        <v>21</v>
      </c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</row>
    <row r="47" spans="2:60">
      <c r="B47" s="281"/>
      <c r="C47" s="92" t="s">
        <v>126</v>
      </c>
      <c r="D47" s="93" t="s">
        <v>127</v>
      </c>
      <c r="E47" s="95" t="s">
        <v>21</v>
      </c>
      <c r="F47" s="94" t="s">
        <v>22</v>
      </c>
      <c r="G47" s="94" t="s">
        <v>22</v>
      </c>
      <c r="H47" s="96" t="s">
        <v>23</v>
      </c>
      <c r="I47" s="96" t="s">
        <v>23</v>
      </c>
      <c r="J47" s="96" t="s">
        <v>23</v>
      </c>
      <c r="K47" s="96" t="s">
        <v>23</v>
      </c>
      <c r="L47" s="94" t="s">
        <v>22</v>
      </c>
      <c r="M47" s="94" t="s">
        <v>22</v>
      </c>
      <c r="N47" s="95" t="s">
        <v>21</v>
      </c>
      <c r="O47" s="95" t="s">
        <v>21</v>
      </c>
      <c r="P47" s="95" t="s">
        <v>21</v>
      </c>
      <c r="Q47" s="95" t="s">
        <v>21</v>
      </c>
      <c r="R47" s="94" t="s">
        <v>22</v>
      </c>
      <c r="S47" s="94" t="s">
        <v>22</v>
      </c>
      <c r="T47" s="96" t="s">
        <v>23</v>
      </c>
      <c r="U47" s="96" t="s">
        <v>23</v>
      </c>
      <c r="V47" s="96" t="s">
        <v>23</v>
      </c>
      <c r="W47" s="96" t="s">
        <v>23</v>
      </c>
      <c r="X47" s="94" t="s">
        <v>22</v>
      </c>
      <c r="Y47" s="94" t="s">
        <v>22</v>
      </c>
      <c r="Z47" s="95" t="s">
        <v>21</v>
      </c>
      <c r="AA47" s="95" t="s">
        <v>21</v>
      </c>
      <c r="AB47" s="95" t="s">
        <v>21</v>
      </c>
      <c r="AC47" s="95" t="s">
        <v>21</v>
      </c>
      <c r="AD47" s="94" t="s">
        <v>22</v>
      </c>
      <c r="AE47" s="94" t="s">
        <v>22</v>
      </c>
      <c r="AF47" s="96" t="s">
        <v>23</v>
      </c>
      <c r="AG47" s="96" t="s">
        <v>23</v>
      </c>
      <c r="AH47" s="96" t="s">
        <v>23</v>
      </c>
      <c r="AI47" s="181" t="s">
        <v>23</v>
      </c>
      <c r="AJ47" s="19"/>
      <c r="AK47" s="20"/>
      <c r="AL47" s="21">
        <f t="shared" si="0"/>
        <v>0</v>
      </c>
      <c r="AM47" s="20">
        <f t="shared" si="1"/>
        <v>0</v>
      </c>
      <c r="AN47" s="19"/>
      <c r="AO47" s="20"/>
      <c r="AP47" s="21">
        <f t="shared" si="2"/>
        <v>0</v>
      </c>
      <c r="AQ47" s="20">
        <f t="shared" si="3"/>
        <v>0</v>
      </c>
      <c r="AR47" s="19"/>
      <c r="AS47" s="21">
        <f t="shared" si="4"/>
        <v>21</v>
      </c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</row>
    <row r="48" spans="2:60">
      <c r="B48" s="42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</row>
    <row r="49" spans="2:60">
      <c r="B49" s="282" t="s">
        <v>252</v>
      </c>
      <c r="C49" s="286" t="s">
        <v>253</v>
      </c>
      <c r="D49" s="286"/>
      <c r="E49" s="21">
        <f>COUNTIF(C5:C47,$C$49)</f>
        <v>0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</row>
    <row r="50" spans="2:60">
      <c r="B50" s="282"/>
      <c r="C50" s="286" t="s">
        <v>253</v>
      </c>
      <c r="D50" s="286"/>
      <c r="E50" s="21">
        <f>COUNTIF(C5:C47,$C$50)</f>
        <v>0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</row>
    <row r="51" spans="2:60">
      <c r="C51" s="286" t="s">
        <v>128</v>
      </c>
      <c r="D51" s="286"/>
      <c r="E51" s="21">
        <f>E49+E50</f>
        <v>0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</row>
    <row r="52" spans="2:60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</row>
    <row r="53" spans="2:60"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</row>
    <row r="54" spans="2:60">
      <c r="C54" s="19"/>
      <c r="D54" s="19"/>
      <c r="E54" s="28" t="s">
        <v>22</v>
      </c>
      <c r="F54" s="250" t="s">
        <v>129</v>
      </c>
      <c r="G54" s="251"/>
      <c r="H54" s="251"/>
      <c r="I54" s="252"/>
      <c r="J54" s="19"/>
      <c r="K54" s="29" t="s">
        <v>130</v>
      </c>
      <c r="L54" s="250" t="s">
        <v>131</v>
      </c>
      <c r="M54" s="251"/>
      <c r="N54" s="251"/>
      <c r="O54" s="252"/>
      <c r="P54" s="19"/>
      <c r="Q54" s="256" t="s">
        <v>132</v>
      </c>
      <c r="R54" s="256"/>
      <c r="S54" s="256"/>
      <c r="T54" s="25"/>
      <c r="V54" s="258" t="s">
        <v>133</v>
      </c>
      <c r="W54" s="258"/>
      <c r="X54" s="258"/>
      <c r="Y54" s="258" t="s">
        <v>134</v>
      </c>
      <c r="Z54" s="258"/>
      <c r="AA54" s="258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</row>
    <row r="55" spans="2:60">
      <c r="C55" s="19"/>
      <c r="D55" s="19"/>
      <c r="E55" s="28" t="s">
        <v>135</v>
      </c>
      <c r="F55" s="250" t="s">
        <v>136</v>
      </c>
      <c r="G55" s="251"/>
      <c r="H55" s="251"/>
      <c r="I55" s="252"/>
      <c r="J55" s="19"/>
      <c r="K55" s="29" t="s">
        <v>123</v>
      </c>
      <c r="L55" s="250" t="s">
        <v>137</v>
      </c>
      <c r="M55" s="251"/>
      <c r="N55" s="251"/>
      <c r="O55" s="252"/>
      <c r="P55" s="19"/>
      <c r="Q55" s="21" t="s">
        <v>20</v>
      </c>
      <c r="R55" s="283" t="s">
        <v>138</v>
      </c>
      <c r="S55" s="284"/>
      <c r="U55" s="57" t="s">
        <v>29</v>
      </c>
      <c r="V55" s="240" t="s">
        <v>139</v>
      </c>
      <c r="W55" s="240"/>
      <c r="X55" s="240"/>
      <c r="Y55" s="240" t="s">
        <v>140</v>
      </c>
      <c r="Z55" s="240"/>
      <c r="AA55" s="240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</row>
    <row r="56" spans="2:60">
      <c r="C56" s="19"/>
      <c r="D56" s="19"/>
      <c r="E56" s="30" t="s">
        <v>20</v>
      </c>
      <c r="F56" s="250" t="s">
        <v>141</v>
      </c>
      <c r="G56" s="251"/>
      <c r="H56" s="251"/>
      <c r="I56" s="252"/>
      <c r="J56" s="19"/>
      <c r="K56" s="28" t="s">
        <v>107</v>
      </c>
      <c r="L56" s="250" t="s">
        <v>142</v>
      </c>
      <c r="M56" s="251"/>
      <c r="N56" s="251"/>
      <c r="O56" s="252"/>
      <c r="P56" s="19"/>
      <c r="Q56" s="21" t="s">
        <v>143</v>
      </c>
      <c r="R56" s="283" t="s">
        <v>144</v>
      </c>
      <c r="S56" s="284"/>
      <c r="U56" s="46" t="s">
        <v>145</v>
      </c>
      <c r="V56" s="240" t="s">
        <v>146</v>
      </c>
      <c r="W56" s="240"/>
      <c r="X56" s="240"/>
      <c r="Y56" s="240" t="s">
        <v>147</v>
      </c>
      <c r="Z56" s="240"/>
      <c r="AA56" s="240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</row>
    <row r="57" spans="2:60">
      <c r="C57" s="19"/>
      <c r="D57" s="19"/>
      <c r="E57" s="31" t="s">
        <v>36</v>
      </c>
      <c r="F57" s="250" t="s">
        <v>148</v>
      </c>
      <c r="G57" s="251"/>
      <c r="H57" s="251"/>
      <c r="I57" s="252"/>
      <c r="J57" s="19"/>
      <c r="K57" s="28" t="s">
        <v>143</v>
      </c>
      <c r="L57" s="250" t="s">
        <v>142</v>
      </c>
      <c r="M57" s="251"/>
      <c r="N57" s="251"/>
      <c r="O57" s="252"/>
      <c r="P57" s="19"/>
      <c r="Q57" s="21" t="s">
        <v>149</v>
      </c>
      <c r="R57" s="259" t="s">
        <v>150</v>
      </c>
      <c r="S57" s="260"/>
      <c r="U57" s="47" t="s">
        <v>151</v>
      </c>
      <c r="V57" s="240" t="s">
        <v>152</v>
      </c>
      <c r="W57" s="240"/>
      <c r="X57" s="240"/>
      <c r="Y57" s="240" t="s">
        <v>153</v>
      </c>
      <c r="Z57" s="240"/>
      <c r="AA57" s="240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</row>
    <row r="58" spans="2:60">
      <c r="C58" s="19"/>
      <c r="D58" s="19"/>
      <c r="E58" s="31" t="s">
        <v>33</v>
      </c>
      <c r="F58" s="250" t="s">
        <v>154</v>
      </c>
      <c r="G58" s="251"/>
      <c r="H58" s="251"/>
      <c r="I58" s="252"/>
      <c r="J58" s="19"/>
      <c r="K58" s="28" t="s">
        <v>155</v>
      </c>
      <c r="L58" s="250" t="s">
        <v>142</v>
      </c>
      <c r="M58" s="251"/>
      <c r="N58" s="251"/>
      <c r="O58" s="252"/>
      <c r="P58" s="19"/>
      <c r="Q58" s="21" t="s">
        <v>156</v>
      </c>
      <c r="R58" s="282" t="s">
        <v>157</v>
      </c>
      <c r="S58" s="282"/>
      <c r="U58" s="58" t="s">
        <v>100</v>
      </c>
      <c r="V58" s="240" t="s">
        <v>158</v>
      </c>
      <c r="W58" s="240"/>
      <c r="X58" s="240"/>
      <c r="Y58" s="240" t="s">
        <v>159</v>
      </c>
      <c r="Z58" s="240"/>
      <c r="AA58" s="240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</row>
    <row r="59" spans="2:60">
      <c r="C59" s="19"/>
      <c r="D59" s="19"/>
      <c r="E59" s="32" t="s">
        <v>20</v>
      </c>
      <c r="F59" s="250" t="s">
        <v>160</v>
      </c>
      <c r="G59" s="251"/>
      <c r="H59" s="251"/>
      <c r="I59" s="252"/>
      <c r="J59" s="19"/>
      <c r="K59" s="33" t="s">
        <v>81</v>
      </c>
      <c r="L59" s="250" t="s">
        <v>161</v>
      </c>
      <c r="M59" s="251"/>
      <c r="N59" s="251"/>
      <c r="O59" s="252"/>
      <c r="P59" s="19"/>
      <c r="Q59" s="21" t="s">
        <v>162</v>
      </c>
      <c r="R59" s="282" t="s">
        <v>163</v>
      </c>
      <c r="S59" s="282"/>
      <c r="U59" s="59" t="s">
        <v>164</v>
      </c>
      <c r="V59" s="240" t="s">
        <v>165</v>
      </c>
      <c r="W59" s="240"/>
      <c r="X59" s="240"/>
      <c r="Y59" s="240" t="s">
        <v>166</v>
      </c>
      <c r="Z59" s="240"/>
      <c r="AA59" s="240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</row>
    <row r="60" spans="2:60">
      <c r="C60" s="19"/>
      <c r="D60" s="19"/>
      <c r="E60" s="32" t="s">
        <v>36</v>
      </c>
      <c r="F60" s="250" t="s">
        <v>167</v>
      </c>
      <c r="G60" s="251"/>
      <c r="H60" s="251"/>
      <c r="I60" s="252"/>
      <c r="J60" s="19"/>
      <c r="K60" s="28" t="s">
        <v>168</v>
      </c>
      <c r="L60" s="250" t="s">
        <v>161</v>
      </c>
      <c r="M60" s="251"/>
      <c r="N60" s="251"/>
      <c r="O60" s="252"/>
      <c r="T60" s="19"/>
      <c r="U60" s="72" t="s">
        <v>169</v>
      </c>
      <c r="V60" s="240" t="s">
        <v>170</v>
      </c>
      <c r="W60" s="240"/>
      <c r="X60" s="240"/>
      <c r="Y60" s="240" t="s">
        <v>171</v>
      </c>
      <c r="Z60" s="240"/>
      <c r="AA60" s="240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</row>
    <row r="61" spans="2:60">
      <c r="C61" s="19"/>
      <c r="D61" s="19"/>
      <c r="E61" s="34" t="s">
        <v>26</v>
      </c>
      <c r="F61" s="250" t="s">
        <v>172</v>
      </c>
      <c r="G61" s="251"/>
      <c r="H61" s="251"/>
      <c r="I61" s="252"/>
      <c r="J61" s="19"/>
      <c r="K61" s="28" t="s">
        <v>173</v>
      </c>
      <c r="L61" s="250" t="s">
        <v>161</v>
      </c>
      <c r="M61" s="251"/>
      <c r="N61" s="251"/>
      <c r="O61" s="252"/>
      <c r="T61" s="19"/>
      <c r="U61" s="60" t="s">
        <v>21</v>
      </c>
      <c r="V61" s="240" t="s">
        <v>174</v>
      </c>
      <c r="W61" s="240"/>
      <c r="X61" s="240"/>
      <c r="Y61" s="240" t="s">
        <v>175</v>
      </c>
      <c r="Z61" s="240"/>
      <c r="AA61" s="240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</row>
    <row r="62" spans="2:60">
      <c r="C62" s="19"/>
      <c r="D62" s="19"/>
      <c r="E62" s="34" t="s">
        <v>176</v>
      </c>
      <c r="F62" s="250" t="s">
        <v>177</v>
      </c>
      <c r="G62" s="251"/>
      <c r="H62" s="251"/>
      <c r="I62" s="252"/>
      <c r="J62" s="19"/>
      <c r="K62" s="28" t="s">
        <v>178</v>
      </c>
      <c r="L62" s="250" t="s">
        <v>161</v>
      </c>
      <c r="M62" s="251"/>
      <c r="N62" s="251"/>
      <c r="O62" s="252"/>
      <c r="T62" s="19"/>
      <c r="U62" s="61" t="s">
        <v>179</v>
      </c>
      <c r="V62" s="240" t="s">
        <v>180</v>
      </c>
      <c r="W62" s="240"/>
      <c r="X62" s="240"/>
      <c r="Y62" s="240" t="s">
        <v>181</v>
      </c>
      <c r="Z62" s="240"/>
      <c r="AA62" s="240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</row>
    <row r="63" spans="2:60">
      <c r="C63" s="19"/>
      <c r="D63" s="19"/>
      <c r="E63" s="32" t="s">
        <v>182</v>
      </c>
      <c r="F63" s="250" t="s">
        <v>183</v>
      </c>
      <c r="G63" s="251"/>
      <c r="H63" s="251"/>
      <c r="I63" s="252"/>
      <c r="J63" s="19"/>
      <c r="K63" s="27" t="s">
        <v>67</v>
      </c>
      <c r="L63" s="250" t="s">
        <v>161</v>
      </c>
      <c r="M63" s="251"/>
      <c r="N63" s="251"/>
      <c r="O63" s="252"/>
      <c r="P63" s="19"/>
      <c r="Q63" s="19"/>
      <c r="R63" s="19"/>
      <c r="S63" s="19"/>
      <c r="T63" s="19"/>
      <c r="U63" s="62" t="s">
        <v>184</v>
      </c>
      <c r="V63" s="240" t="s">
        <v>185</v>
      </c>
      <c r="W63" s="240"/>
      <c r="X63" s="240"/>
      <c r="Y63" s="240" t="s">
        <v>186</v>
      </c>
      <c r="Z63" s="240"/>
      <c r="AA63" s="240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</row>
    <row r="64" spans="2:60">
      <c r="C64" s="19"/>
      <c r="D64" s="19"/>
      <c r="E64" s="33" t="s">
        <v>30</v>
      </c>
      <c r="F64" s="250" t="s">
        <v>187</v>
      </c>
      <c r="G64" s="251"/>
      <c r="H64" s="251"/>
      <c r="I64" s="252"/>
      <c r="J64" s="19"/>
      <c r="K64" s="28" t="s">
        <v>188</v>
      </c>
      <c r="L64" s="250" t="s">
        <v>161</v>
      </c>
      <c r="M64" s="251"/>
      <c r="N64" s="251"/>
      <c r="O64" s="252"/>
      <c r="P64" s="19"/>
      <c r="Q64" s="19"/>
      <c r="R64" s="19"/>
      <c r="S64" s="19"/>
      <c r="T64" s="19"/>
      <c r="U64" s="50" t="s">
        <v>42</v>
      </c>
      <c r="V64" s="240" t="s">
        <v>189</v>
      </c>
      <c r="W64" s="240"/>
      <c r="X64" s="240"/>
      <c r="Y64" s="240" t="s">
        <v>190</v>
      </c>
      <c r="Z64" s="240"/>
      <c r="AA64" s="240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</row>
    <row r="65" spans="3:60">
      <c r="C65" s="19"/>
      <c r="D65" s="19"/>
      <c r="E65" s="35" t="s">
        <v>191</v>
      </c>
      <c r="F65" s="250" t="s">
        <v>192</v>
      </c>
      <c r="G65" s="251"/>
      <c r="H65" s="251"/>
      <c r="I65" s="252"/>
      <c r="J65" s="19"/>
      <c r="K65" s="28" t="s">
        <v>193</v>
      </c>
      <c r="L65" s="250" t="s">
        <v>161</v>
      </c>
      <c r="M65" s="251"/>
      <c r="N65" s="251"/>
      <c r="O65" s="252"/>
      <c r="P65" s="19"/>
      <c r="Q65" s="19"/>
      <c r="R65" s="19"/>
      <c r="S65" s="19"/>
      <c r="T65" s="19"/>
      <c r="U65" s="51" t="s">
        <v>194</v>
      </c>
      <c r="V65" s="240" t="s">
        <v>195</v>
      </c>
      <c r="W65" s="240"/>
      <c r="X65" s="240"/>
      <c r="Y65" s="240" t="s">
        <v>196</v>
      </c>
      <c r="Z65" s="240"/>
      <c r="AA65" s="240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</row>
    <row r="66" spans="3:60">
      <c r="C66" s="19"/>
      <c r="D66" s="19"/>
      <c r="E66" s="36" t="s">
        <v>197</v>
      </c>
      <c r="F66" s="250" t="s">
        <v>198</v>
      </c>
      <c r="G66" s="251"/>
      <c r="H66" s="251"/>
      <c r="I66" s="252"/>
      <c r="J66" s="19"/>
      <c r="K66" s="37" t="s">
        <v>199</v>
      </c>
      <c r="L66" s="250" t="s">
        <v>161</v>
      </c>
      <c r="M66" s="251"/>
      <c r="N66" s="251"/>
      <c r="O66" s="252"/>
      <c r="P66" s="19"/>
      <c r="Q66" s="19"/>
      <c r="R66" s="19"/>
      <c r="S66" s="19"/>
      <c r="T66" s="19"/>
      <c r="U66" s="49" t="s">
        <v>200</v>
      </c>
      <c r="V66" s="240" t="s">
        <v>201</v>
      </c>
      <c r="W66" s="240"/>
      <c r="X66" s="240"/>
      <c r="Y66" s="240" t="s">
        <v>202</v>
      </c>
      <c r="Z66" s="240"/>
      <c r="AA66" s="240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</row>
    <row r="67" spans="3:60">
      <c r="C67" s="19"/>
      <c r="D67" s="19"/>
      <c r="E67" s="27" t="s">
        <v>203</v>
      </c>
      <c r="F67" s="250" t="s">
        <v>204</v>
      </c>
      <c r="G67" s="251"/>
      <c r="H67" s="251"/>
      <c r="I67" s="252"/>
      <c r="J67" s="19"/>
      <c r="K67" s="28" t="s">
        <v>205</v>
      </c>
      <c r="L67" s="250" t="s">
        <v>161</v>
      </c>
      <c r="M67" s="251"/>
      <c r="N67" s="251"/>
      <c r="O67" s="252"/>
      <c r="P67" s="19"/>
      <c r="Q67" s="19"/>
      <c r="R67" s="19"/>
      <c r="S67" s="19"/>
      <c r="T67" s="19"/>
      <c r="U67" s="63" t="s">
        <v>206</v>
      </c>
      <c r="V67" s="240" t="s">
        <v>207</v>
      </c>
      <c r="W67" s="240"/>
      <c r="X67" s="240"/>
      <c r="Y67" s="240" t="s">
        <v>208</v>
      </c>
      <c r="Z67" s="240"/>
      <c r="AA67" s="240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</row>
    <row r="68" spans="3:60">
      <c r="C68" s="19"/>
      <c r="D68" s="19"/>
      <c r="E68" s="36" t="s">
        <v>209</v>
      </c>
      <c r="F68" s="250" t="s">
        <v>210</v>
      </c>
      <c r="G68" s="251"/>
      <c r="H68" s="251"/>
      <c r="I68" s="252"/>
      <c r="J68" s="19"/>
      <c r="K68" s="38" t="s">
        <v>211</v>
      </c>
      <c r="L68" s="250" t="s">
        <v>212</v>
      </c>
      <c r="M68" s="251"/>
      <c r="N68" s="251"/>
      <c r="O68" s="252"/>
      <c r="P68" s="19"/>
      <c r="Q68" s="19"/>
      <c r="R68" s="19"/>
      <c r="S68" s="19"/>
      <c r="T68" s="19"/>
      <c r="U68" s="56" t="s">
        <v>116</v>
      </c>
      <c r="V68" s="240" t="s">
        <v>213</v>
      </c>
      <c r="W68" s="240"/>
      <c r="X68" s="240"/>
      <c r="Y68" s="240" t="s">
        <v>214</v>
      </c>
      <c r="Z68" s="240"/>
      <c r="AA68" s="240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</row>
    <row r="69" spans="3:60">
      <c r="C69" s="19"/>
      <c r="D69" s="19"/>
      <c r="U69" s="54" t="s">
        <v>215</v>
      </c>
      <c r="V69" s="240" t="s">
        <v>216</v>
      </c>
      <c r="W69" s="240"/>
      <c r="X69" s="240"/>
      <c r="Y69" s="240" t="s">
        <v>217</v>
      </c>
      <c r="Z69" s="240"/>
      <c r="AA69" s="240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</row>
    <row r="70" spans="3:60"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55" t="s">
        <v>113</v>
      </c>
      <c r="V70" s="240" t="s">
        <v>218</v>
      </c>
      <c r="W70" s="240"/>
      <c r="X70" s="240"/>
      <c r="Y70" s="240" t="s">
        <v>219</v>
      </c>
      <c r="Z70" s="240"/>
      <c r="AA70" s="240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</row>
    <row r="71" spans="3:60"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64" t="s">
        <v>220</v>
      </c>
      <c r="V71" s="240" t="s">
        <v>221</v>
      </c>
      <c r="W71" s="240"/>
      <c r="X71" s="240"/>
      <c r="Y71" s="240" t="s">
        <v>222</v>
      </c>
      <c r="Z71" s="240"/>
      <c r="AA71" s="240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</row>
    <row r="72" spans="3:60"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65" t="s">
        <v>223</v>
      </c>
      <c r="V72" s="240" t="s">
        <v>224</v>
      </c>
      <c r="W72" s="240"/>
      <c r="X72" s="240"/>
      <c r="Y72" s="240" t="s">
        <v>225</v>
      </c>
      <c r="Z72" s="240"/>
      <c r="AA72" s="240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</row>
    <row r="73" spans="3:60"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66" t="s">
        <v>226</v>
      </c>
      <c r="V73" s="240" t="s">
        <v>227</v>
      </c>
      <c r="W73" s="240"/>
      <c r="X73" s="240"/>
      <c r="Y73" s="240" t="s">
        <v>228</v>
      </c>
      <c r="Z73" s="240"/>
      <c r="AA73" s="240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</row>
    <row r="74" spans="3:60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67" t="s">
        <v>84</v>
      </c>
      <c r="V74" s="240" t="s">
        <v>229</v>
      </c>
      <c r="W74" s="240"/>
      <c r="X74" s="240"/>
      <c r="Y74" s="240" t="s">
        <v>230</v>
      </c>
      <c r="Z74" s="240"/>
      <c r="AA74" s="240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</row>
    <row r="75" spans="3:60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68" t="s">
        <v>41</v>
      </c>
      <c r="V75" s="240" t="s">
        <v>231</v>
      </c>
      <c r="W75" s="240"/>
      <c r="X75" s="240"/>
      <c r="Y75" s="240" t="s">
        <v>232</v>
      </c>
      <c r="Z75" s="240"/>
      <c r="AA75" s="240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</row>
    <row r="76" spans="3:60"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69" t="s">
        <v>233</v>
      </c>
      <c r="V76" s="240" t="s">
        <v>234</v>
      </c>
      <c r="W76" s="240"/>
      <c r="X76" s="240"/>
      <c r="Y76" s="240" t="s">
        <v>235</v>
      </c>
      <c r="Z76" s="240"/>
      <c r="AA76" s="240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</row>
    <row r="77" spans="3:60"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70" t="s">
        <v>66</v>
      </c>
      <c r="V77" s="240" t="s">
        <v>236</v>
      </c>
      <c r="W77" s="240"/>
      <c r="X77" s="240"/>
      <c r="Y77" s="240" t="s">
        <v>237</v>
      </c>
      <c r="Z77" s="240"/>
      <c r="AA77" s="240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</row>
    <row r="78" spans="3:60"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52" t="s">
        <v>23</v>
      </c>
      <c r="V78" s="240" t="s">
        <v>238</v>
      </c>
      <c r="W78" s="240"/>
      <c r="X78" s="240"/>
      <c r="Y78" s="240" t="s">
        <v>239</v>
      </c>
      <c r="Z78" s="240"/>
      <c r="AA78" s="240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</row>
    <row r="79" spans="3:60"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53" t="s">
        <v>240</v>
      </c>
      <c r="V79" s="240" t="s">
        <v>241</v>
      </c>
      <c r="W79" s="240"/>
      <c r="X79" s="240"/>
      <c r="Y79" s="240" t="s">
        <v>242</v>
      </c>
      <c r="Z79" s="240"/>
      <c r="AA79" s="240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</row>
    <row r="80" spans="3:60"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71" t="s">
        <v>243</v>
      </c>
      <c r="V80" s="240" t="s">
        <v>244</v>
      </c>
      <c r="W80" s="240"/>
      <c r="X80" s="240"/>
      <c r="Y80" s="240" t="s">
        <v>245</v>
      </c>
      <c r="Z80" s="240"/>
      <c r="AA80" s="240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</row>
    <row r="81" spans="3:60"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48" t="s">
        <v>246</v>
      </c>
      <c r="V81" s="240" t="s">
        <v>247</v>
      </c>
      <c r="W81" s="240"/>
      <c r="X81" s="240"/>
      <c r="Y81" s="240" t="s">
        <v>248</v>
      </c>
      <c r="Z81" s="240"/>
      <c r="AA81" s="240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</row>
    <row r="82" spans="3:60"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</row>
    <row r="83" spans="3:60"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</row>
    <row r="84" spans="3:60"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</row>
    <row r="85" spans="3:60"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</row>
    <row r="86" spans="3:60"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</row>
    <row r="87" spans="3:60"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</row>
    <row r="88" spans="3:60"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</row>
    <row r="89" spans="3:60"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</row>
    <row r="90" spans="3:60"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</row>
    <row r="91" spans="3:60"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</row>
    <row r="92" spans="3:60"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</row>
    <row r="93" spans="3:60"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</row>
    <row r="94" spans="3:60"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</row>
    <row r="95" spans="3:60"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</row>
    <row r="96" spans="3:60"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</row>
    <row r="97" spans="3:60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</row>
    <row r="98" spans="3:60"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</row>
    <row r="99" spans="3:60"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</row>
    <row r="100" spans="3:60"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</row>
    <row r="101" spans="3:60"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</row>
    <row r="102" spans="3:60"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</row>
    <row r="103" spans="3:60"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</row>
    <row r="104" spans="3:60"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</row>
    <row r="105" spans="3:60"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</row>
    <row r="106" spans="3:60"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</row>
    <row r="107" spans="3:60"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</row>
    <row r="108" spans="3:60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</row>
    <row r="109" spans="3:60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</row>
    <row r="110" spans="3:60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</row>
    <row r="111" spans="3:60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</row>
    <row r="112" spans="3:60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</row>
    <row r="113" spans="3:60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</row>
    <row r="114" spans="3:60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</row>
    <row r="115" spans="3:60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</row>
    <row r="116" spans="3:60"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</row>
    <row r="117" spans="3:60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</row>
    <row r="118" spans="3:60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</row>
    <row r="119" spans="3:60"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</row>
    <row r="120" spans="3:60"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</row>
    <row r="121" spans="3:60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</row>
    <row r="122" spans="3:60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</row>
    <row r="123" spans="3:60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</row>
    <row r="124" spans="3:60"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</row>
    <row r="125" spans="3:60"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</row>
    <row r="126" spans="3:60"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</row>
    <row r="127" spans="3:60"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</row>
    <row r="128" spans="3:60"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</row>
    <row r="129" spans="3:60"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</row>
    <row r="130" spans="3:60"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</row>
    <row r="131" spans="3:60"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</row>
    <row r="132" spans="3:60"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</row>
    <row r="133" spans="3:60"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</row>
    <row r="134" spans="3:60"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</row>
    <row r="135" spans="3:60"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</row>
    <row r="136" spans="3:60"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</row>
    <row r="137" spans="3:60"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</row>
    <row r="138" spans="3:60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</row>
    <row r="139" spans="3:60"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</row>
    <row r="140" spans="3:60"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</row>
    <row r="141" spans="3:60"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</row>
    <row r="142" spans="3:60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</row>
    <row r="143" spans="3:60"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</row>
    <row r="144" spans="3:60"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</row>
    <row r="145" spans="3:60"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</row>
    <row r="146" spans="3:60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</row>
    <row r="147" spans="3:60"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</row>
    <row r="148" spans="3:60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</row>
    <row r="149" spans="3:60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</row>
    <row r="150" spans="3:60"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</row>
    <row r="151" spans="3:60"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</row>
    <row r="152" spans="3:60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</row>
    <row r="153" spans="3:60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</row>
    <row r="154" spans="3:60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</row>
    <row r="155" spans="3:60"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</row>
    <row r="156" spans="3:60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</row>
    <row r="157" spans="3:60"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</row>
    <row r="158" spans="3:60"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</row>
    <row r="159" spans="3:60"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</row>
    <row r="160" spans="3:60"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</row>
    <row r="161" spans="3:60"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</row>
    <row r="162" spans="3:60"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</row>
    <row r="163" spans="3:60"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</row>
    <row r="164" spans="3:60"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</row>
    <row r="165" spans="3:60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</row>
    <row r="166" spans="3:60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</row>
    <row r="167" spans="3:60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</row>
    <row r="168" spans="3:60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</row>
    <row r="169" spans="3:60"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</row>
    <row r="170" spans="3:60"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</row>
    <row r="171" spans="3:60"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</row>
    <row r="172" spans="3:60"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</row>
    <row r="173" spans="3:60"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</row>
    <row r="174" spans="3:60"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</row>
    <row r="175" spans="3:60"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</row>
    <row r="176" spans="3:60"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</row>
    <row r="177" spans="3:60"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</row>
    <row r="178" spans="3:60"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</row>
    <row r="179" spans="3:60"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</row>
    <row r="180" spans="3:60"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</row>
    <row r="181" spans="3:60"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</row>
    <row r="182" spans="3:60"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</row>
    <row r="183" spans="3:60"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</row>
    <row r="184" spans="3:60"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</row>
    <row r="185" spans="3:60"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</row>
    <row r="186" spans="3:60"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</row>
    <row r="187" spans="3:60"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</row>
    <row r="188" spans="3:60"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</row>
    <row r="189" spans="3:60"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</row>
    <row r="190" spans="3:60"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</row>
    <row r="191" spans="3:60"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</row>
    <row r="192" spans="3:60"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</row>
    <row r="193" spans="3:60"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</row>
    <row r="194" spans="3:60"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</row>
    <row r="195" spans="3:60"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</row>
    <row r="196" spans="3:60"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</row>
    <row r="197" spans="3:60"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</row>
    <row r="198" spans="3:60"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</row>
    <row r="199" spans="3:60"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</row>
    <row r="200" spans="3:60"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</row>
    <row r="201" spans="3:60"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</row>
    <row r="202" spans="3:60"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</row>
    <row r="203" spans="3:60"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</row>
    <row r="204" spans="3:60"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</row>
    <row r="205" spans="3:60"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</row>
    <row r="206" spans="3:60"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</row>
    <row r="207" spans="3:60"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</row>
    <row r="208" spans="3:60"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</row>
    <row r="209" spans="3:60"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</row>
    <row r="210" spans="3:60"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</row>
    <row r="211" spans="3:60"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</row>
    <row r="212" spans="3:60"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</row>
    <row r="213" spans="3:60"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</row>
    <row r="214" spans="3:60"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</row>
    <row r="215" spans="3:60"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</row>
    <row r="216" spans="3:60"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</row>
    <row r="217" spans="3:60"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</row>
    <row r="218" spans="3:60"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</row>
    <row r="219" spans="3:60"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</row>
    <row r="220" spans="3:60"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</row>
    <row r="221" spans="3:60"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</row>
    <row r="222" spans="3:60"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</row>
    <row r="223" spans="3:60"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</row>
    <row r="224" spans="3:60"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</row>
    <row r="225" spans="3:60"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</row>
    <row r="226" spans="3:60"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</row>
    <row r="227" spans="3:60"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</row>
    <row r="228" spans="3:60"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</row>
    <row r="229" spans="3:60"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</row>
    <row r="230" spans="3:60"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</row>
    <row r="231" spans="3:60"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</row>
    <row r="232" spans="3:60"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</row>
    <row r="233" spans="3:60"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</row>
    <row r="234" spans="3:60"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</row>
    <row r="235" spans="3:60"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</row>
    <row r="236" spans="3:60"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</row>
    <row r="237" spans="3:60"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</row>
    <row r="238" spans="3:60"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</row>
    <row r="239" spans="3:60"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</row>
    <row r="240" spans="3:60"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</row>
    <row r="241" spans="3:60"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</row>
    <row r="242" spans="3:60"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</row>
    <row r="243" spans="3:60"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</row>
    <row r="244" spans="3:60"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</row>
    <row r="245" spans="3:60"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</row>
    <row r="246" spans="3:60"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</row>
    <row r="247" spans="3:60"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</row>
    <row r="248" spans="3:60"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</row>
    <row r="249" spans="3:60"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</row>
    <row r="250" spans="3:60"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</row>
    <row r="251" spans="3:60"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</row>
    <row r="252" spans="3:60"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</row>
    <row r="253" spans="3:60"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</row>
    <row r="254" spans="3:60"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</row>
    <row r="255" spans="3:60"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</row>
    <row r="256" spans="3:60"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</row>
    <row r="257" spans="3:60"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</row>
    <row r="258" spans="3:60"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</row>
    <row r="259" spans="3:60"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</row>
    <row r="260" spans="3:60"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</row>
    <row r="261" spans="3:60"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</row>
    <row r="262" spans="3:60"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</row>
    <row r="263" spans="3:60"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</row>
    <row r="264" spans="3:60"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</row>
    <row r="265" spans="3:60"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</row>
    <row r="266" spans="3:60"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</row>
    <row r="267" spans="3:60"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</row>
    <row r="268" spans="3:60"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</row>
    <row r="269" spans="3:60"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</row>
    <row r="270" spans="3:60"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</row>
    <row r="271" spans="3:60"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</row>
    <row r="272" spans="3:60"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</row>
    <row r="273" spans="3:60"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</row>
    <row r="274" spans="3:60"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</row>
    <row r="275" spans="3:60"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</row>
    <row r="276" spans="3:60"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</row>
    <row r="277" spans="3:60"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</row>
    <row r="278" spans="3:60"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</row>
    <row r="279" spans="3:60"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</row>
    <row r="280" spans="3:60"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</row>
    <row r="281" spans="3:60"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</row>
    <row r="282" spans="3:60"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</row>
    <row r="283" spans="3:60"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</row>
    <row r="284" spans="3:60"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</row>
    <row r="285" spans="3:60"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</row>
    <row r="286" spans="3:60"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</row>
    <row r="287" spans="3:60"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</row>
    <row r="288" spans="3:60"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</row>
    <row r="289" spans="3:60"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</row>
    <row r="290" spans="3:60"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</row>
    <row r="291" spans="3:60"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</row>
    <row r="292" spans="3:60"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</row>
    <row r="293" spans="3:60"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</row>
    <row r="294" spans="3:60"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</row>
    <row r="295" spans="3:60"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</row>
    <row r="296" spans="3:60"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</row>
    <row r="297" spans="3:60"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</row>
    <row r="298" spans="3:60"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</row>
    <row r="299" spans="3:60"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</row>
    <row r="300" spans="3:60"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</row>
    <row r="301" spans="3:60"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</row>
    <row r="302" spans="3:60"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</row>
    <row r="303" spans="3:60"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</row>
    <row r="304" spans="3:60"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</row>
    <row r="305" spans="3:60"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</row>
    <row r="306" spans="3:60"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</row>
    <row r="307" spans="3:60"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</row>
    <row r="308" spans="3:60"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</row>
    <row r="309" spans="3:60"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</row>
    <row r="310" spans="3:60"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</row>
    <row r="311" spans="3:60"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</row>
    <row r="312" spans="3:60"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</row>
    <row r="313" spans="3:60"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</row>
    <row r="314" spans="3:60"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</row>
    <row r="315" spans="3:60"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</row>
    <row r="316" spans="3:60"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</row>
    <row r="317" spans="3:60"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</row>
    <row r="318" spans="3:60"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</row>
    <row r="319" spans="3:60"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</row>
    <row r="320" spans="3:60"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</row>
    <row r="321" spans="3:60"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</row>
    <row r="322" spans="3:60"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</row>
    <row r="323" spans="3:60"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</row>
    <row r="324" spans="3:60"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</row>
    <row r="325" spans="3:60"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</row>
    <row r="326" spans="3:60"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</row>
    <row r="327" spans="3:60"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</row>
  </sheetData>
  <mergeCells count="108">
    <mergeCell ref="V80:X80"/>
    <mergeCell ref="Y80:AA80"/>
    <mergeCell ref="V76:X76"/>
    <mergeCell ref="Y76:AA76"/>
    <mergeCell ref="V77:X77"/>
    <mergeCell ref="Y77:AA77"/>
    <mergeCell ref="V78:X78"/>
    <mergeCell ref="Y78:AA78"/>
    <mergeCell ref="F61:I61"/>
    <mergeCell ref="L61:O61"/>
    <mergeCell ref="F62:I62"/>
    <mergeCell ref="L62:O62"/>
    <mergeCell ref="F63:I63"/>
    <mergeCell ref="L63:O63"/>
    <mergeCell ref="F67:I67"/>
    <mergeCell ref="L67:O67"/>
    <mergeCell ref="Y62:AA62"/>
    <mergeCell ref="V62:X62"/>
    <mergeCell ref="V66:X66"/>
    <mergeCell ref="Y61:AA61"/>
    <mergeCell ref="V61:X61"/>
    <mergeCell ref="V63:X63"/>
    <mergeCell ref="Y63:AA63"/>
    <mergeCell ref="V64:X64"/>
    <mergeCell ref="R59:S59"/>
    <mergeCell ref="V57:X57"/>
    <mergeCell ref="Y57:AA57"/>
    <mergeCell ref="V58:X58"/>
    <mergeCell ref="Y58:AA58"/>
    <mergeCell ref="V59:X59"/>
    <mergeCell ref="Y59:AA59"/>
    <mergeCell ref="V79:X79"/>
    <mergeCell ref="Y79:AA79"/>
    <mergeCell ref="Y64:AA64"/>
    <mergeCell ref="V65:X65"/>
    <mergeCell ref="Y65:AA65"/>
    <mergeCell ref="Y74:AA74"/>
    <mergeCell ref="V75:X75"/>
    <mergeCell ref="Y75:AA75"/>
    <mergeCell ref="V70:X70"/>
    <mergeCell ref="Y70:AA70"/>
    <mergeCell ref="V71:X71"/>
    <mergeCell ref="Y71:AA71"/>
    <mergeCell ref="Y66:AA66"/>
    <mergeCell ref="V67:X67"/>
    <mergeCell ref="Y67:AA67"/>
    <mergeCell ref="V72:X72"/>
    <mergeCell ref="Y72:AA72"/>
    <mergeCell ref="V56:X56"/>
    <mergeCell ref="Y56:AA56"/>
    <mergeCell ref="V60:X60"/>
    <mergeCell ref="AK2:AM3"/>
    <mergeCell ref="B2:B4"/>
    <mergeCell ref="C2:D2"/>
    <mergeCell ref="E2:AI2"/>
    <mergeCell ref="C3:D4"/>
    <mergeCell ref="Y60:AA60"/>
    <mergeCell ref="F54:I54"/>
    <mergeCell ref="L54:O54"/>
    <mergeCell ref="Q54:S54"/>
    <mergeCell ref="V54:X54"/>
    <mergeCell ref="Y54:AA54"/>
    <mergeCell ref="V55:X55"/>
    <mergeCell ref="B49:B50"/>
    <mergeCell ref="B25:B35"/>
    <mergeCell ref="C49:D49"/>
    <mergeCell ref="C50:D50"/>
    <mergeCell ref="C51:D51"/>
    <mergeCell ref="F59:I59"/>
    <mergeCell ref="L59:O59"/>
    <mergeCell ref="F60:I60"/>
    <mergeCell ref="L60:O60"/>
    <mergeCell ref="F57:I57"/>
    <mergeCell ref="L57:O57"/>
    <mergeCell ref="F58:I58"/>
    <mergeCell ref="L58:O58"/>
    <mergeCell ref="F55:I55"/>
    <mergeCell ref="L55:O55"/>
    <mergeCell ref="F56:I56"/>
    <mergeCell ref="L56:O56"/>
    <mergeCell ref="R55:S55"/>
    <mergeCell ref="R56:S56"/>
    <mergeCell ref="R57:S57"/>
    <mergeCell ref="R58:S58"/>
    <mergeCell ref="B5:B12"/>
    <mergeCell ref="B13:B24"/>
    <mergeCell ref="B36:B39"/>
    <mergeCell ref="B40:B47"/>
    <mergeCell ref="AO2:AQ3"/>
    <mergeCell ref="AS2:AS4"/>
    <mergeCell ref="V81:X81"/>
    <mergeCell ref="Y81:AA81"/>
    <mergeCell ref="F68:I68"/>
    <mergeCell ref="L68:O68"/>
    <mergeCell ref="F64:I64"/>
    <mergeCell ref="L64:O64"/>
    <mergeCell ref="F65:I65"/>
    <mergeCell ref="L65:O65"/>
    <mergeCell ref="F66:I66"/>
    <mergeCell ref="L66:O66"/>
    <mergeCell ref="V69:X69"/>
    <mergeCell ref="Y69:AA69"/>
    <mergeCell ref="V68:X68"/>
    <mergeCell ref="Y68:AA68"/>
    <mergeCell ref="V73:X73"/>
    <mergeCell ref="Y73:AA73"/>
    <mergeCell ref="V74:X74"/>
    <mergeCell ref="Y55:AA55"/>
  </mergeCells>
  <conditionalFormatting sqref="AM5:AM47">
    <cfRule type="cellIs" dxfId="29" priority="2" operator="greaterThan">
      <formula>1</formula>
    </cfRule>
    <cfRule type="cellIs" dxfId="28" priority="3" operator="equal">
      <formula>1</formula>
    </cfRule>
    <cfRule type="cellIs" dxfId="27" priority="4" operator="greaterThan">
      <formula>0</formula>
    </cfRule>
  </conditionalFormatting>
  <conditionalFormatting sqref="AQ5:AQ47">
    <cfRule type="cellIs" dxfId="26" priority="1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" operator="equal" id="{26DE4685-C0AA-44D5-B082-12842021DC19}">
            <xm:f>Sheet1!$B$3</xm:f>
            <x14:dxf>
              <fill>
                <patternFill>
                  <bgColor theme="6" tint="0.79998168889431442"/>
                </patternFill>
              </fill>
            </x14:dxf>
          </x14:cfRule>
          <x14:cfRule type="cellIs" priority="7" operator="equal" id="{787AAF00-ED30-47D4-A34D-6595CE90E94C}">
            <xm:f>Sheet1!$B$2</xm:f>
            <x14:dxf>
              <fill>
                <patternFill>
                  <bgColor rgb="FFFFFF99"/>
                </patternFill>
              </fill>
            </x14:dxf>
          </x14:cfRule>
          <xm:sqref>B2:B4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51786F2-1104-428B-9A90-0CD797E8683C}">
          <x14:formula1>
            <xm:f>Sheet1!$B$2:$B$3</xm:f>
          </x14:formula1>
          <xm:sqref>B2:B4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0B21-2C3D-4945-8854-18580F992E77}">
  <dimension ref="B2:BH328"/>
  <sheetViews>
    <sheetView showGridLines="0" zoomScaleNormal="100" workbookViewId="0">
      <pane xSplit="4" ySplit="4" topLeftCell="O5" activePane="bottomRight" state="frozen"/>
      <selection pane="bottomRight" activeCell="A17" sqref="A17:XFD17"/>
      <selection pane="bottomLeft"/>
      <selection pane="topRight"/>
    </sheetView>
  </sheetViews>
  <sheetFormatPr defaultRowHeight="15"/>
  <cols>
    <col min="1" max="2" width="9.140625" style="18"/>
    <col min="3" max="3" width="20.7109375" style="18" customWidth="1"/>
    <col min="4" max="4" width="30.28515625" style="18" bestFit="1" customWidth="1"/>
    <col min="5" max="34" width="6" style="18" customWidth="1"/>
    <col min="35" max="39" width="9.140625" style="18"/>
    <col min="40" max="40" width="10.7109375" style="18" customWidth="1"/>
    <col min="41" max="43" width="9.140625" style="18"/>
    <col min="44" max="44" width="9.85546875" style="18" customWidth="1"/>
    <col min="45" max="16384" width="9.140625" style="18"/>
  </cols>
  <sheetData>
    <row r="2" spans="2:59" ht="15.75" customHeight="1">
      <c r="B2" s="270" t="s">
        <v>0</v>
      </c>
      <c r="C2" s="267" t="s">
        <v>2</v>
      </c>
      <c r="D2" s="267"/>
      <c r="E2" s="254" t="s">
        <v>3</v>
      </c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5"/>
      <c r="AJ2" s="241" t="s">
        <v>4</v>
      </c>
      <c r="AK2" s="242"/>
      <c r="AL2" s="243"/>
      <c r="AN2" s="241" t="s">
        <v>5</v>
      </c>
      <c r="AO2" s="242"/>
      <c r="AP2" s="243"/>
      <c r="AR2" s="247" t="s">
        <v>6</v>
      </c>
    </row>
    <row r="3" spans="2:59" ht="15.75" customHeight="1">
      <c r="B3" s="271"/>
      <c r="C3" s="268" t="s">
        <v>259</v>
      </c>
      <c r="D3" s="268"/>
      <c r="E3" s="1" t="s">
        <v>13</v>
      </c>
      <c r="F3" s="1" t="s">
        <v>14</v>
      </c>
      <c r="G3" s="1" t="s">
        <v>8</v>
      </c>
      <c r="H3" s="1" t="s">
        <v>9</v>
      </c>
      <c r="I3" s="15" t="s">
        <v>10</v>
      </c>
      <c r="J3" s="2" t="s">
        <v>11</v>
      </c>
      <c r="K3" s="1" t="s">
        <v>12</v>
      </c>
      <c r="L3" s="1" t="s">
        <v>13</v>
      </c>
      <c r="M3" s="1" t="s">
        <v>14</v>
      </c>
      <c r="N3" s="1" t="s">
        <v>8</v>
      </c>
      <c r="O3" s="12" t="s">
        <v>9</v>
      </c>
      <c r="P3" s="2" t="s">
        <v>10</v>
      </c>
      <c r="Q3" s="2" t="s">
        <v>11</v>
      </c>
      <c r="R3" s="1" t="s">
        <v>12</v>
      </c>
      <c r="S3" s="1" t="s">
        <v>13</v>
      </c>
      <c r="T3" s="1" t="s">
        <v>14</v>
      </c>
      <c r="U3" s="1" t="s">
        <v>8</v>
      </c>
      <c r="V3" s="12" t="s">
        <v>9</v>
      </c>
      <c r="W3" s="2" t="s">
        <v>10</v>
      </c>
      <c r="X3" s="2" t="s">
        <v>11</v>
      </c>
      <c r="Y3" s="1" t="s">
        <v>12</v>
      </c>
      <c r="Z3" s="1" t="s">
        <v>13</v>
      </c>
      <c r="AA3" s="1" t="s">
        <v>14</v>
      </c>
      <c r="AB3" s="1" t="s">
        <v>8</v>
      </c>
      <c r="AC3" s="12" t="s">
        <v>9</v>
      </c>
      <c r="AD3" s="2" t="s">
        <v>10</v>
      </c>
      <c r="AE3" s="2" t="s">
        <v>11</v>
      </c>
      <c r="AF3" s="1" t="s">
        <v>12</v>
      </c>
      <c r="AG3" s="1" t="s">
        <v>13</v>
      </c>
      <c r="AH3" s="6" t="s">
        <v>14</v>
      </c>
      <c r="AJ3" s="244"/>
      <c r="AK3" s="245"/>
      <c r="AL3" s="246"/>
      <c r="AN3" s="244"/>
      <c r="AO3" s="245"/>
      <c r="AP3" s="246"/>
      <c r="AR3" s="248"/>
    </row>
    <row r="4" spans="2:59" ht="15.75">
      <c r="B4" s="291"/>
      <c r="C4" s="292"/>
      <c r="D4" s="292"/>
      <c r="E4" s="4">
        <v>1</v>
      </c>
      <c r="F4" s="4">
        <v>2</v>
      </c>
      <c r="G4" s="4">
        <v>3</v>
      </c>
      <c r="H4" s="4">
        <v>4</v>
      </c>
      <c r="I4" s="16">
        <v>5</v>
      </c>
      <c r="J4" s="16">
        <v>6</v>
      </c>
      <c r="K4" s="4">
        <v>7</v>
      </c>
      <c r="L4" s="4">
        <v>8</v>
      </c>
      <c r="M4" s="4">
        <v>9</v>
      </c>
      <c r="N4" s="4">
        <v>10</v>
      </c>
      <c r="O4" s="4">
        <v>11</v>
      </c>
      <c r="P4" s="16">
        <v>12</v>
      </c>
      <c r="Q4" s="16">
        <v>13</v>
      </c>
      <c r="R4" s="4">
        <v>14</v>
      </c>
      <c r="S4" s="4">
        <v>15</v>
      </c>
      <c r="T4" s="4">
        <v>16</v>
      </c>
      <c r="U4" s="4">
        <v>17</v>
      </c>
      <c r="V4" s="4">
        <v>18</v>
      </c>
      <c r="W4" s="16">
        <v>19</v>
      </c>
      <c r="X4" s="16">
        <v>20</v>
      </c>
      <c r="Y4" s="4">
        <v>21</v>
      </c>
      <c r="Z4" s="4">
        <v>22</v>
      </c>
      <c r="AA4" s="4">
        <v>23</v>
      </c>
      <c r="AB4" s="4">
        <v>24</v>
      </c>
      <c r="AC4" s="4">
        <v>25</v>
      </c>
      <c r="AD4" s="16">
        <v>26</v>
      </c>
      <c r="AE4" s="16">
        <v>27</v>
      </c>
      <c r="AF4" s="4">
        <v>28</v>
      </c>
      <c r="AG4" s="4">
        <v>29</v>
      </c>
      <c r="AH4" s="7">
        <v>30</v>
      </c>
      <c r="AJ4" s="23">
        <v>2025</v>
      </c>
      <c r="AK4" s="24" t="s">
        <v>15</v>
      </c>
      <c r="AL4" s="23" t="s">
        <v>16</v>
      </c>
      <c r="AM4" s="25"/>
      <c r="AN4" s="23">
        <v>2026</v>
      </c>
      <c r="AO4" s="24" t="s">
        <v>15</v>
      </c>
      <c r="AP4" s="23" t="s">
        <v>16</v>
      </c>
      <c r="AR4" s="249"/>
    </row>
    <row r="5" spans="2:59" ht="15" customHeight="1">
      <c r="B5" s="288" t="s">
        <v>17</v>
      </c>
      <c r="C5" s="129" t="s">
        <v>18</v>
      </c>
      <c r="D5" s="20" t="s">
        <v>19</v>
      </c>
      <c r="E5" s="74" t="s">
        <v>23</v>
      </c>
      <c r="F5" s="74" t="s">
        <v>23</v>
      </c>
      <c r="G5" s="74" t="s">
        <v>23</v>
      </c>
      <c r="H5" s="74" t="s">
        <v>23</v>
      </c>
      <c r="I5" s="28" t="s">
        <v>22</v>
      </c>
      <c r="J5" s="28" t="s">
        <v>22</v>
      </c>
      <c r="K5" s="60" t="s">
        <v>21</v>
      </c>
      <c r="L5" s="60" t="s">
        <v>21</v>
      </c>
      <c r="M5" s="60" t="s">
        <v>21</v>
      </c>
      <c r="N5" s="60" t="s">
        <v>21</v>
      </c>
      <c r="O5" s="28" t="s">
        <v>22</v>
      </c>
      <c r="P5" s="28" t="s">
        <v>22</v>
      </c>
      <c r="Q5" s="74" t="s">
        <v>23</v>
      </c>
      <c r="R5" s="74" t="s">
        <v>23</v>
      </c>
      <c r="S5" s="74" t="s">
        <v>23</v>
      </c>
      <c r="T5" s="74" t="s">
        <v>23</v>
      </c>
      <c r="U5" s="28" t="s">
        <v>22</v>
      </c>
      <c r="V5" s="28" t="s">
        <v>22</v>
      </c>
      <c r="W5" s="60" t="s">
        <v>21</v>
      </c>
      <c r="X5" s="60" t="s">
        <v>21</v>
      </c>
      <c r="Y5" s="60" t="s">
        <v>21</v>
      </c>
      <c r="Z5" s="60" t="s">
        <v>21</v>
      </c>
      <c r="AA5" s="28" t="s">
        <v>22</v>
      </c>
      <c r="AB5" s="28" t="s">
        <v>22</v>
      </c>
      <c r="AC5" s="74" t="s">
        <v>23</v>
      </c>
      <c r="AD5" s="74" t="s">
        <v>23</v>
      </c>
      <c r="AE5" s="74" t="s">
        <v>23</v>
      </c>
      <c r="AF5" s="74" t="s">
        <v>23</v>
      </c>
      <c r="AG5" s="28" t="s">
        <v>22</v>
      </c>
      <c r="AH5" s="28" t="s">
        <v>22</v>
      </c>
      <c r="AI5" s="19"/>
      <c r="AJ5" s="20"/>
      <c r="AK5" s="21">
        <f t="shared" ref="AK5:AK47" si="0">COUNTIF(E5:AH5, "UA")</f>
        <v>0</v>
      </c>
      <c r="AL5" s="20">
        <f t="shared" ref="AL5:AL47" si="1">AJ5-AK5</f>
        <v>0</v>
      </c>
      <c r="AM5" s="19"/>
      <c r="AN5" s="20"/>
      <c r="AO5" s="21">
        <f t="shared" ref="AO5:AO47" si="2">COUNTIF(E5:AH5, "U")</f>
        <v>0</v>
      </c>
      <c r="AP5" s="20">
        <f t="shared" ref="AP5:AP47" si="3">AN5-AO5</f>
        <v>0</v>
      </c>
      <c r="AQ5" s="19"/>
      <c r="AR5" s="21">
        <f t="shared" ref="AR5:AR47" si="4">COUNTIF(E5:AH5,"P*")+COUNTIF(E5:AH5,"H*")+COUNTIF(E5:AH5,"T*")-COUNTIF(E5:AH5,"H")-COUNTIF(E5:AH5,"P")</f>
        <v>20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spans="2:59">
      <c r="B6" s="288"/>
      <c r="C6" s="130" t="s">
        <v>24</v>
      </c>
      <c r="D6" s="20" t="s">
        <v>25</v>
      </c>
      <c r="E6" s="28" t="s">
        <v>22</v>
      </c>
      <c r="F6" s="28" t="s">
        <v>22</v>
      </c>
      <c r="G6" s="60" t="s">
        <v>21</v>
      </c>
      <c r="H6" s="60" t="s">
        <v>21</v>
      </c>
      <c r="I6" s="60" t="s">
        <v>21</v>
      </c>
      <c r="J6" s="60" t="s">
        <v>21</v>
      </c>
      <c r="K6" s="28" t="s">
        <v>22</v>
      </c>
      <c r="L6" s="28" t="s">
        <v>22</v>
      </c>
      <c r="M6" s="74" t="s">
        <v>23</v>
      </c>
      <c r="N6" s="74" t="s">
        <v>23</v>
      </c>
      <c r="O6" s="74" t="s">
        <v>23</v>
      </c>
      <c r="P6" s="74" t="s">
        <v>23</v>
      </c>
      <c r="Q6" s="28" t="s">
        <v>22</v>
      </c>
      <c r="R6" s="28" t="s">
        <v>22</v>
      </c>
      <c r="S6" s="60" t="s">
        <v>21</v>
      </c>
      <c r="T6" s="60" t="s">
        <v>21</v>
      </c>
      <c r="U6" s="60" t="s">
        <v>21</v>
      </c>
      <c r="V6" s="60" t="s">
        <v>21</v>
      </c>
      <c r="W6" s="28" t="s">
        <v>22</v>
      </c>
      <c r="X6" s="28" t="s">
        <v>22</v>
      </c>
      <c r="Y6" s="74" t="s">
        <v>23</v>
      </c>
      <c r="Z6" s="74" t="s">
        <v>23</v>
      </c>
      <c r="AA6" s="74" t="s">
        <v>23</v>
      </c>
      <c r="AB6" s="74" t="s">
        <v>23</v>
      </c>
      <c r="AC6" s="28" t="s">
        <v>22</v>
      </c>
      <c r="AD6" s="28" t="s">
        <v>22</v>
      </c>
      <c r="AE6" s="60" t="s">
        <v>21</v>
      </c>
      <c r="AF6" s="60" t="s">
        <v>21</v>
      </c>
      <c r="AG6" s="60" t="s">
        <v>21</v>
      </c>
      <c r="AH6" s="60" t="s">
        <v>21</v>
      </c>
      <c r="AI6" s="19"/>
      <c r="AJ6" s="20"/>
      <c r="AK6" s="21">
        <f t="shared" si="0"/>
        <v>0</v>
      </c>
      <c r="AL6" s="20">
        <f t="shared" si="1"/>
        <v>0</v>
      </c>
      <c r="AM6" s="19"/>
      <c r="AN6" s="20"/>
      <c r="AO6" s="21">
        <f t="shared" si="2"/>
        <v>0</v>
      </c>
      <c r="AP6" s="20">
        <f t="shared" si="3"/>
        <v>0</v>
      </c>
      <c r="AQ6" s="19"/>
      <c r="AR6" s="21">
        <f t="shared" si="4"/>
        <v>20</v>
      </c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</row>
    <row r="7" spans="2:59" ht="15" customHeight="1">
      <c r="B7" s="288"/>
      <c r="C7" s="20" t="s">
        <v>27</v>
      </c>
      <c r="D7" s="20" t="s">
        <v>28</v>
      </c>
      <c r="E7" s="74" t="s">
        <v>23</v>
      </c>
      <c r="F7" s="74" t="s">
        <v>23</v>
      </c>
      <c r="G7" s="74" t="s">
        <v>23</v>
      </c>
      <c r="H7" s="28" t="s">
        <v>22</v>
      </c>
      <c r="I7" s="28" t="s">
        <v>22</v>
      </c>
      <c r="J7" s="60" t="s">
        <v>21</v>
      </c>
      <c r="K7" s="60" t="s">
        <v>21</v>
      </c>
      <c r="L7" s="60" t="s">
        <v>21</v>
      </c>
      <c r="M7" s="60" t="s">
        <v>21</v>
      </c>
      <c r="N7" s="28" t="s">
        <v>22</v>
      </c>
      <c r="O7" s="28" t="s">
        <v>22</v>
      </c>
      <c r="P7" s="74" t="s">
        <v>23</v>
      </c>
      <c r="Q7" s="74" t="s">
        <v>23</v>
      </c>
      <c r="R7" s="74" t="s">
        <v>23</v>
      </c>
      <c r="S7" s="74" t="s">
        <v>23</v>
      </c>
      <c r="T7" s="28" t="s">
        <v>22</v>
      </c>
      <c r="U7" s="28" t="s">
        <v>22</v>
      </c>
      <c r="V7" s="60" t="s">
        <v>21</v>
      </c>
      <c r="W7" s="60" t="s">
        <v>21</v>
      </c>
      <c r="X7" s="60" t="s">
        <v>21</v>
      </c>
      <c r="Y7" s="60" t="s">
        <v>21</v>
      </c>
      <c r="Z7" s="28" t="s">
        <v>22</v>
      </c>
      <c r="AA7" s="28" t="s">
        <v>22</v>
      </c>
      <c r="AB7" s="74" t="s">
        <v>23</v>
      </c>
      <c r="AC7" s="74" t="s">
        <v>23</v>
      </c>
      <c r="AD7" s="74" t="s">
        <v>23</v>
      </c>
      <c r="AE7" s="74" t="s">
        <v>23</v>
      </c>
      <c r="AF7" s="28" t="s">
        <v>22</v>
      </c>
      <c r="AG7" s="28" t="s">
        <v>22</v>
      </c>
      <c r="AH7" s="60" t="s">
        <v>21</v>
      </c>
      <c r="AI7" s="19"/>
      <c r="AJ7" s="20"/>
      <c r="AK7" s="21">
        <f t="shared" si="0"/>
        <v>0</v>
      </c>
      <c r="AL7" s="20">
        <f t="shared" si="1"/>
        <v>0</v>
      </c>
      <c r="AM7" s="19"/>
      <c r="AN7" s="26"/>
      <c r="AO7" s="21">
        <f t="shared" si="2"/>
        <v>0</v>
      </c>
      <c r="AP7" s="44">
        <f t="shared" si="3"/>
        <v>0</v>
      </c>
      <c r="AQ7" s="19"/>
      <c r="AR7" s="21">
        <f t="shared" si="4"/>
        <v>20</v>
      </c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</row>
    <row r="8" spans="2:59" ht="15" customHeight="1">
      <c r="B8" s="288"/>
      <c r="C8" s="22" t="s">
        <v>31</v>
      </c>
      <c r="D8" s="20" t="s">
        <v>32</v>
      </c>
      <c r="E8" s="28" t="s">
        <v>22</v>
      </c>
      <c r="F8" s="74" t="s">
        <v>23</v>
      </c>
      <c r="G8" s="74" t="s">
        <v>23</v>
      </c>
      <c r="H8" s="74" t="s">
        <v>23</v>
      </c>
      <c r="I8" s="74" t="s">
        <v>23</v>
      </c>
      <c r="J8" s="28" t="s">
        <v>22</v>
      </c>
      <c r="K8" s="28" t="s">
        <v>22</v>
      </c>
      <c r="L8" s="60" t="s">
        <v>21</v>
      </c>
      <c r="M8" s="60" t="s">
        <v>21</v>
      </c>
      <c r="N8" s="60" t="s">
        <v>21</v>
      </c>
      <c r="O8" s="60" t="s">
        <v>21</v>
      </c>
      <c r="P8" s="28" t="s">
        <v>22</v>
      </c>
      <c r="Q8" s="28" t="s">
        <v>22</v>
      </c>
      <c r="R8" s="74" t="s">
        <v>23</v>
      </c>
      <c r="S8" s="74" t="s">
        <v>23</v>
      </c>
      <c r="T8" s="74" t="s">
        <v>23</v>
      </c>
      <c r="U8" s="74" t="s">
        <v>23</v>
      </c>
      <c r="V8" s="28" t="s">
        <v>22</v>
      </c>
      <c r="W8" s="28" t="s">
        <v>22</v>
      </c>
      <c r="X8" s="60" t="s">
        <v>21</v>
      </c>
      <c r="Y8" s="60" t="s">
        <v>21</v>
      </c>
      <c r="Z8" s="60" t="s">
        <v>21</v>
      </c>
      <c r="AA8" s="60" t="s">
        <v>21</v>
      </c>
      <c r="AB8" s="28" t="s">
        <v>22</v>
      </c>
      <c r="AC8" s="28" t="s">
        <v>22</v>
      </c>
      <c r="AD8" s="74" t="s">
        <v>23</v>
      </c>
      <c r="AE8" s="74" t="s">
        <v>23</v>
      </c>
      <c r="AF8" s="74" t="s">
        <v>23</v>
      </c>
      <c r="AG8" s="74" t="s">
        <v>23</v>
      </c>
      <c r="AH8" s="28" t="s">
        <v>22</v>
      </c>
      <c r="AI8" s="19"/>
      <c r="AJ8" s="20"/>
      <c r="AK8" s="21">
        <f t="shared" si="0"/>
        <v>0</v>
      </c>
      <c r="AL8" s="20">
        <f t="shared" si="1"/>
        <v>0</v>
      </c>
      <c r="AM8" s="19"/>
      <c r="AN8" s="20"/>
      <c r="AO8" s="21">
        <f t="shared" si="2"/>
        <v>0</v>
      </c>
      <c r="AP8" s="20">
        <f t="shared" si="3"/>
        <v>0</v>
      </c>
      <c r="AQ8" s="19"/>
      <c r="AR8" s="21">
        <f t="shared" si="4"/>
        <v>20</v>
      </c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</row>
    <row r="9" spans="2:59" ht="15" customHeight="1">
      <c r="B9" s="288"/>
      <c r="C9" s="20" t="s">
        <v>34</v>
      </c>
      <c r="D9" s="20" t="s">
        <v>35</v>
      </c>
      <c r="E9" s="74" t="s">
        <v>23</v>
      </c>
      <c r="F9" s="28" t="s">
        <v>22</v>
      </c>
      <c r="G9" s="28" t="s">
        <v>22</v>
      </c>
      <c r="H9" s="60" t="s">
        <v>21</v>
      </c>
      <c r="I9" s="75" t="s">
        <v>26</v>
      </c>
      <c r="J9" s="60" t="s">
        <v>21</v>
      </c>
      <c r="K9" s="60" t="s">
        <v>21</v>
      </c>
      <c r="L9" s="28" t="s">
        <v>22</v>
      </c>
      <c r="M9" s="28" t="s">
        <v>22</v>
      </c>
      <c r="N9" s="74" t="s">
        <v>23</v>
      </c>
      <c r="O9" s="74" t="s">
        <v>23</v>
      </c>
      <c r="P9" s="74" t="s">
        <v>23</v>
      </c>
      <c r="Q9" s="74" t="s">
        <v>23</v>
      </c>
      <c r="R9" s="28" t="s">
        <v>22</v>
      </c>
      <c r="S9" s="28" t="s">
        <v>22</v>
      </c>
      <c r="T9" s="60" t="s">
        <v>21</v>
      </c>
      <c r="U9" s="60" t="s">
        <v>21</v>
      </c>
      <c r="V9" s="60" t="s">
        <v>21</v>
      </c>
      <c r="W9" s="60" t="s">
        <v>21</v>
      </c>
      <c r="X9" s="28" t="s">
        <v>22</v>
      </c>
      <c r="Y9" s="28" t="s">
        <v>22</v>
      </c>
      <c r="Z9" s="74" t="s">
        <v>23</v>
      </c>
      <c r="AA9" s="74" t="s">
        <v>23</v>
      </c>
      <c r="AB9" s="74" t="s">
        <v>23</v>
      </c>
      <c r="AC9" s="74" t="s">
        <v>23</v>
      </c>
      <c r="AD9" s="28" t="s">
        <v>22</v>
      </c>
      <c r="AE9" s="28" t="s">
        <v>22</v>
      </c>
      <c r="AF9" s="60" t="s">
        <v>21</v>
      </c>
      <c r="AG9" s="60" t="s">
        <v>21</v>
      </c>
      <c r="AH9" s="60" t="s">
        <v>21</v>
      </c>
      <c r="AI9" s="19"/>
      <c r="AJ9" s="20"/>
      <c r="AK9" s="21">
        <f t="shared" si="0"/>
        <v>0</v>
      </c>
      <c r="AL9" s="20">
        <f t="shared" si="1"/>
        <v>0</v>
      </c>
      <c r="AM9" s="19"/>
      <c r="AN9" s="20"/>
      <c r="AO9" s="21">
        <f t="shared" si="2"/>
        <v>0</v>
      </c>
      <c r="AP9" s="20">
        <f t="shared" si="3"/>
        <v>0</v>
      </c>
      <c r="AQ9" s="19"/>
      <c r="AR9" s="21">
        <f t="shared" si="4"/>
        <v>19</v>
      </c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</row>
    <row r="10" spans="2:59" ht="15" customHeight="1">
      <c r="B10" s="288"/>
      <c r="C10" s="22" t="s">
        <v>37</v>
      </c>
      <c r="D10" s="20" t="s">
        <v>38</v>
      </c>
      <c r="E10" s="28" t="s">
        <v>22</v>
      </c>
      <c r="F10" s="60" t="s">
        <v>21</v>
      </c>
      <c r="G10" s="60" t="s">
        <v>21</v>
      </c>
      <c r="H10" s="60" t="s">
        <v>21</v>
      </c>
      <c r="I10" s="60" t="s">
        <v>21</v>
      </c>
      <c r="J10" s="28" t="s">
        <v>22</v>
      </c>
      <c r="K10" s="28" t="s">
        <v>22</v>
      </c>
      <c r="L10" s="74" t="s">
        <v>23</v>
      </c>
      <c r="M10" s="74" t="s">
        <v>23</v>
      </c>
      <c r="N10" s="74" t="s">
        <v>23</v>
      </c>
      <c r="O10" s="74" t="s">
        <v>23</v>
      </c>
      <c r="P10" s="28" t="s">
        <v>22</v>
      </c>
      <c r="Q10" s="28" t="s">
        <v>22</v>
      </c>
      <c r="R10" s="60" t="s">
        <v>21</v>
      </c>
      <c r="S10" s="60" t="s">
        <v>21</v>
      </c>
      <c r="T10" s="60" t="s">
        <v>21</v>
      </c>
      <c r="U10" s="60" t="s">
        <v>21</v>
      </c>
      <c r="V10" s="28" t="s">
        <v>22</v>
      </c>
      <c r="W10" s="28" t="s">
        <v>22</v>
      </c>
      <c r="X10" s="74" t="s">
        <v>23</v>
      </c>
      <c r="Y10" s="74" t="s">
        <v>23</v>
      </c>
      <c r="Z10" s="74" t="s">
        <v>23</v>
      </c>
      <c r="AA10" s="74" t="s">
        <v>23</v>
      </c>
      <c r="AB10" s="28" t="s">
        <v>22</v>
      </c>
      <c r="AC10" s="28" t="s">
        <v>22</v>
      </c>
      <c r="AD10" s="60" t="s">
        <v>21</v>
      </c>
      <c r="AE10" s="60" t="s">
        <v>21</v>
      </c>
      <c r="AF10" s="60" t="s">
        <v>21</v>
      </c>
      <c r="AG10" s="60" t="s">
        <v>21</v>
      </c>
      <c r="AH10" s="28" t="s">
        <v>22</v>
      </c>
      <c r="AI10" s="19"/>
      <c r="AJ10" s="20"/>
      <c r="AK10" s="21">
        <f t="shared" si="0"/>
        <v>0</v>
      </c>
      <c r="AL10" s="20">
        <f t="shared" si="1"/>
        <v>0</v>
      </c>
      <c r="AM10" s="19"/>
      <c r="AN10" s="20"/>
      <c r="AO10" s="21">
        <f t="shared" si="2"/>
        <v>0</v>
      </c>
      <c r="AP10" s="20">
        <f t="shared" si="3"/>
        <v>0</v>
      </c>
      <c r="AQ10" s="19"/>
      <c r="AR10" s="21">
        <f t="shared" si="4"/>
        <v>20</v>
      </c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</row>
    <row r="11" spans="2:59" ht="15" customHeight="1">
      <c r="B11" s="288"/>
      <c r="C11" s="20" t="s">
        <v>39</v>
      </c>
      <c r="D11" s="20" t="s">
        <v>40</v>
      </c>
      <c r="E11" s="60" t="s">
        <v>21</v>
      </c>
      <c r="F11" s="28" t="s">
        <v>22</v>
      </c>
      <c r="G11" s="28" t="s">
        <v>22</v>
      </c>
      <c r="H11" s="74" t="s">
        <v>23</v>
      </c>
      <c r="I11" s="74" t="s">
        <v>23</v>
      </c>
      <c r="J11" s="74" t="s">
        <v>23</v>
      </c>
      <c r="K11" s="74" t="s">
        <v>23</v>
      </c>
      <c r="L11" s="28" t="s">
        <v>22</v>
      </c>
      <c r="M11" s="28" t="s">
        <v>22</v>
      </c>
      <c r="N11" s="60" t="s">
        <v>21</v>
      </c>
      <c r="O11" s="60" t="s">
        <v>21</v>
      </c>
      <c r="P11" s="60" t="s">
        <v>21</v>
      </c>
      <c r="Q11" s="60" t="s">
        <v>21</v>
      </c>
      <c r="R11" s="28" t="s">
        <v>22</v>
      </c>
      <c r="S11" s="28" t="s">
        <v>22</v>
      </c>
      <c r="T11" s="74" t="s">
        <v>23</v>
      </c>
      <c r="U11" s="74" t="s">
        <v>23</v>
      </c>
      <c r="V11" s="74" t="s">
        <v>23</v>
      </c>
      <c r="W11" s="74" t="s">
        <v>23</v>
      </c>
      <c r="X11" s="28" t="s">
        <v>22</v>
      </c>
      <c r="Y11" s="28" t="s">
        <v>22</v>
      </c>
      <c r="Z11" s="60" t="s">
        <v>21</v>
      </c>
      <c r="AA11" s="60" t="s">
        <v>21</v>
      </c>
      <c r="AB11" s="60" t="s">
        <v>21</v>
      </c>
      <c r="AC11" s="60" t="s">
        <v>21</v>
      </c>
      <c r="AD11" s="28" t="s">
        <v>22</v>
      </c>
      <c r="AE11" s="28" t="s">
        <v>22</v>
      </c>
      <c r="AF11" s="74" t="s">
        <v>23</v>
      </c>
      <c r="AG11" s="74" t="s">
        <v>23</v>
      </c>
      <c r="AH11" s="74" t="s">
        <v>23</v>
      </c>
      <c r="AI11" s="19"/>
      <c r="AJ11" s="20"/>
      <c r="AK11" s="21">
        <f t="shared" si="0"/>
        <v>0</v>
      </c>
      <c r="AL11" s="20">
        <f t="shared" si="1"/>
        <v>0</v>
      </c>
      <c r="AM11" s="19"/>
      <c r="AN11" s="20"/>
      <c r="AO11" s="21">
        <f t="shared" si="2"/>
        <v>0</v>
      </c>
      <c r="AP11" s="20">
        <f t="shared" si="3"/>
        <v>0</v>
      </c>
      <c r="AQ11" s="19"/>
      <c r="AR11" s="21">
        <f t="shared" si="4"/>
        <v>20</v>
      </c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</row>
    <row r="12" spans="2:59" ht="15" customHeight="1">
      <c r="B12" s="288"/>
      <c r="C12" s="108" t="s">
        <v>43</v>
      </c>
      <c r="D12" s="109" t="s">
        <v>44</v>
      </c>
      <c r="E12" s="111" t="s">
        <v>21</v>
      </c>
      <c r="F12" s="111" t="s">
        <v>21</v>
      </c>
      <c r="G12" s="111" t="s">
        <v>21</v>
      </c>
      <c r="H12" s="110" t="s">
        <v>22</v>
      </c>
      <c r="I12" s="110" t="s">
        <v>22</v>
      </c>
      <c r="J12" s="112" t="s">
        <v>23</v>
      </c>
      <c r="K12" s="112" t="s">
        <v>23</v>
      </c>
      <c r="L12" s="112" t="s">
        <v>23</v>
      </c>
      <c r="M12" s="112" t="s">
        <v>23</v>
      </c>
      <c r="N12" s="110" t="s">
        <v>22</v>
      </c>
      <c r="O12" s="110" t="s">
        <v>22</v>
      </c>
      <c r="P12" s="111" t="s">
        <v>21</v>
      </c>
      <c r="Q12" s="111" t="s">
        <v>21</v>
      </c>
      <c r="R12" s="111" t="s">
        <v>21</v>
      </c>
      <c r="S12" s="111" t="s">
        <v>21</v>
      </c>
      <c r="T12" s="110" t="s">
        <v>22</v>
      </c>
      <c r="U12" s="110" t="s">
        <v>22</v>
      </c>
      <c r="V12" s="112" t="s">
        <v>23</v>
      </c>
      <c r="W12" s="112" t="s">
        <v>23</v>
      </c>
      <c r="X12" s="112" t="s">
        <v>23</v>
      </c>
      <c r="Y12" s="112" t="s">
        <v>23</v>
      </c>
      <c r="Z12" s="110" t="s">
        <v>22</v>
      </c>
      <c r="AA12" s="110" t="s">
        <v>22</v>
      </c>
      <c r="AB12" s="111" t="s">
        <v>21</v>
      </c>
      <c r="AC12" s="111" t="s">
        <v>21</v>
      </c>
      <c r="AD12" s="111" t="s">
        <v>21</v>
      </c>
      <c r="AE12" s="111" t="s">
        <v>21</v>
      </c>
      <c r="AF12" s="110" t="s">
        <v>22</v>
      </c>
      <c r="AG12" s="110" t="s">
        <v>22</v>
      </c>
      <c r="AH12" s="112" t="s">
        <v>23</v>
      </c>
      <c r="AI12" s="19"/>
      <c r="AJ12" s="20"/>
      <c r="AK12" s="21">
        <f t="shared" si="0"/>
        <v>0</v>
      </c>
      <c r="AL12" s="20">
        <f t="shared" si="1"/>
        <v>0</v>
      </c>
      <c r="AM12" s="19"/>
      <c r="AN12" s="20"/>
      <c r="AO12" s="21">
        <f t="shared" si="2"/>
        <v>0</v>
      </c>
      <c r="AP12" s="20">
        <f t="shared" si="3"/>
        <v>0</v>
      </c>
      <c r="AQ12" s="19"/>
      <c r="AR12" s="21">
        <f t="shared" si="4"/>
        <v>20</v>
      </c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</row>
    <row r="13" spans="2:59">
      <c r="B13" s="280" t="s">
        <v>45</v>
      </c>
      <c r="C13" s="88" t="s">
        <v>46</v>
      </c>
      <c r="D13" s="88" t="s">
        <v>47</v>
      </c>
      <c r="E13" s="115" t="s">
        <v>29</v>
      </c>
      <c r="F13" s="103" t="s">
        <v>22</v>
      </c>
      <c r="G13" s="103" t="s">
        <v>22</v>
      </c>
      <c r="H13" s="104" t="s">
        <v>21</v>
      </c>
      <c r="I13" s="104" t="s">
        <v>21</v>
      </c>
      <c r="J13" s="104" t="s">
        <v>21</v>
      </c>
      <c r="K13" s="104" t="s">
        <v>21</v>
      </c>
      <c r="L13" s="103" t="s">
        <v>22</v>
      </c>
      <c r="M13" s="103" t="s">
        <v>22</v>
      </c>
      <c r="N13" s="104" t="s">
        <v>21</v>
      </c>
      <c r="O13" s="104" t="s">
        <v>21</v>
      </c>
      <c r="P13" s="104" t="s">
        <v>21</v>
      </c>
      <c r="Q13" s="104" t="s">
        <v>21</v>
      </c>
      <c r="R13" s="103" t="s">
        <v>22</v>
      </c>
      <c r="S13" s="103" t="s">
        <v>22</v>
      </c>
      <c r="T13" s="102" t="s">
        <v>23</v>
      </c>
      <c r="U13" s="102" t="s">
        <v>23</v>
      </c>
      <c r="V13" s="102" t="s">
        <v>23</v>
      </c>
      <c r="W13" s="102" t="s">
        <v>23</v>
      </c>
      <c r="X13" s="103" t="s">
        <v>22</v>
      </c>
      <c r="Y13" s="103" t="s">
        <v>22</v>
      </c>
      <c r="Z13" s="104" t="s">
        <v>21</v>
      </c>
      <c r="AA13" s="104" t="s">
        <v>21</v>
      </c>
      <c r="AB13" s="104" t="s">
        <v>21</v>
      </c>
      <c r="AC13" s="104" t="s">
        <v>21</v>
      </c>
      <c r="AD13" s="103" t="s">
        <v>22</v>
      </c>
      <c r="AE13" s="103" t="s">
        <v>22</v>
      </c>
      <c r="AF13" s="102" t="s">
        <v>23</v>
      </c>
      <c r="AG13" s="102" t="s">
        <v>23</v>
      </c>
      <c r="AH13" s="105" t="s">
        <v>23</v>
      </c>
      <c r="AI13" s="19"/>
      <c r="AJ13" s="20"/>
      <c r="AK13" s="21">
        <f t="shared" si="0"/>
        <v>0</v>
      </c>
      <c r="AL13" s="20">
        <f t="shared" si="1"/>
        <v>0</v>
      </c>
      <c r="AM13" s="19"/>
      <c r="AN13" s="20"/>
      <c r="AO13" s="21">
        <f t="shared" si="2"/>
        <v>0</v>
      </c>
      <c r="AP13" s="20">
        <f t="shared" si="3"/>
        <v>0</v>
      </c>
      <c r="AQ13" s="19"/>
      <c r="AR13" s="21">
        <f t="shared" si="4"/>
        <v>20</v>
      </c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</row>
    <row r="14" spans="2:59">
      <c r="B14" s="276"/>
      <c r="C14" s="22" t="s">
        <v>48</v>
      </c>
      <c r="D14" s="20" t="s">
        <v>49</v>
      </c>
      <c r="E14" s="28" t="s">
        <v>22</v>
      </c>
      <c r="F14" s="78" t="s">
        <v>29</v>
      </c>
      <c r="G14" s="78" t="s">
        <v>29</v>
      </c>
      <c r="H14" s="78" t="s">
        <v>29</v>
      </c>
      <c r="I14" s="78" t="s">
        <v>29</v>
      </c>
      <c r="J14" s="28" t="s">
        <v>22</v>
      </c>
      <c r="K14" s="28" t="s">
        <v>22</v>
      </c>
      <c r="L14" s="60" t="s">
        <v>21</v>
      </c>
      <c r="M14" s="60" t="s">
        <v>21</v>
      </c>
      <c r="N14" s="60" t="s">
        <v>21</v>
      </c>
      <c r="O14" s="60" t="s">
        <v>21</v>
      </c>
      <c r="P14" s="28" t="s">
        <v>22</v>
      </c>
      <c r="Q14" s="28" t="s">
        <v>22</v>
      </c>
      <c r="R14" s="60" t="s">
        <v>21</v>
      </c>
      <c r="S14" s="60" t="s">
        <v>21</v>
      </c>
      <c r="T14" s="60" t="s">
        <v>21</v>
      </c>
      <c r="U14" s="60" t="s">
        <v>21</v>
      </c>
      <c r="V14" s="28" t="s">
        <v>22</v>
      </c>
      <c r="W14" s="28" t="s">
        <v>22</v>
      </c>
      <c r="X14" s="74" t="s">
        <v>23</v>
      </c>
      <c r="Y14" s="74" t="s">
        <v>23</v>
      </c>
      <c r="Z14" s="74" t="s">
        <v>23</v>
      </c>
      <c r="AA14" s="74" t="s">
        <v>23</v>
      </c>
      <c r="AB14" s="28" t="s">
        <v>22</v>
      </c>
      <c r="AC14" s="28" t="s">
        <v>22</v>
      </c>
      <c r="AD14" s="60" t="s">
        <v>21</v>
      </c>
      <c r="AE14" s="60" t="s">
        <v>21</v>
      </c>
      <c r="AF14" s="60" t="s">
        <v>21</v>
      </c>
      <c r="AG14" s="60" t="s">
        <v>21</v>
      </c>
      <c r="AH14" s="91" t="s">
        <v>22</v>
      </c>
      <c r="AI14" s="19"/>
      <c r="AJ14" s="20"/>
      <c r="AK14" s="21">
        <f t="shared" si="0"/>
        <v>0</v>
      </c>
      <c r="AL14" s="20">
        <f t="shared" si="1"/>
        <v>0</v>
      </c>
      <c r="AM14" s="19"/>
      <c r="AN14" s="20"/>
      <c r="AO14" s="21">
        <f t="shared" si="2"/>
        <v>0</v>
      </c>
      <c r="AP14" s="20">
        <f t="shared" si="3"/>
        <v>0</v>
      </c>
      <c r="AQ14" s="19"/>
      <c r="AR14" s="21">
        <f t="shared" si="4"/>
        <v>20</v>
      </c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</row>
    <row r="15" spans="2:59">
      <c r="B15" s="276"/>
      <c r="C15" s="20" t="s">
        <v>50</v>
      </c>
      <c r="D15" s="20" t="s">
        <v>51</v>
      </c>
      <c r="E15" s="60" t="s">
        <v>21</v>
      </c>
      <c r="F15" s="60" t="s">
        <v>21</v>
      </c>
      <c r="G15" s="60" t="s">
        <v>21</v>
      </c>
      <c r="H15" s="28" t="s">
        <v>22</v>
      </c>
      <c r="I15" s="28" t="s">
        <v>22</v>
      </c>
      <c r="J15" s="78" t="s">
        <v>29</v>
      </c>
      <c r="K15" s="78" t="s">
        <v>29</v>
      </c>
      <c r="L15" s="78" t="s">
        <v>29</v>
      </c>
      <c r="M15" s="78" t="s">
        <v>29</v>
      </c>
      <c r="N15" s="28" t="s">
        <v>22</v>
      </c>
      <c r="O15" s="28" t="s">
        <v>22</v>
      </c>
      <c r="P15" s="60" t="s">
        <v>21</v>
      </c>
      <c r="Q15" s="60" t="s">
        <v>21</v>
      </c>
      <c r="R15" s="60" t="s">
        <v>21</v>
      </c>
      <c r="S15" s="60" t="s">
        <v>21</v>
      </c>
      <c r="T15" s="28" t="s">
        <v>22</v>
      </c>
      <c r="U15" s="28" t="s">
        <v>22</v>
      </c>
      <c r="V15" s="60" t="s">
        <v>21</v>
      </c>
      <c r="W15" s="60" t="s">
        <v>21</v>
      </c>
      <c r="X15" s="60" t="s">
        <v>21</v>
      </c>
      <c r="Y15" s="60" t="s">
        <v>21</v>
      </c>
      <c r="Z15" s="28" t="s">
        <v>22</v>
      </c>
      <c r="AA15" s="28" t="s">
        <v>22</v>
      </c>
      <c r="AB15" s="74" t="s">
        <v>23</v>
      </c>
      <c r="AC15" s="74" t="s">
        <v>23</v>
      </c>
      <c r="AD15" s="74" t="s">
        <v>23</v>
      </c>
      <c r="AE15" s="74" t="s">
        <v>23</v>
      </c>
      <c r="AF15" s="28" t="s">
        <v>22</v>
      </c>
      <c r="AG15" s="28" t="s">
        <v>22</v>
      </c>
      <c r="AH15" s="90" t="s">
        <v>21</v>
      </c>
      <c r="AI15" s="19"/>
      <c r="AJ15" s="20"/>
      <c r="AK15" s="21">
        <f t="shared" si="0"/>
        <v>0</v>
      </c>
      <c r="AL15" s="20">
        <f t="shared" si="1"/>
        <v>0</v>
      </c>
      <c r="AM15" s="19"/>
      <c r="AN15" s="20"/>
      <c r="AO15" s="21">
        <f t="shared" si="2"/>
        <v>0</v>
      </c>
      <c r="AP15" s="20">
        <f t="shared" si="3"/>
        <v>0</v>
      </c>
      <c r="AQ15" s="19"/>
      <c r="AR15" s="21">
        <f t="shared" si="4"/>
        <v>20</v>
      </c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</row>
    <row r="16" spans="2:59">
      <c r="B16" s="276"/>
      <c r="C16" s="22" t="s">
        <v>52</v>
      </c>
      <c r="D16" s="20" t="s">
        <v>53</v>
      </c>
      <c r="E16" s="60" t="s">
        <v>21</v>
      </c>
      <c r="F16" s="28" t="s">
        <v>22</v>
      </c>
      <c r="G16" s="28" t="s">
        <v>22</v>
      </c>
      <c r="H16" s="60" t="s">
        <v>21</v>
      </c>
      <c r="I16" s="60" t="s">
        <v>21</v>
      </c>
      <c r="J16" s="60" t="s">
        <v>21</v>
      </c>
      <c r="K16" s="60" t="s">
        <v>21</v>
      </c>
      <c r="L16" s="28" t="s">
        <v>22</v>
      </c>
      <c r="M16" s="28" t="s">
        <v>22</v>
      </c>
      <c r="N16" s="78" t="s">
        <v>29</v>
      </c>
      <c r="O16" s="78" t="s">
        <v>29</v>
      </c>
      <c r="P16" s="78" t="s">
        <v>29</v>
      </c>
      <c r="Q16" s="78" t="s">
        <v>29</v>
      </c>
      <c r="R16" s="28" t="s">
        <v>22</v>
      </c>
      <c r="S16" s="28" t="s">
        <v>22</v>
      </c>
      <c r="T16" s="60" t="s">
        <v>21</v>
      </c>
      <c r="U16" s="60" t="s">
        <v>21</v>
      </c>
      <c r="V16" s="60" t="s">
        <v>21</v>
      </c>
      <c r="W16" s="60" t="s">
        <v>21</v>
      </c>
      <c r="X16" s="28" t="s">
        <v>22</v>
      </c>
      <c r="Y16" s="28" t="s">
        <v>22</v>
      </c>
      <c r="Z16" s="60" t="s">
        <v>21</v>
      </c>
      <c r="AA16" s="60" t="s">
        <v>21</v>
      </c>
      <c r="AB16" s="60" t="s">
        <v>21</v>
      </c>
      <c r="AC16" s="60" t="s">
        <v>21</v>
      </c>
      <c r="AD16" s="28" t="s">
        <v>22</v>
      </c>
      <c r="AE16" s="28" t="s">
        <v>22</v>
      </c>
      <c r="AF16" s="74" t="s">
        <v>23</v>
      </c>
      <c r="AG16" s="74" t="s">
        <v>23</v>
      </c>
      <c r="AH16" s="89" t="s">
        <v>23</v>
      </c>
      <c r="AI16" s="19"/>
      <c r="AJ16" s="20"/>
      <c r="AK16" s="21">
        <f t="shared" si="0"/>
        <v>0</v>
      </c>
      <c r="AL16" s="20">
        <f t="shared" si="1"/>
        <v>0</v>
      </c>
      <c r="AM16" s="19"/>
      <c r="AN16" s="20"/>
      <c r="AO16" s="21">
        <f t="shared" si="2"/>
        <v>0</v>
      </c>
      <c r="AP16" s="20">
        <f t="shared" si="3"/>
        <v>0</v>
      </c>
      <c r="AQ16" s="19"/>
      <c r="AR16" s="21">
        <f t="shared" si="4"/>
        <v>20</v>
      </c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</row>
    <row r="17" spans="2:59" ht="15" customHeight="1">
      <c r="B17" s="276"/>
      <c r="C17" s="22" t="s">
        <v>54</v>
      </c>
      <c r="D17" s="20" t="s">
        <v>55</v>
      </c>
      <c r="E17" s="28" t="s">
        <v>22</v>
      </c>
      <c r="F17" s="60" t="s">
        <v>21</v>
      </c>
      <c r="G17" s="60" t="s">
        <v>21</v>
      </c>
      <c r="H17" s="60" t="s">
        <v>21</v>
      </c>
      <c r="I17" s="60" t="s">
        <v>21</v>
      </c>
      <c r="J17" s="28" t="s">
        <v>22</v>
      </c>
      <c r="K17" s="28" t="s">
        <v>22</v>
      </c>
      <c r="L17" s="60" t="s">
        <v>21</v>
      </c>
      <c r="M17" s="60" t="s">
        <v>21</v>
      </c>
      <c r="N17" s="60" t="s">
        <v>21</v>
      </c>
      <c r="O17" s="60" t="s">
        <v>21</v>
      </c>
      <c r="P17" s="28" t="s">
        <v>22</v>
      </c>
      <c r="Q17" s="28" t="s">
        <v>22</v>
      </c>
      <c r="R17" s="78" t="s">
        <v>29</v>
      </c>
      <c r="S17" s="78" t="s">
        <v>29</v>
      </c>
      <c r="T17" s="78" t="s">
        <v>29</v>
      </c>
      <c r="U17" s="78" t="s">
        <v>29</v>
      </c>
      <c r="V17" s="28" t="s">
        <v>22</v>
      </c>
      <c r="W17" s="28" t="s">
        <v>22</v>
      </c>
      <c r="X17" s="60" t="s">
        <v>21</v>
      </c>
      <c r="Y17" s="60" t="s">
        <v>21</v>
      </c>
      <c r="Z17" s="60" t="s">
        <v>21</v>
      </c>
      <c r="AA17" s="60" t="s">
        <v>21</v>
      </c>
      <c r="AB17" s="28" t="s">
        <v>22</v>
      </c>
      <c r="AC17" s="28" t="s">
        <v>22</v>
      </c>
      <c r="AD17" s="60" t="s">
        <v>21</v>
      </c>
      <c r="AE17" s="60" t="s">
        <v>21</v>
      </c>
      <c r="AF17" s="60" t="s">
        <v>21</v>
      </c>
      <c r="AG17" s="60" t="s">
        <v>21</v>
      </c>
      <c r="AH17" s="91" t="s">
        <v>22</v>
      </c>
      <c r="AI17" s="19"/>
      <c r="AJ17" s="20"/>
      <c r="AK17" s="21">
        <f t="shared" si="0"/>
        <v>0</v>
      </c>
      <c r="AL17" s="20">
        <f t="shared" si="1"/>
        <v>0</v>
      </c>
      <c r="AM17" s="19"/>
      <c r="AN17" s="20"/>
      <c r="AO17" s="21">
        <f t="shared" si="2"/>
        <v>0</v>
      </c>
      <c r="AP17" s="20">
        <f t="shared" si="3"/>
        <v>0</v>
      </c>
      <c r="AQ17" s="19"/>
      <c r="AR17" s="21">
        <f t="shared" si="4"/>
        <v>20</v>
      </c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</row>
    <row r="18" spans="2:59">
      <c r="B18" s="276"/>
      <c r="C18" s="22" t="s">
        <v>56</v>
      </c>
      <c r="D18" s="20" t="s">
        <v>57</v>
      </c>
      <c r="E18" s="74" t="s">
        <v>23</v>
      </c>
      <c r="F18" s="74" t="s">
        <v>23</v>
      </c>
      <c r="G18" s="74" t="s">
        <v>23</v>
      </c>
      <c r="H18" s="28" t="s">
        <v>22</v>
      </c>
      <c r="I18" s="28" t="s">
        <v>22</v>
      </c>
      <c r="J18" s="60" t="s">
        <v>21</v>
      </c>
      <c r="K18" s="60" t="s">
        <v>21</v>
      </c>
      <c r="L18" s="60" t="s">
        <v>21</v>
      </c>
      <c r="M18" s="60" t="s">
        <v>21</v>
      </c>
      <c r="N18" s="28" t="s">
        <v>22</v>
      </c>
      <c r="O18" s="28" t="s">
        <v>22</v>
      </c>
      <c r="P18" s="60" t="s">
        <v>21</v>
      </c>
      <c r="Q18" s="60" t="s">
        <v>21</v>
      </c>
      <c r="R18" s="60" t="s">
        <v>21</v>
      </c>
      <c r="S18" s="60" t="s">
        <v>21</v>
      </c>
      <c r="T18" s="28" t="s">
        <v>22</v>
      </c>
      <c r="U18" s="28" t="s">
        <v>22</v>
      </c>
      <c r="V18" s="78" t="s">
        <v>29</v>
      </c>
      <c r="W18" s="78" t="s">
        <v>29</v>
      </c>
      <c r="X18" s="78" t="s">
        <v>29</v>
      </c>
      <c r="Y18" s="78" t="s">
        <v>29</v>
      </c>
      <c r="Z18" s="28" t="s">
        <v>22</v>
      </c>
      <c r="AA18" s="28" t="s">
        <v>22</v>
      </c>
      <c r="AB18" s="60" t="s">
        <v>21</v>
      </c>
      <c r="AC18" s="60" t="s">
        <v>21</v>
      </c>
      <c r="AD18" s="60" t="s">
        <v>21</v>
      </c>
      <c r="AE18" s="60" t="s">
        <v>21</v>
      </c>
      <c r="AF18" s="28" t="s">
        <v>22</v>
      </c>
      <c r="AG18" s="28" t="s">
        <v>22</v>
      </c>
      <c r="AH18" s="90" t="s">
        <v>21</v>
      </c>
      <c r="AI18" s="19"/>
      <c r="AJ18" s="20"/>
      <c r="AK18" s="21">
        <f t="shared" si="0"/>
        <v>0</v>
      </c>
      <c r="AL18" s="20">
        <f t="shared" si="1"/>
        <v>0</v>
      </c>
      <c r="AM18" s="19"/>
      <c r="AN18" s="20"/>
      <c r="AO18" s="21">
        <f t="shared" si="2"/>
        <v>0</v>
      </c>
      <c r="AP18" s="20">
        <f t="shared" si="3"/>
        <v>0</v>
      </c>
      <c r="AQ18" s="19"/>
      <c r="AR18" s="21">
        <f t="shared" si="4"/>
        <v>20</v>
      </c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</row>
    <row r="19" spans="2:59">
      <c r="B19" s="276"/>
      <c r="C19" s="20" t="s">
        <v>58</v>
      </c>
      <c r="D19" s="20" t="s">
        <v>59</v>
      </c>
      <c r="E19" s="60" t="s">
        <v>21</v>
      </c>
      <c r="F19" s="28" t="s">
        <v>22</v>
      </c>
      <c r="G19" s="28" t="s">
        <v>22</v>
      </c>
      <c r="H19" s="74" t="s">
        <v>23</v>
      </c>
      <c r="I19" s="74" t="s">
        <v>23</v>
      </c>
      <c r="J19" s="74" t="s">
        <v>23</v>
      </c>
      <c r="K19" s="74" t="s">
        <v>23</v>
      </c>
      <c r="L19" s="28" t="s">
        <v>22</v>
      </c>
      <c r="M19" s="28" t="s">
        <v>22</v>
      </c>
      <c r="N19" s="60" t="s">
        <v>21</v>
      </c>
      <c r="O19" s="60" t="s">
        <v>21</v>
      </c>
      <c r="P19" s="60" t="s">
        <v>21</v>
      </c>
      <c r="Q19" s="60" t="s">
        <v>21</v>
      </c>
      <c r="R19" s="28" t="s">
        <v>22</v>
      </c>
      <c r="S19" s="28" t="s">
        <v>22</v>
      </c>
      <c r="T19" s="60" t="s">
        <v>21</v>
      </c>
      <c r="U19" s="60" t="s">
        <v>21</v>
      </c>
      <c r="V19" s="60" t="s">
        <v>21</v>
      </c>
      <c r="W19" s="60" t="s">
        <v>21</v>
      </c>
      <c r="X19" s="28" t="s">
        <v>22</v>
      </c>
      <c r="Y19" s="28" t="s">
        <v>22</v>
      </c>
      <c r="Z19" s="78" t="s">
        <v>29</v>
      </c>
      <c r="AA19" s="78" t="s">
        <v>29</v>
      </c>
      <c r="AB19" s="78" t="s">
        <v>29</v>
      </c>
      <c r="AC19" s="78" t="s">
        <v>29</v>
      </c>
      <c r="AD19" s="28" t="s">
        <v>22</v>
      </c>
      <c r="AE19" s="28" t="s">
        <v>22</v>
      </c>
      <c r="AF19" s="60" t="s">
        <v>21</v>
      </c>
      <c r="AG19" s="60" t="s">
        <v>21</v>
      </c>
      <c r="AH19" s="90" t="s">
        <v>21</v>
      </c>
      <c r="AI19" s="19"/>
      <c r="AJ19" s="20"/>
      <c r="AK19" s="21">
        <f t="shared" si="0"/>
        <v>0</v>
      </c>
      <c r="AL19" s="20">
        <f t="shared" si="1"/>
        <v>0</v>
      </c>
      <c r="AM19" s="19"/>
      <c r="AN19" s="26"/>
      <c r="AO19" s="21">
        <f t="shared" si="2"/>
        <v>0</v>
      </c>
      <c r="AP19" s="44">
        <f t="shared" si="3"/>
        <v>0</v>
      </c>
      <c r="AQ19" s="19"/>
      <c r="AR19" s="21">
        <f t="shared" si="4"/>
        <v>20</v>
      </c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</row>
    <row r="20" spans="2:59">
      <c r="B20" s="276"/>
      <c r="C20" s="22" t="s">
        <v>60</v>
      </c>
      <c r="D20" s="20" t="s">
        <v>61</v>
      </c>
      <c r="E20" s="28" t="s">
        <v>22</v>
      </c>
      <c r="F20" s="60" t="s">
        <v>21</v>
      </c>
      <c r="G20" s="60" t="s">
        <v>21</v>
      </c>
      <c r="H20" s="60" t="s">
        <v>21</v>
      </c>
      <c r="I20" s="60" t="s">
        <v>21</v>
      </c>
      <c r="J20" s="28" t="s">
        <v>22</v>
      </c>
      <c r="K20" s="28" t="s">
        <v>22</v>
      </c>
      <c r="L20" s="74" t="s">
        <v>23</v>
      </c>
      <c r="M20" s="74" t="s">
        <v>23</v>
      </c>
      <c r="N20" s="74" t="s">
        <v>23</v>
      </c>
      <c r="O20" s="74" t="s">
        <v>23</v>
      </c>
      <c r="P20" s="28" t="s">
        <v>22</v>
      </c>
      <c r="Q20" s="28" t="s">
        <v>22</v>
      </c>
      <c r="R20" s="74" t="s">
        <v>23</v>
      </c>
      <c r="S20" s="74" t="s">
        <v>23</v>
      </c>
      <c r="T20" s="74" t="s">
        <v>23</v>
      </c>
      <c r="U20" s="74" t="s">
        <v>23</v>
      </c>
      <c r="V20" s="28" t="s">
        <v>22</v>
      </c>
      <c r="W20" s="28" t="s">
        <v>22</v>
      </c>
      <c r="X20" s="60" t="s">
        <v>21</v>
      </c>
      <c r="Y20" s="60" t="s">
        <v>21</v>
      </c>
      <c r="Z20" s="60" t="s">
        <v>21</v>
      </c>
      <c r="AA20" s="60" t="s">
        <v>21</v>
      </c>
      <c r="AB20" s="28" t="s">
        <v>22</v>
      </c>
      <c r="AC20" s="28" t="s">
        <v>22</v>
      </c>
      <c r="AD20" s="78" t="s">
        <v>29</v>
      </c>
      <c r="AE20" s="78" t="s">
        <v>29</v>
      </c>
      <c r="AF20" s="78" t="s">
        <v>29</v>
      </c>
      <c r="AG20" s="78" t="s">
        <v>29</v>
      </c>
      <c r="AH20" s="91" t="s">
        <v>22</v>
      </c>
      <c r="AI20" s="19"/>
      <c r="AJ20" s="20"/>
      <c r="AK20" s="21">
        <f t="shared" si="0"/>
        <v>0</v>
      </c>
      <c r="AL20" s="20">
        <f t="shared" si="1"/>
        <v>0</v>
      </c>
      <c r="AM20" s="19"/>
      <c r="AN20" s="20"/>
      <c r="AO20" s="21">
        <f t="shared" si="2"/>
        <v>0</v>
      </c>
      <c r="AP20" s="20">
        <f t="shared" si="3"/>
        <v>0</v>
      </c>
      <c r="AQ20" s="19"/>
      <c r="AR20" s="21">
        <f t="shared" si="4"/>
        <v>20</v>
      </c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</row>
    <row r="21" spans="2:59">
      <c r="B21" s="276"/>
      <c r="C21" s="20" t="s">
        <v>62</v>
      </c>
      <c r="D21" s="20" t="s">
        <v>63</v>
      </c>
      <c r="E21" s="74" t="s">
        <v>23</v>
      </c>
      <c r="F21" s="74" t="s">
        <v>23</v>
      </c>
      <c r="G21" s="74" t="s">
        <v>23</v>
      </c>
      <c r="H21" s="28" t="s">
        <v>22</v>
      </c>
      <c r="I21" s="28" t="s">
        <v>22</v>
      </c>
      <c r="J21" s="60" t="s">
        <v>21</v>
      </c>
      <c r="K21" s="60" t="s">
        <v>21</v>
      </c>
      <c r="L21" s="60" t="s">
        <v>21</v>
      </c>
      <c r="M21" s="60" t="s">
        <v>21</v>
      </c>
      <c r="N21" s="28" t="s">
        <v>22</v>
      </c>
      <c r="O21" s="28" t="s">
        <v>22</v>
      </c>
      <c r="P21" s="74" t="s">
        <v>23</v>
      </c>
      <c r="Q21" s="74" t="s">
        <v>23</v>
      </c>
      <c r="R21" s="74" t="s">
        <v>23</v>
      </c>
      <c r="S21" s="74" t="s">
        <v>23</v>
      </c>
      <c r="T21" s="28" t="s">
        <v>22</v>
      </c>
      <c r="U21" s="28" t="s">
        <v>22</v>
      </c>
      <c r="V21" s="60" t="s">
        <v>21</v>
      </c>
      <c r="W21" s="60" t="s">
        <v>21</v>
      </c>
      <c r="X21" s="60" t="s">
        <v>21</v>
      </c>
      <c r="Y21" s="60" t="s">
        <v>21</v>
      </c>
      <c r="Z21" s="28" t="s">
        <v>22</v>
      </c>
      <c r="AA21" s="28" t="s">
        <v>22</v>
      </c>
      <c r="AB21" s="74" t="s">
        <v>23</v>
      </c>
      <c r="AC21" s="74" t="s">
        <v>23</v>
      </c>
      <c r="AD21" s="74" t="s">
        <v>23</v>
      </c>
      <c r="AE21" s="74" t="s">
        <v>23</v>
      </c>
      <c r="AF21" s="28" t="s">
        <v>22</v>
      </c>
      <c r="AG21" s="28" t="s">
        <v>22</v>
      </c>
      <c r="AH21" s="107" t="s">
        <v>29</v>
      </c>
      <c r="AI21" s="19"/>
      <c r="AJ21" s="20"/>
      <c r="AK21" s="21">
        <f t="shared" si="0"/>
        <v>0</v>
      </c>
      <c r="AL21" s="20">
        <f t="shared" si="1"/>
        <v>0</v>
      </c>
      <c r="AM21" s="19"/>
      <c r="AN21" s="20"/>
      <c r="AO21" s="21">
        <f t="shared" si="2"/>
        <v>0</v>
      </c>
      <c r="AP21" s="20">
        <f t="shared" si="3"/>
        <v>0</v>
      </c>
      <c r="AQ21" s="19"/>
      <c r="AR21" s="21">
        <f t="shared" si="4"/>
        <v>20</v>
      </c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</row>
    <row r="22" spans="2:59">
      <c r="B22" s="276"/>
      <c r="C22" s="86" t="s">
        <v>64</v>
      </c>
      <c r="D22" s="87" t="s">
        <v>65</v>
      </c>
      <c r="E22" s="60" t="s">
        <v>21</v>
      </c>
      <c r="F22" s="28" t="s">
        <v>22</v>
      </c>
      <c r="G22" s="28" t="s">
        <v>22</v>
      </c>
      <c r="H22" s="74" t="s">
        <v>23</v>
      </c>
      <c r="I22" s="74" t="s">
        <v>23</v>
      </c>
      <c r="J22" s="74" t="s">
        <v>23</v>
      </c>
      <c r="K22" s="74" t="s">
        <v>23</v>
      </c>
      <c r="L22" s="28" t="s">
        <v>22</v>
      </c>
      <c r="M22" s="28" t="s">
        <v>22</v>
      </c>
      <c r="N22" s="60" t="s">
        <v>21</v>
      </c>
      <c r="O22" s="60" t="s">
        <v>21</v>
      </c>
      <c r="P22" s="60" t="s">
        <v>21</v>
      </c>
      <c r="Q22" s="60" t="s">
        <v>21</v>
      </c>
      <c r="R22" s="28" t="s">
        <v>22</v>
      </c>
      <c r="S22" s="28" t="s">
        <v>22</v>
      </c>
      <c r="T22" s="74" t="s">
        <v>23</v>
      </c>
      <c r="U22" s="74" t="s">
        <v>23</v>
      </c>
      <c r="V22" s="74" t="s">
        <v>23</v>
      </c>
      <c r="W22" s="74" t="s">
        <v>23</v>
      </c>
      <c r="X22" s="28" t="s">
        <v>22</v>
      </c>
      <c r="Y22" s="28" t="s">
        <v>22</v>
      </c>
      <c r="Z22" s="60" t="s">
        <v>21</v>
      </c>
      <c r="AA22" s="60" t="s">
        <v>21</v>
      </c>
      <c r="AB22" s="60" t="s">
        <v>21</v>
      </c>
      <c r="AC22" s="60" t="s">
        <v>21</v>
      </c>
      <c r="AD22" s="28" t="s">
        <v>22</v>
      </c>
      <c r="AE22" s="28" t="s">
        <v>22</v>
      </c>
      <c r="AF22" s="74" t="s">
        <v>23</v>
      </c>
      <c r="AG22" s="74" t="s">
        <v>23</v>
      </c>
      <c r="AH22" s="89" t="s">
        <v>23</v>
      </c>
      <c r="AI22" s="19"/>
      <c r="AJ22" s="20"/>
      <c r="AK22" s="21">
        <f t="shared" si="0"/>
        <v>0</v>
      </c>
      <c r="AL22" s="20">
        <f t="shared" si="1"/>
        <v>0</v>
      </c>
      <c r="AM22" s="19"/>
      <c r="AN22" s="20"/>
      <c r="AO22" s="21">
        <f t="shared" si="2"/>
        <v>0</v>
      </c>
      <c r="AP22" s="20">
        <f t="shared" si="3"/>
        <v>0</v>
      </c>
      <c r="AQ22" s="19"/>
      <c r="AR22" s="21">
        <f t="shared" si="4"/>
        <v>20</v>
      </c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</row>
    <row r="23" spans="2:59" ht="15" customHeight="1">
      <c r="B23" s="276"/>
      <c r="C23" s="20" t="s">
        <v>68</v>
      </c>
      <c r="D23" s="20" t="s">
        <v>69</v>
      </c>
      <c r="E23" s="28" t="s">
        <v>22</v>
      </c>
      <c r="F23" s="60" t="s">
        <v>21</v>
      </c>
      <c r="G23" s="60" t="s">
        <v>21</v>
      </c>
      <c r="H23" s="60" t="s">
        <v>21</v>
      </c>
      <c r="I23" s="60" t="s">
        <v>21</v>
      </c>
      <c r="J23" s="28" t="s">
        <v>22</v>
      </c>
      <c r="K23" s="28" t="s">
        <v>22</v>
      </c>
      <c r="L23" s="74" t="s">
        <v>23</v>
      </c>
      <c r="M23" s="74" t="s">
        <v>23</v>
      </c>
      <c r="N23" s="74" t="s">
        <v>23</v>
      </c>
      <c r="O23" s="74" t="s">
        <v>23</v>
      </c>
      <c r="P23" s="28" t="s">
        <v>22</v>
      </c>
      <c r="Q23" s="28" t="s">
        <v>22</v>
      </c>
      <c r="R23" s="60" t="s">
        <v>21</v>
      </c>
      <c r="S23" s="60" t="s">
        <v>21</v>
      </c>
      <c r="T23" s="60" t="s">
        <v>21</v>
      </c>
      <c r="U23" s="60" t="s">
        <v>21</v>
      </c>
      <c r="V23" s="28" t="s">
        <v>22</v>
      </c>
      <c r="W23" s="28" t="s">
        <v>22</v>
      </c>
      <c r="X23" s="74" t="s">
        <v>23</v>
      </c>
      <c r="Y23" s="74" t="s">
        <v>23</v>
      </c>
      <c r="Z23" s="74" t="s">
        <v>23</v>
      </c>
      <c r="AA23" s="74" t="s">
        <v>23</v>
      </c>
      <c r="AB23" s="28" t="s">
        <v>22</v>
      </c>
      <c r="AC23" s="28" t="s">
        <v>22</v>
      </c>
      <c r="AD23" s="60" t="s">
        <v>21</v>
      </c>
      <c r="AE23" s="60" t="s">
        <v>21</v>
      </c>
      <c r="AF23" s="60" t="s">
        <v>21</v>
      </c>
      <c r="AG23" s="60" t="s">
        <v>21</v>
      </c>
      <c r="AH23" s="91" t="s">
        <v>22</v>
      </c>
      <c r="AI23" s="19"/>
      <c r="AJ23" s="20"/>
      <c r="AK23" s="21">
        <f t="shared" si="0"/>
        <v>0</v>
      </c>
      <c r="AL23" s="20">
        <f t="shared" si="1"/>
        <v>0</v>
      </c>
      <c r="AM23" s="19"/>
      <c r="AN23" s="20"/>
      <c r="AO23" s="21">
        <f t="shared" si="2"/>
        <v>0</v>
      </c>
      <c r="AP23" s="20">
        <f t="shared" si="3"/>
        <v>0</v>
      </c>
      <c r="AQ23" s="19"/>
      <c r="AR23" s="21">
        <f t="shared" si="4"/>
        <v>20</v>
      </c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</row>
    <row r="24" spans="2:59">
      <c r="B24" s="276"/>
      <c r="C24" s="108" t="s">
        <v>70</v>
      </c>
      <c r="D24" s="109" t="s">
        <v>71</v>
      </c>
      <c r="E24" s="112" t="s">
        <v>23</v>
      </c>
      <c r="F24" s="112" t="s">
        <v>23</v>
      </c>
      <c r="G24" s="112" t="s">
        <v>23</v>
      </c>
      <c r="H24" s="110" t="s">
        <v>22</v>
      </c>
      <c r="I24" s="110" t="s">
        <v>22</v>
      </c>
      <c r="J24" s="111" t="s">
        <v>21</v>
      </c>
      <c r="K24" s="111" t="s">
        <v>21</v>
      </c>
      <c r="L24" s="111" t="s">
        <v>21</v>
      </c>
      <c r="M24" s="111" t="s">
        <v>21</v>
      </c>
      <c r="N24" s="110" t="s">
        <v>22</v>
      </c>
      <c r="O24" s="110" t="s">
        <v>22</v>
      </c>
      <c r="P24" s="112" t="s">
        <v>23</v>
      </c>
      <c r="Q24" s="112" t="s">
        <v>23</v>
      </c>
      <c r="R24" s="112" t="s">
        <v>23</v>
      </c>
      <c r="S24" s="112" t="s">
        <v>23</v>
      </c>
      <c r="T24" s="110" t="s">
        <v>22</v>
      </c>
      <c r="U24" s="110" t="s">
        <v>22</v>
      </c>
      <c r="V24" s="111" t="s">
        <v>21</v>
      </c>
      <c r="W24" s="111" t="s">
        <v>21</v>
      </c>
      <c r="X24" s="111" t="s">
        <v>21</v>
      </c>
      <c r="Y24" s="111" t="s">
        <v>21</v>
      </c>
      <c r="Z24" s="110" t="s">
        <v>22</v>
      </c>
      <c r="AA24" s="110" t="s">
        <v>22</v>
      </c>
      <c r="AB24" s="112" t="s">
        <v>23</v>
      </c>
      <c r="AC24" s="112" t="s">
        <v>23</v>
      </c>
      <c r="AD24" s="112" t="s">
        <v>23</v>
      </c>
      <c r="AE24" s="112" t="s">
        <v>23</v>
      </c>
      <c r="AF24" s="110" t="s">
        <v>22</v>
      </c>
      <c r="AG24" s="110" t="s">
        <v>22</v>
      </c>
      <c r="AH24" s="127" t="s">
        <v>21</v>
      </c>
      <c r="AI24" s="19"/>
      <c r="AJ24" s="20"/>
      <c r="AK24" s="21">
        <f t="shared" si="0"/>
        <v>0</v>
      </c>
      <c r="AL24" s="20">
        <f t="shared" si="1"/>
        <v>0</v>
      </c>
      <c r="AM24" s="19"/>
      <c r="AN24" s="20"/>
      <c r="AO24" s="21">
        <f t="shared" si="2"/>
        <v>0</v>
      </c>
      <c r="AP24" s="20">
        <f t="shared" si="3"/>
        <v>0</v>
      </c>
      <c r="AQ24" s="19"/>
      <c r="AR24" s="21">
        <f t="shared" si="4"/>
        <v>20</v>
      </c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</row>
    <row r="25" spans="2:59" ht="15" customHeight="1">
      <c r="B25" s="280" t="s">
        <v>72</v>
      </c>
      <c r="C25" s="88" t="s">
        <v>73</v>
      </c>
      <c r="D25" s="88" t="s">
        <v>74</v>
      </c>
      <c r="E25" s="102" t="s">
        <v>23</v>
      </c>
      <c r="F25" s="103" t="s">
        <v>22</v>
      </c>
      <c r="G25" s="103" t="s">
        <v>22</v>
      </c>
      <c r="H25" s="102" t="s">
        <v>23</v>
      </c>
      <c r="I25" s="102" t="s">
        <v>23</v>
      </c>
      <c r="J25" s="102" t="s">
        <v>23</v>
      </c>
      <c r="K25" s="102" t="s">
        <v>23</v>
      </c>
      <c r="L25" s="103" t="s">
        <v>22</v>
      </c>
      <c r="M25" s="103" t="s">
        <v>22</v>
      </c>
      <c r="N25" s="104" t="s">
        <v>21</v>
      </c>
      <c r="O25" s="104" t="s">
        <v>21</v>
      </c>
      <c r="P25" s="104" t="s">
        <v>21</v>
      </c>
      <c r="Q25" s="104" t="s">
        <v>21</v>
      </c>
      <c r="R25" s="103" t="s">
        <v>22</v>
      </c>
      <c r="S25" s="103" t="s">
        <v>22</v>
      </c>
      <c r="T25" s="104" t="s">
        <v>21</v>
      </c>
      <c r="U25" s="104" t="s">
        <v>21</v>
      </c>
      <c r="V25" s="104" t="s">
        <v>21</v>
      </c>
      <c r="W25" s="104" t="s">
        <v>21</v>
      </c>
      <c r="X25" s="103" t="s">
        <v>22</v>
      </c>
      <c r="Y25" s="103" t="s">
        <v>22</v>
      </c>
      <c r="Z25" s="115" t="s">
        <v>29</v>
      </c>
      <c r="AA25" s="115" t="s">
        <v>29</v>
      </c>
      <c r="AB25" s="115" t="s">
        <v>29</v>
      </c>
      <c r="AC25" s="115" t="s">
        <v>29</v>
      </c>
      <c r="AD25" s="103" t="s">
        <v>22</v>
      </c>
      <c r="AE25" s="103" t="s">
        <v>22</v>
      </c>
      <c r="AF25" s="102" t="s">
        <v>23</v>
      </c>
      <c r="AG25" s="183" t="s">
        <v>26</v>
      </c>
      <c r="AH25" s="105" t="s">
        <v>23</v>
      </c>
      <c r="AI25" s="19"/>
      <c r="AJ25" s="20"/>
      <c r="AK25" s="21">
        <f t="shared" si="0"/>
        <v>0</v>
      </c>
      <c r="AL25" s="20">
        <f t="shared" si="1"/>
        <v>0</v>
      </c>
      <c r="AM25" s="19"/>
      <c r="AN25" s="20"/>
      <c r="AO25" s="21">
        <f t="shared" si="2"/>
        <v>0</v>
      </c>
      <c r="AP25" s="20">
        <f t="shared" si="3"/>
        <v>0</v>
      </c>
      <c r="AQ25" s="19"/>
      <c r="AR25" s="21">
        <f t="shared" si="4"/>
        <v>19</v>
      </c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</row>
    <row r="26" spans="2:59">
      <c r="B26" s="276"/>
      <c r="C26" s="22" t="s">
        <v>75</v>
      </c>
      <c r="D26" s="20" t="s">
        <v>76</v>
      </c>
      <c r="E26" s="28" t="s">
        <v>22</v>
      </c>
      <c r="F26" s="60" t="s">
        <v>21</v>
      </c>
      <c r="G26" s="60" t="s">
        <v>21</v>
      </c>
      <c r="H26" s="60" t="s">
        <v>21</v>
      </c>
      <c r="I26" s="60" t="s">
        <v>21</v>
      </c>
      <c r="J26" s="28" t="s">
        <v>22</v>
      </c>
      <c r="K26" s="28" t="s">
        <v>22</v>
      </c>
      <c r="L26" s="74" t="s">
        <v>23</v>
      </c>
      <c r="M26" s="74" t="s">
        <v>23</v>
      </c>
      <c r="N26" s="74" t="s">
        <v>23</v>
      </c>
      <c r="O26" s="74" t="s">
        <v>23</v>
      </c>
      <c r="P26" s="28" t="s">
        <v>22</v>
      </c>
      <c r="Q26" s="28" t="s">
        <v>22</v>
      </c>
      <c r="R26" s="60" t="s">
        <v>21</v>
      </c>
      <c r="S26" s="60" t="s">
        <v>21</v>
      </c>
      <c r="T26" s="60" t="s">
        <v>21</v>
      </c>
      <c r="U26" s="60" t="s">
        <v>21</v>
      </c>
      <c r="V26" s="28" t="s">
        <v>22</v>
      </c>
      <c r="W26" s="28" t="s">
        <v>22</v>
      </c>
      <c r="X26" s="60" t="s">
        <v>21</v>
      </c>
      <c r="Y26" s="60" t="s">
        <v>21</v>
      </c>
      <c r="Z26" s="60" t="s">
        <v>21</v>
      </c>
      <c r="AA26" s="60" t="s">
        <v>21</v>
      </c>
      <c r="AB26" s="28" t="s">
        <v>22</v>
      </c>
      <c r="AC26" s="28" t="s">
        <v>22</v>
      </c>
      <c r="AD26" s="78" t="s">
        <v>29</v>
      </c>
      <c r="AE26" s="78" t="s">
        <v>29</v>
      </c>
      <c r="AF26" s="78" t="s">
        <v>29</v>
      </c>
      <c r="AG26" s="78" t="s">
        <v>29</v>
      </c>
      <c r="AH26" s="91" t="s">
        <v>22</v>
      </c>
      <c r="AI26" s="19"/>
      <c r="AJ26" s="20"/>
      <c r="AK26" s="21">
        <f t="shared" si="0"/>
        <v>0</v>
      </c>
      <c r="AL26" s="20">
        <f t="shared" si="1"/>
        <v>0</v>
      </c>
      <c r="AM26" s="19"/>
      <c r="AN26" s="20"/>
      <c r="AO26" s="21">
        <f t="shared" si="2"/>
        <v>0</v>
      </c>
      <c r="AP26" s="20">
        <f t="shared" si="3"/>
        <v>0</v>
      </c>
      <c r="AQ26" s="19"/>
      <c r="AR26" s="21">
        <f t="shared" si="4"/>
        <v>20</v>
      </c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</row>
    <row r="27" spans="2:59">
      <c r="B27" s="276"/>
      <c r="C27" s="22" t="s">
        <v>77</v>
      </c>
      <c r="D27" s="20" t="s">
        <v>78</v>
      </c>
      <c r="E27" s="78" t="s">
        <v>29</v>
      </c>
      <c r="F27" s="28" t="s">
        <v>22</v>
      </c>
      <c r="G27" s="28" t="s">
        <v>22</v>
      </c>
      <c r="H27" s="74" t="s">
        <v>23</v>
      </c>
      <c r="I27" s="74" t="s">
        <v>23</v>
      </c>
      <c r="J27" s="74" t="s">
        <v>23</v>
      </c>
      <c r="K27" s="74" t="s">
        <v>23</v>
      </c>
      <c r="L27" s="28" t="s">
        <v>22</v>
      </c>
      <c r="M27" s="28" t="s">
        <v>22</v>
      </c>
      <c r="N27" s="60" t="s">
        <v>21</v>
      </c>
      <c r="O27" s="60" t="s">
        <v>21</v>
      </c>
      <c r="P27" s="60" t="s">
        <v>21</v>
      </c>
      <c r="Q27" s="60" t="s">
        <v>21</v>
      </c>
      <c r="R27" s="28" t="s">
        <v>22</v>
      </c>
      <c r="S27" s="28" t="s">
        <v>22</v>
      </c>
      <c r="T27" s="74" t="s">
        <v>23</v>
      </c>
      <c r="U27" s="74" t="s">
        <v>23</v>
      </c>
      <c r="V27" s="74" t="s">
        <v>23</v>
      </c>
      <c r="W27" s="74" t="s">
        <v>23</v>
      </c>
      <c r="X27" s="28" t="s">
        <v>22</v>
      </c>
      <c r="Y27" s="28" t="s">
        <v>22</v>
      </c>
      <c r="Z27" s="60" t="s">
        <v>21</v>
      </c>
      <c r="AA27" s="60" t="s">
        <v>21</v>
      </c>
      <c r="AB27" s="60" t="s">
        <v>21</v>
      </c>
      <c r="AC27" s="60" t="s">
        <v>21</v>
      </c>
      <c r="AD27" s="28" t="s">
        <v>22</v>
      </c>
      <c r="AE27" s="28" t="s">
        <v>22</v>
      </c>
      <c r="AF27" s="74" t="s">
        <v>23</v>
      </c>
      <c r="AG27" s="74" t="s">
        <v>23</v>
      </c>
      <c r="AH27" s="89" t="s">
        <v>23</v>
      </c>
      <c r="AI27" s="19"/>
      <c r="AJ27" s="20"/>
      <c r="AK27" s="21">
        <f t="shared" si="0"/>
        <v>0</v>
      </c>
      <c r="AL27" s="20">
        <f t="shared" si="1"/>
        <v>0</v>
      </c>
      <c r="AM27" s="19"/>
      <c r="AN27" s="20"/>
      <c r="AO27" s="21">
        <f t="shared" si="2"/>
        <v>0</v>
      </c>
      <c r="AP27" s="20">
        <f t="shared" si="3"/>
        <v>0</v>
      </c>
      <c r="AQ27" s="19"/>
      <c r="AR27" s="21">
        <f t="shared" si="4"/>
        <v>20</v>
      </c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</row>
    <row r="28" spans="2:59" ht="15" customHeight="1">
      <c r="B28" s="276"/>
      <c r="C28" s="20" t="s">
        <v>79</v>
      </c>
      <c r="D28" s="20" t="s">
        <v>80</v>
      </c>
      <c r="E28" s="28" t="s">
        <v>22</v>
      </c>
      <c r="F28" s="78" t="s">
        <v>29</v>
      </c>
      <c r="G28" s="78" t="s">
        <v>29</v>
      </c>
      <c r="H28" s="78" t="s">
        <v>29</v>
      </c>
      <c r="I28" s="78" t="s">
        <v>29</v>
      </c>
      <c r="J28" s="28" t="s">
        <v>22</v>
      </c>
      <c r="K28" s="28" t="s">
        <v>22</v>
      </c>
      <c r="L28" s="74" t="s">
        <v>23</v>
      </c>
      <c r="M28" s="74" t="s">
        <v>23</v>
      </c>
      <c r="N28" s="74" t="s">
        <v>23</v>
      </c>
      <c r="O28" s="74" t="s">
        <v>23</v>
      </c>
      <c r="P28" s="28" t="s">
        <v>22</v>
      </c>
      <c r="Q28" s="28" t="s">
        <v>22</v>
      </c>
      <c r="R28" s="60" t="s">
        <v>21</v>
      </c>
      <c r="S28" s="60" t="s">
        <v>21</v>
      </c>
      <c r="T28" s="60" t="s">
        <v>21</v>
      </c>
      <c r="U28" s="60" t="s">
        <v>21</v>
      </c>
      <c r="V28" s="28" t="s">
        <v>22</v>
      </c>
      <c r="W28" s="28" t="s">
        <v>22</v>
      </c>
      <c r="X28" s="74" t="s">
        <v>23</v>
      </c>
      <c r="Y28" s="74" t="s">
        <v>23</v>
      </c>
      <c r="Z28" s="74" t="s">
        <v>23</v>
      </c>
      <c r="AA28" s="74" t="s">
        <v>23</v>
      </c>
      <c r="AB28" s="28" t="s">
        <v>22</v>
      </c>
      <c r="AC28" s="28" t="s">
        <v>22</v>
      </c>
      <c r="AD28" s="60" t="s">
        <v>21</v>
      </c>
      <c r="AE28" s="60" t="s">
        <v>21</v>
      </c>
      <c r="AF28" s="60" t="s">
        <v>21</v>
      </c>
      <c r="AG28" s="60" t="s">
        <v>21</v>
      </c>
      <c r="AH28" s="91" t="s">
        <v>22</v>
      </c>
      <c r="AI28" s="19"/>
      <c r="AJ28" s="20"/>
      <c r="AK28" s="21">
        <f t="shared" si="0"/>
        <v>0</v>
      </c>
      <c r="AL28" s="20">
        <f t="shared" si="1"/>
        <v>0</v>
      </c>
      <c r="AM28" s="19"/>
      <c r="AN28" s="20"/>
      <c r="AO28" s="21">
        <f t="shared" si="2"/>
        <v>0</v>
      </c>
      <c r="AP28" s="20">
        <f t="shared" si="3"/>
        <v>0</v>
      </c>
      <c r="AQ28" s="19"/>
      <c r="AR28" s="21">
        <f t="shared" si="4"/>
        <v>20</v>
      </c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</row>
    <row r="29" spans="2:59">
      <c r="B29" s="276"/>
      <c r="C29" s="22" t="s">
        <v>82</v>
      </c>
      <c r="D29" s="20" t="s">
        <v>83</v>
      </c>
      <c r="E29" s="111" t="s">
        <v>21</v>
      </c>
      <c r="F29" s="111" t="s">
        <v>21</v>
      </c>
      <c r="G29" s="111" t="s">
        <v>21</v>
      </c>
      <c r="H29" s="110" t="s">
        <v>22</v>
      </c>
      <c r="I29" s="110" t="s">
        <v>22</v>
      </c>
      <c r="J29" s="116" t="s">
        <v>29</v>
      </c>
      <c r="K29" s="116" t="s">
        <v>29</v>
      </c>
      <c r="L29" s="78" t="s">
        <v>29</v>
      </c>
      <c r="M29" s="78" t="s">
        <v>29</v>
      </c>
      <c r="N29" s="28" t="s">
        <v>22</v>
      </c>
      <c r="O29" s="28" t="s">
        <v>22</v>
      </c>
      <c r="P29" s="74" t="s">
        <v>23</v>
      </c>
      <c r="Q29" s="74" t="s">
        <v>23</v>
      </c>
      <c r="R29" s="74" t="s">
        <v>23</v>
      </c>
      <c r="S29" s="74" t="s">
        <v>23</v>
      </c>
      <c r="T29" s="28" t="s">
        <v>22</v>
      </c>
      <c r="U29" s="28" t="s">
        <v>22</v>
      </c>
      <c r="V29" s="60" t="s">
        <v>21</v>
      </c>
      <c r="W29" s="60" t="s">
        <v>21</v>
      </c>
      <c r="X29" s="60" t="s">
        <v>21</v>
      </c>
      <c r="Y29" s="75" t="s">
        <v>26</v>
      </c>
      <c r="Z29" s="28" t="s">
        <v>22</v>
      </c>
      <c r="AA29" s="28" t="s">
        <v>22</v>
      </c>
      <c r="AB29" s="74" t="s">
        <v>23</v>
      </c>
      <c r="AC29" s="74" t="s">
        <v>23</v>
      </c>
      <c r="AD29" s="74" t="s">
        <v>23</v>
      </c>
      <c r="AE29" s="74" t="s">
        <v>23</v>
      </c>
      <c r="AF29" s="28" t="s">
        <v>22</v>
      </c>
      <c r="AG29" s="28" t="s">
        <v>22</v>
      </c>
      <c r="AH29" s="90" t="s">
        <v>21</v>
      </c>
      <c r="AI29" s="19"/>
      <c r="AJ29" s="20"/>
      <c r="AK29" s="21">
        <f t="shared" si="0"/>
        <v>0</v>
      </c>
      <c r="AL29" s="20">
        <f t="shared" si="1"/>
        <v>0</v>
      </c>
      <c r="AM29" s="19"/>
      <c r="AN29" s="20"/>
      <c r="AO29" s="21">
        <f t="shared" si="2"/>
        <v>0</v>
      </c>
      <c r="AP29" s="20">
        <f t="shared" si="3"/>
        <v>0</v>
      </c>
      <c r="AQ29" s="19"/>
      <c r="AR29" s="21">
        <f t="shared" si="4"/>
        <v>19</v>
      </c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</row>
    <row r="30" spans="2:59">
      <c r="B30" s="276"/>
      <c r="C30" s="20" t="s">
        <v>85</v>
      </c>
      <c r="D30" s="138" t="s">
        <v>86</v>
      </c>
      <c r="E30" s="157" t="s">
        <v>21</v>
      </c>
      <c r="F30" s="140" t="s">
        <v>22</v>
      </c>
      <c r="G30" s="140" t="s">
        <v>22</v>
      </c>
      <c r="H30" s="157" t="s">
        <v>21</v>
      </c>
      <c r="I30" s="157" t="s">
        <v>21</v>
      </c>
      <c r="J30" s="157" t="s">
        <v>21</v>
      </c>
      <c r="K30" s="157" t="s">
        <v>21</v>
      </c>
      <c r="L30" s="154" t="s">
        <v>22</v>
      </c>
      <c r="M30" s="28" t="s">
        <v>22</v>
      </c>
      <c r="N30" s="78" t="s">
        <v>29</v>
      </c>
      <c r="O30" s="78" t="s">
        <v>29</v>
      </c>
      <c r="P30" s="78" t="s">
        <v>29</v>
      </c>
      <c r="Q30" s="78" t="s">
        <v>29</v>
      </c>
      <c r="R30" s="28" t="s">
        <v>22</v>
      </c>
      <c r="S30" s="28" t="s">
        <v>22</v>
      </c>
      <c r="T30" s="74" t="s">
        <v>23</v>
      </c>
      <c r="U30" s="74" t="s">
        <v>23</v>
      </c>
      <c r="V30" s="74" t="s">
        <v>23</v>
      </c>
      <c r="W30" s="74" t="s">
        <v>23</v>
      </c>
      <c r="X30" s="28" t="s">
        <v>22</v>
      </c>
      <c r="Y30" s="28" t="s">
        <v>22</v>
      </c>
      <c r="Z30" s="60" t="s">
        <v>21</v>
      </c>
      <c r="AA30" s="60" t="s">
        <v>21</v>
      </c>
      <c r="AB30" s="60" t="s">
        <v>21</v>
      </c>
      <c r="AC30" s="60" t="s">
        <v>21</v>
      </c>
      <c r="AD30" s="28" t="s">
        <v>22</v>
      </c>
      <c r="AE30" s="28" t="s">
        <v>22</v>
      </c>
      <c r="AF30" s="74" t="s">
        <v>23</v>
      </c>
      <c r="AG30" s="74" t="s">
        <v>23</v>
      </c>
      <c r="AH30" s="89" t="s">
        <v>23</v>
      </c>
      <c r="AI30" s="19"/>
      <c r="AJ30" s="20"/>
      <c r="AK30" s="21">
        <f t="shared" si="0"/>
        <v>0</v>
      </c>
      <c r="AL30" s="20">
        <f t="shared" si="1"/>
        <v>0</v>
      </c>
      <c r="AM30" s="19"/>
      <c r="AN30" s="26"/>
      <c r="AO30" s="21">
        <f t="shared" si="2"/>
        <v>0</v>
      </c>
      <c r="AP30" s="44">
        <f t="shared" si="3"/>
        <v>0</v>
      </c>
      <c r="AQ30" s="19"/>
      <c r="AR30" s="21">
        <f t="shared" si="4"/>
        <v>20</v>
      </c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</row>
    <row r="31" spans="2:59">
      <c r="B31" s="276"/>
      <c r="C31" s="22" t="s">
        <v>87</v>
      </c>
      <c r="D31" s="138" t="s">
        <v>88</v>
      </c>
      <c r="E31" s="140" t="s">
        <v>22</v>
      </c>
      <c r="F31" s="158" t="s">
        <v>23</v>
      </c>
      <c r="G31" s="158" t="s">
        <v>23</v>
      </c>
      <c r="H31" s="158" t="s">
        <v>23</v>
      </c>
      <c r="I31" s="158" t="s">
        <v>23</v>
      </c>
      <c r="J31" s="140" t="s">
        <v>22</v>
      </c>
      <c r="K31" s="140" t="s">
        <v>22</v>
      </c>
      <c r="L31" s="174" t="s">
        <v>21</v>
      </c>
      <c r="M31" s="60" t="s">
        <v>21</v>
      </c>
      <c r="N31" s="60" t="s">
        <v>21</v>
      </c>
      <c r="O31" s="60" t="s">
        <v>21</v>
      </c>
      <c r="P31" s="28" t="s">
        <v>22</v>
      </c>
      <c r="Q31" s="28" t="s">
        <v>22</v>
      </c>
      <c r="R31" s="78" t="s">
        <v>29</v>
      </c>
      <c r="S31" s="78" t="s">
        <v>29</v>
      </c>
      <c r="T31" s="78" t="s">
        <v>29</v>
      </c>
      <c r="U31" s="78" t="s">
        <v>29</v>
      </c>
      <c r="V31" s="28" t="s">
        <v>22</v>
      </c>
      <c r="W31" s="28" t="s">
        <v>22</v>
      </c>
      <c r="X31" s="74" t="s">
        <v>23</v>
      </c>
      <c r="Y31" s="74" t="s">
        <v>23</v>
      </c>
      <c r="Z31" s="74" t="s">
        <v>23</v>
      </c>
      <c r="AA31" s="74" t="s">
        <v>23</v>
      </c>
      <c r="AB31" s="28" t="s">
        <v>22</v>
      </c>
      <c r="AC31" s="28" t="s">
        <v>22</v>
      </c>
      <c r="AD31" s="60" t="s">
        <v>21</v>
      </c>
      <c r="AE31" s="60" t="s">
        <v>21</v>
      </c>
      <c r="AF31" s="60" t="s">
        <v>21</v>
      </c>
      <c r="AG31" s="60" t="s">
        <v>21</v>
      </c>
      <c r="AH31" s="91" t="s">
        <v>22</v>
      </c>
      <c r="AI31" s="19"/>
      <c r="AJ31" s="20"/>
      <c r="AK31" s="21">
        <f t="shared" si="0"/>
        <v>0</v>
      </c>
      <c r="AL31" s="20">
        <f t="shared" si="1"/>
        <v>0</v>
      </c>
      <c r="AM31" s="19"/>
      <c r="AN31" s="20"/>
      <c r="AO31" s="21">
        <f t="shared" si="2"/>
        <v>0</v>
      </c>
      <c r="AP31" s="20">
        <f t="shared" si="3"/>
        <v>0</v>
      </c>
      <c r="AQ31" s="19"/>
      <c r="AR31" s="21">
        <f t="shared" si="4"/>
        <v>20</v>
      </c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</row>
    <row r="32" spans="2:59">
      <c r="B32" s="276"/>
      <c r="C32" s="20" t="s">
        <v>89</v>
      </c>
      <c r="D32" s="138" t="s">
        <v>90</v>
      </c>
      <c r="E32" s="158" t="s">
        <v>23</v>
      </c>
      <c r="F32" s="158" t="s">
        <v>23</v>
      </c>
      <c r="G32" s="158" t="s">
        <v>23</v>
      </c>
      <c r="H32" s="140" t="s">
        <v>22</v>
      </c>
      <c r="I32" s="140" t="s">
        <v>22</v>
      </c>
      <c r="J32" s="157" t="s">
        <v>21</v>
      </c>
      <c r="K32" s="157" t="s">
        <v>21</v>
      </c>
      <c r="L32" s="174" t="s">
        <v>21</v>
      </c>
      <c r="M32" s="60" t="s">
        <v>21</v>
      </c>
      <c r="N32" s="28" t="s">
        <v>22</v>
      </c>
      <c r="O32" s="28" t="s">
        <v>22</v>
      </c>
      <c r="P32" s="60" t="s">
        <v>21</v>
      </c>
      <c r="Q32" s="60" t="s">
        <v>21</v>
      </c>
      <c r="R32" s="60" t="s">
        <v>21</v>
      </c>
      <c r="S32" s="60" t="s">
        <v>21</v>
      </c>
      <c r="T32" s="28" t="s">
        <v>22</v>
      </c>
      <c r="U32" s="28" t="s">
        <v>22</v>
      </c>
      <c r="V32" s="78" t="s">
        <v>29</v>
      </c>
      <c r="W32" s="78" t="s">
        <v>29</v>
      </c>
      <c r="X32" s="78" t="s">
        <v>29</v>
      </c>
      <c r="Y32" s="78" t="s">
        <v>29</v>
      </c>
      <c r="Z32" s="28" t="s">
        <v>22</v>
      </c>
      <c r="AA32" s="28" t="s">
        <v>22</v>
      </c>
      <c r="AB32" s="74" t="s">
        <v>23</v>
      </c>
      <c r="AC32" s="74" t="s">
        <v>23</v>
      </c>
      <c r="AD32" s="74" t="s">
        <v>23</v>
      </c>
      <c r="AE32" s="74" t="s">
        <v>23</v>
      </c>
      <c r="AF32" s="28" t="s">
        <v>22</v>
      </c>
      <c r="AG32" s="28" t="s">
        <v>22</v>
      </c>
      <c r="AH32" s="90" t="s">
        <v>21</v>
      </c>
      <c r="AI32" s="19"/>
      <c r="AJ32" s="20"/>
      <c r="AK32" s="21">
        <f t="shared" si="0"/>
        <v>0</v>
      </c>
      <c r="AL32" s="20">
        <f t="shared" si="1"/>
        <v>0</v>
      </c>
      <c r="AM32" s="19"/>
      <c r="AN32" s="20"/>
      <c r="AO32" s="21">
        <f t="shared" si="2"/>
        <v>0</v>
      </c>
      <c r="AP32" s="20">
        <f t="shared" si="3"/>
        <v>0</v>
      </c>
      <c r="AQ32" s="19"/>
      <c r="AR32" s="21">
        <f t="shared" si="4"/>
        <v>20</v>
      </c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</row>
    <row r="33" spans="2:60">
      <c r="B33" s="276"/>
      <c r="C33" s="22" t="s">
        <v>91</v>
      </c>
      <c r="D33" s="138" t="s">
        <v>92</v>
      </c>
      <c r="E33" s="140" t="s">
        <v>22</v>
      </c>
      <c r="F33" s="140" t="s">
        <v>22</v>
      </c>
      <c r="G33" s="158" t="s">
        <v>23</v>
      </c>
      <c r="H33" s="158" t="s">
        <v>23</v>
      </c>
      <c r="I33" s="158" t="s">
        <v>23</v>
      </c>
      <c r="J33" s="158" t="s">
        <v>23</v>
      </c>
      <c r="K33" s="140" t="s">
        <v>22</v>
      </c>
      <c r="L33" s="154" t="s">
        <v>22</v>
      </c>
      <c r="M33" s="60" t="s">
        <v>21</v>
      </c>
      <c r="N33" s="60" t="s">
        <v>21</v>
      </c>
      <c r="O33" s="60" t="s">
        <v>21</v>
      </c>
      <c r="P33" s="60" t="s">
        <v>21</v>
      </c>
      <c r="Q33" s="28" t="s">
        <v>22</v>
      </c>
      <c r="R33" s="28" t="s">
        <v>22</v>
      </c>
      <c r="S33" s="74" t="s">
        <v>23</v>
      </c>
      <c r="T33" s="74" t="s">
        <v>23</v>
      </c>
      <c r="U33" s="74" t="s">
        <v>23</v>
      </c>
      <c r="V33" s="74" t="s">
        <v>23</v>
      </c>
      <c r="W33" s="28" t="s">
        <v>22</v>
      </c>
      <c r="X33" s="28" t="s">
        <v>22</v>
      </c>
      <c r="Y33" s="60" t="s">
        <v>21</v>
      </c>
      <c r="Z33" s="60" t="s">
        <v>21</v>
      </c>
      <c r="AA33" s="60" t="s">
        <v>21</v>
      </c>
      <c r="AB33" s="60" t="s">
        <v>21</v>
      </c>
      <c r="AC33" s="28" t="s">
        <v>22</v>
      </c>
      <c r="AD33" s="28" t="s">
        <v>22</v>
      </c>
      <c r="AE33" s="74" t="s">
        <v>23</v>
      </c>
      <c r="AF33" s="74" t="s">
        <v>23</v>
      </c>
      <c r="AG33" s="74" t="s">
        <v>23</v>
      </c>
      <c r="AH33" s="89" t="s">
        <v>23</v>
      </c>
      <c r="AI33" s="19"/>
      <c r="AJ33" s="20"/>
      <c r="AK33" s="21">
        <f t="shared" si="0"/>
        <v>0</v>
      </c>
      <c r="AL33" s="20">
        <f t="shared" si="1"/>
        <v>0</v>
      </c>
      <c r="AM33" s="19"/>
      <c r="AN33" s="20"/>
      <c r="AO33" s="21">
        <f t="shared" si="2"/>
        <v>0</v>
      </c>
      <c r="AP33" s="20">
        <f t="shared" si="3"/>
        <v>0</v>
      </c>
      <c r="AQ33" s="19"/>
      <c r="AR33" s="21">
        <f t="shared" si="4"/>
        <v>20</v>
      </c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</row>
    <row r="34" spans="2:60" ht="15" customHeight="1">
      <c r="B34" s="276"/>
      <c r="C34" s="20" t="s">
        <v>93</v>
      </c>
      <c r="D34" s="20" t="s">
        <v>94</v>
      </c>
      <c r="E34" s="177" t="s">
        <v>21</v>
      </c>
      <c r="F34" s="177" t="s">
        <v>21</v>
      </c>
      <c r="G34" s="177" t="s">
        <v>21</v>
      </c>
      <c r="H34" s="177" t="s">
        <v>21</v>
      </c>
      <c r="I34" s="145" t="s">
        <v>22</v>
      </c>
      <c r="J34" s="145" t="s">
        <v>22</v>
      </c>
      <c r="K34" s="176" t="s">
        <v>23</v>
      </c>
      <c r="L34" s="74" t="s">
        <v>23</v>
      </c>
      <c r="M34" s="74" t="s">
        <v>23</v>
      </c>
      <c r="N34" s="74" t="s">
        <v>23</v>
      </c>
      <c r="O34" s="28" t="s">
        <v>22</v>
      </c>
      <c r="P34" s="28" t="s">
        <v>22</v>
      </c>
      <c r="Q34" s="60" t="s">
        <v>21</v>
      </c>
      <c r="R34" s="60" t="s">
        <v>21</v>
      </c>
      <c r="S34" s="60" t="s">
        <v>21</v>
      </c>
      <c r="T34" s="60" t="s">
        <v>21</v>
      </c>
      <c r="U34" s="28" t="s">
        <v>22</v>
      </c>
      <c r="V34" s="28" t="s">
        <v>22</v>
      </c>
      <c r="W34" s="74" t="s">
        <v>23</v>
      </c>
      <c r="X34" s="74" t="s">
        <v>23</v>
      </c>
      <c r="Y34" s="74" t="s">
        <v>23</v>
      </c>
      <c r="Z34" s="74" t="s">
        <v>23</v>
      </c>
      <c r="AA34" s="28" t="s">
        <v>22</v>
      </c>
      <c r="AB34" s="28" t="s">
        <v>22</v>
      </c>
      <c r="AC34" s="60" t="s">
        <v>21</v>
      </c>
      <c r="AD34" s="60" t="s">
        <v>21</v>
      </c>
      <c r="AE34" s="60" t="s">
        <v>21</v>
      </c>
      <c r="AF34" s="60" t="s">
        <v>21</v>
      </c>
      <c r="AG34" s="28" t="s">
        <v>22</v>
      </c>
      <c r="AH34" s="91" t="s">
        <v>22</v>
      </c>
      <c r="AI34" s="19"/>
      <c r="AJ34" s="20"/>
      <c r="AK34" s="21">
        <f t="shared" si="0"/>
        <v>0</v>
      </c>
      <c r="AL34" s="20">
        <f t="shared" si="1"/>
        <v>0</v>
      </c>
      <c r="AM34" s="19"/>
      <c r="AN34" s="20"/>
      <c r="AO34" s="21">
        <f t="shared" si="2"/>
        <v>0</v>
      </c>
      <c r="AP34" s="20">
        <f t="shared" si="3"/>
        <v>0</v>
      </c>
      <c r="AQ34" s="19"/>
      <c r="AR34" s="21">
        <f t="shared" si="4"/>
        <v>20</v>
      </c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</row>
    <row r="35" spans="2:60">
      <c r="B35" s="276"/>
      <c r="C35" s="108" t="s">
        <v>95</v>
      </c>
      <c r="D35" s="109" t="s">
        <v>96</v>
      </c>
      <c r="E35" s="112" t="s">
        <v>23</v>
      </c>
      <c r="F35" s="112" t="s">
        <v>23</v>
      </c>
      <c r="G35" s="110" t="s">
        <v>22</v>
      </c>
      <c r="H35" s="110" t="s">
        <v>22</v>
      </c>
      <c r="I35" s="111" t="s">
        <v>21</v>
      </c>
      <c r="J35" s="111" t="s">
        <v>21</v>
      </c>
      <c r="K35" s="111" t="s">
        <v>21</v>
      </c>
      <c r="L35" s="111" t="s">
        <v>21</v>
      </c>
      <c r="M35" s="110" t="s">
        <v>22</v>
      </c>
      <c r="N35" s="110" t="s">
        <v>22</v>
      </c>
      <c r="O35" s="112" t="s">
        <v>23</v>
      </c>
      <c r="P35" s="112" t="s">
        <v>23</v>
      </c>
      <c r="Q35" s="112" t="s">
        <v>23</v>
      </c>
      <c r="R35" s="112" t="s">
        <v>23</v>
      </c>
      <c r="S35" s="110" t="s">
        <v>22</v>
      </c>
      <c r="T35" s="110" t="s">
        <v>22</v>
      </c>
      <c r="U35" s="111" t="s">
        <v>21</v>
      </c>
      <c r="V35" s="111" t="s">
        <v>21</v>
      </c>
      <c r="W35" s="111" t="s">
        <v>21</v>
      </c>
      <c r="X35" s="111" t="s">
        <v>21</v>
      </c>
      <c r="Y35" s="110" t="s">
        <v>22</v>
      </c>
      <c r="Z35" s="110" t="s">
        <v>22</v>
      </c>
      <c r="AA35" s="112" t="s">
        <v>23</v>
      </c>
      <c r="AB35" s="112" t="s">
        <v>23</v>
      </c>
      <c r="AC35" s="112" t="s">
        <v>23</v>
      </c>
      <c r="AD35" s="112" t="s">
        <v>23</v>
      </c>
      <c r="AE35" s="110" t="s">
        <v>22</v>
      </c>
      <c r="AF35" s="110" t="s">
        <v>22</v>
      </c>
      <c r="AG35" s="111" t="s">
        <v>21</v>
      </c>
      <c r="AH35" s="127" t="s">
        <v>21</v>
      </c>
      <c r="AI35" s="19"/>
      <c r="AJ35" s="20"/>
      <c r="AK35" s="21">
        <f t="shared" si="0"/>
        <v>0</v>
      </c>
      <c r="AL35" s="20">
        <f t="shared" si="1"/>
        <v>0</v>
      </c>
      <c r="AM35" s="19"/>
      <c r="AN35" s="20"/>
      <c r="AO35" s="21">
        <f t="shared" si="2"/>
        <v>0</v>
      </c>
      <c r="AP35" s="20">
        <f t="shared" si="3"/>
        <v>0</v>
      </c>
      <c r="AQ35" s="19"/>
      <c r="AR35" s="21">
        <f t="shared" si="4"/>
        <v>20</v>
      </c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</row>
    <row r="36" spans="2:60">
      <c r="B36" s="285" t="s">
        <v>97</v>
      </c>
      <c r="C36" s="88" t="s">
        <v>98</v>
      </c>
      <c r="D36" s="88" t="s">
        <v>99</v>
      </c>
      <c r="E36" s="118" t="s">
        <v>100</v>
      </c>
      <c r="F36" s="118" t="s">
        <v>100</v>
      </c>
      <c r="G36" s="103" t="s">
        <v>22</v>
      </c>
      <c r="H36" s="103" t="s">
        <v>22</v>
      </c>
      <c r="I36" s="119" t="s">
        <v>66</v>
      </c>
      <c r="J36" s="119" t="s">
        <v>66</v>
      </c>
      <c r="K36" s="119" t="s">
        <v>66</v>
      </c>
      <c r="L36" s="119" t="s">
        <v>66</v>
      </c>
      <c r="M36" s="103" t="s">
        <v>22</v>
      </c>
      <c r="N36" s="103" t="s">
        <v>22</v>
      </c>
      <c r="O36" s="118" t="s">
        <v>100</v>
      </c>
      <c r="P36" s="118" t="s">
        <v>100</v>
      </c>
      <c r="Q36" s="118" t="s">
        <v>100</v>
      </c>
      <c r="R36" s="118" t="s">
        <v>100</v>
      </c>
      <c r="S36" s="103" t="s">
        <v>22</v>
      </c>
      <c r="T36" s="103" t="s">
        <v>22</v>
      </c>
      <c r="U36" s="119" t="s">
        <v>66</v>
      </c>
      <c r="V36" s="119" t="s">
        <v>66</v>
      </c>
      <c r="W36" s="119" t="s">
        <v>66</v>
      </c>
      <c r="X36" s="119" t="s">
        <v>66</v>
      </c>
      <c r="Y36" s="103" t="s">
        <v>22</v>
      </c>
      <c r="Z36" s="103" t="s">
        <v>22</v>
      </c>
      <c r="AA36" s="118" t="s">
        <v>100</v>
      </c>
      <c r="AB36" s="118" t="s">
        <v>100</v>
      </c>
      <c r="AC36" s="118" t="s">
        <v>100</v>
      </c>
      <c r="AD36" s="118" t="s">
        <v>100</v>
      </c>
      <c r="AE36" s="103" t="s">
        <v>22</v>
      </c>
      <c r="AF36" s="103" t="s">
        <v>22</v>
      </c>
      <c r="AG36" s="119" t="s">
        <v>66</v>
      </c>
      <c r="AH36" s="128" t="s">
        <v>66</v>
      </c>
      <c r="AI36" s="19"/>
      <c r="AJ36" s="20"/>
      <c r="AK36" s="21">
        <f t="shared" si="0"/>
        <v>0</v>
      </c>
      <c r="AL36" s="20">
        <f t="shared" si="1"/>
        <v>0</v>
      </c>
      <c r="AM36" s="19"/>
      <c r="AN36" s="20"/>
      <c r="AO36" s="21">
        <f t="shared" si="2"/>
        <v>0</v>
      </c>
      <c r="AP36" s="20">
        <f t="shared" si="3"/>
        <v>0</v>
      </c>
      <c r="AQ36" s="19"/>
      <c r="AR36" s="21">
        <f t="shared" si="4"/>
        <v>20</v>
      </c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</row>
    <row r="37" spans="2:60">
      <c r="B37" s="278"/>
      <c r="C37" s="22" t="s">
        <v>101</v>
      </c>
      <c r="D37" s="20" t="s">
        <v>102</v>
      </c>
      <c r="E37" s="79" t="s">
        <v>66</v>
      </c>
      <c r="F37" s="79" t="s">
        <v>66</v>
      </c>
      <c r="G37" s="79" t="s">
        <v>66</v>
      </c>
      <c r="H37" s="79" t="s">
        <v>66</v>
      </c>
      <c r="I37" s="28" t="s">
        <v>22</v>
      </c>
      <c r="J37" s="28" t="s">
        <v>22</v>
      </c>
      <c r="K37" s="85" t="s">
        <v>100</v>
      </c>
      <c r="L37" s="85" t="s">
        <v>100</v>
      </c>
      <c r="M37" s="85" t="s">
        <v>100</v>
      </c>
      <c r="N37" s="85" t="s">
        <v>100</v>
      </c>
      <c r="O37" s="28" t="s">
        <v>22</v>
      </c>
      <c r="P37" s="28" t="s">
        <v>22</v>
      </c>
      <c r="Q37" s="79" t="s">
        <v>66</v>
      </c>
      <c r="R37" s="79" t="s">
        <v>66</v>
      </c>
      <c r="S37" s="79" t="s">
        <v>66</v>
      </c>
      <c r="T37" s="79" t="s">
        <v>66</v>
      </c>
      <c r="U37" s="28" t="s">
        <v>22</v>
      </c>
      <c r="V37" s="28" t="s">
        <v>22</v>
      </c>
      <c r="W37" s="85" t="s">
        <v>100</v>
      </c>
      <c r="X37" s="85" t="s">
        <v>100</v>
      </c>
      <c r="Y37" s="85" t="s">
        <v>100</v>
      </c>
      <c r="Z37" s="85" t="s">
        <v>100</v>
      </c>
      <c r="AA37" s="28" t="s">
        <v>22</v>
      </c>
      <c r="AB37" s="28" t="s">
        <v>22</v>
      </c>
      <c r="AC37" s="79" t="s">
        <v>66</v>
      </c>
      <c r="AD37" s="79" t="s">
        <v>66</v>
      </c>
      <c r="AE37" s="79" t="s">
        <v>66</v>
      </c>
      <c r="AF37" s="79" t="s">
        <v>66</v>
      </c>
      <c r="AG37" s="28" t="s">
        <v>22</v>
      </c>
      <c r="AH37" s="91" t="s">
        <v>22</v>
      </c>
      <c r="AI37" s="19"/>
      <c r="AJ37" s="20"/>
      <c r="AK37" s="21">
        <f t="shared" si="0"/>
        <v>0</v>
      </c>
      <c r="AL37" s="20">
        <f t="shared" si="1"/>
        <v>0</v>
      </c>
      <c r="AM37" s="19"/>
      <c r="AN37" s="20"/>
      <c r="AO37" s="21">
        <f t="shared" si="2"/>
        <v>0</v>
      </c>
      <c r="AP37" s="20">
        <f t="shared" si="3"/>
        <v>0</v>
      </c>
      <c r="AQ37" s="19"/>
      <c r="AR37" s="21">
        <f t="shared" si="4"/>
        <v>20</v>
      </c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</row>
    <row r="38" spans="2:60">
      <c r="B38" s="278"/>
      <c r="C38" s="20" t="s">
        <v>103</v>
      </c>
      <c r="D38" s="20" t="s">
        <v>104</v>
      </c>
      <c r="E38" s="28" t="s">
        <v>22</v>
      </c>
      <c r="F38" s="28" t="s">
        <v>22</v>
      </c>
      <c r="G38" s="85" t="s">
        <v>100</v>
      </c>
      <c r="H38" s="85" t="s">
        <v>100</v>
      </c>
      <c r="I38" s="85" t="s">
        <v>100</v>
      </c>
      <c r="J38" s="85" t="s">
        <v>100</v>
      </c>
      <c r="K38" s="28" t="s">
        <v>22</v>
      </c>
      <c r="L38" s="28" t="s">
        <v>22</v>
      </c>
      <c r="M38" s="79" t="s">
        <v>66</v>
      </c>
      <c r="N38" s="79" t="s">
        <v>66</v>
      </c>
      <c r="O38" s="79" t="s">
        <v>66</v>
      </c>
      <c r="P38" s="79" t="s">
        <v>66</v>
      </c>
      <c r="Q38" s="28" t="s">
        <v>22</v>
      </c>
      <c r="R38" s="28" t="s">
        <v>22</v>
      </c>
      <c r="S38" s="85" t="s">
        <v>100</v>
      </c>
      <c r="T38" s="85" t="s">
        <v>100</v>
      </c>
      <c r="U38" s="85" t="s">
        <v>100</v>
      </c>
      <c r="V38" s="85" t="s">
        <v>100</v>
      </c>
      <c r="W38" s="28" t="s">
        <v>22</v>
      </c>
      <c r="X38" s="28" t="s">
        <v>22</v>
      </c>
      <c r="Y38" s="75" t="s">
        <v>26</v>
      </c>
      <c r="Z38" s="79" t="s">
        <v>66</v>
      </c>
      <c r="AA38" s="79" t="s">
        <v>66</v>
      </c>
      <c r="AB38" s="79" t="s">
        <v>66</v>
      </c>
      <c r="AC38" s="28" t="s">
        <v>22</v>
      </c>
      <c r="AD38" s="28" t="s">
        <v>22</v>
      </c>
      <c r="AE38" s="85" t="s">
        <v>100</v>
      </c>
      <c r="AF38" s="85" t="s">
        <v>100</v>
      </c>
      <c r="AG38" s="85" t="s">
        <v>100</v>
      </c>
      <c r="AH38" s="121" t="s">
        <v>100</v>
      </c>
      <c r="AI38" s="19"/>
      <c r="AJ38" s="20"/>
      <c r="AK38" s="21">
        <f t="shared" si="0"/>
        <v>0</v>
      </c>
      <c r="AL38" s="20">
        <f t="shared" si="1"/>
        <v>0</v>
      </c>
      <c r="AM38" s="19"/>
      <c r="AN38" s="20"/>
      <c r="AO38" s="21">
        <f t="shared" si="2"/>
        <v>0</v>
      </c>
      <c r="AP38" s="20">
        <f t="shared" si="3"/>
        <v>0</v>
      </c>
      <c r="AQ38" s="19"/>
      <c r="AR38" s="21">
        <f t="shared" si="4"/>
        <v>19</v>
      </c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</row>
    <row r="39" spans="2:60">
      <c r="B39" s="279"/>
      <c r="C39" s="108" t="s">
        <v>105</v>
      </c>
      <c r="D39" s="109" t="s">
        <v>106</v>
      </c>
      <c r="E39" s="28" t="s">
        <v>22</v>
      </c>
      <c r="F39" s="28" t="s">
        <v>22</v>
      </c>
      <c r="G39" s="85" t="s">
        <v>100</v>
      </c>
      <c r="H39" s="85" t="s">
        <v>100</v>
      </c>
      <c r="I39" s="85" t="s">
        <v>100</v>
      </c>
      <c r="J39" s="85" t="s">
        <v>100</v>
      </c>
      <c r="K39" s="28" t="s">
        <v>22</v>
      </c>
      <c r="L39" s="28" t="s">
        <v>22</v>
      </c>
      <c r="M39" s="79" t="s">
        <v>66</v>
      </c>
      <c r="N39" s="79" t="s">
        <v>66</v>
      </c>
      <c r="O39" s="79" t="s">
        <v>66</v>
      </c>
      <c r="P39" s="79" t="s">
        <v>66</v>
      </c>
      <c r="Q39" s="28" t="s">
        <v>22</v>
      </c>
      <c r="R39" s="28" t="s">
        <v>22</v>
      </c>
      <c r="S39" s="85" t="s">
        <v>100</v>
      </c>
      <c r="T39" s="85" t="s">
        <v>100</v>
      </c>
      <c r="U39" s="85" t="s">
        <v>100</v>
      </c>
      <c r="V39" s="85" t="s">
        <v>100</v>
      </c>
      <c r="W39" s="28" t="s">
        <v>22</v>
      </c>
      <c r="X39" s="28" t="s">
        <v>22</v>
      </c>
      <c r="Y39" s="79" t="s">
        <v>66</v>
      </c>
      <c r="Z39" s="79" t="s">
        <v>66</v>
      </c>
      <c r="AA39" s="79" t="s">
        <v>66</v>
      </c>
      <c r="AB39" s="79" t="s">
        <v>66</v>
      </c>
      <c r="AC39" s="28" t="s">
        <v>22</v>
      </c>
      <c r="AD39" s="28" t="s">
        <v>22</v>
      </c>
      <c r="AE39" s="85" t="s">
        <v>100</v>
      </c>
      <c r="AF39" s="85" t="s">
        <v>100</v>
      </c>
      <c r="AG39" s="85" t="s">
        <v>100</v>
      </c>
      <c r="AH39" s="121" t="s">
        <v>100</v>
      </c>
      <c r="AI39" s="19"/>
      <c r="AJ39" s="20"/>
      <c r="AK39" s="21">
        <f t="shared" si="0"/>
        <v>0</v>
      </c>
      <c r="AL39" s="20">
        <f t="shared" si="1"/>
        <v>0</v>
      </c>
      <c r="AM39" s="19"/>
      <c r="AN39" s="20"/>
      <c r="AO39" s="21">
        <f t="shared" si="2"/>
        <v>0</v>
      </c>
      <c r="AP39" s="20">
        <f t="shared" si="3"/>
        <v>0</v>
      </c>
      <c r="AQ39" s="19"/>
      <c r="AR39" s="21">
        <f t="shared" si="4"/>
        <v>20</v>
      </c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</row>
    <row r="40" spans="2:60" ht="15" customHeight="1">
      <c r="B40" s="280" t="s">
        <v>108</v>
      </c>
      <c r="C40" s="88" t="s">
        <v>109</v>
      </c>
      <c r="D40" s="88" t="s">
        <v>110</v>
      </c>
      <c r="E40" s="205" t="s">
        <v>113</v>
      </c>
      <c r="F40" s="205" t="s">
        <v>113</v>
      </c>
      <c r="G40" s="205" t="s">
        <v>113</v>
      </c>
      <c r="H40" s="205" t="s">
        <v>113</v>
      </c>
      <c r="I40" s="103" t="s">
        <v>22</v>
      </c>
      <c r="J40" s="103" t="s">
        <v>22</v>
      </c>
      <c r="K40" s="205" t="s">
        <v>113</v>
      </c>
      <c r="L40" s="205" t="s">
        <v>113</v>
      </c>
      <c r="M40" s="205" t="s">
        <v>113</v>
      </c>
      <c r="N40" s="205" t="s">
        <v>113</v>
      </c>
      <c r="O40" s="205" t="s">
        <v>113</v>
      </c>
      <c r="P40" s="103" t="s">
        <v>22</v>
      </c>
      <c r="Q40" s="103" t="s">
        <v>22</v>
      </c>
      <c r="R40" s="205" t="s">
        <v>113</v>
      </c>
      <c r="S40" s="205" t="s">
        <v>113</v>
      </c>
      <c r="T40" s="205" t="s">
        <v>113</v>
      </c>
      <c r="U40" s="205" t="s">
        <v>113</v>
      </c>
      <c r="V40" s="205" t="s">
        <v>113</v>
      </c>
      <c r="W40" s="103" t="s">
        <v>22</v>
      </c>
      <c r="X40" s="103" t="s">
        <v>22</v>
      </c>
      <c r="Y40" s="205" t="s">
        <v>113</v>
      </c>
      <c r="Z40" s="205" t="s">
        <v>113</v>
      </c>
      <c r="AA40" s="205" t="s">
        <v>113</v>
      </c>
      <c r="AB40" s="205" t="s">
        <v>113</v>
      </c>
      <c r="AC40" s="205" t="s">
        <v>113</v>
      </c>
      <c r="AD40" s="103" t="s">
        <v>22</v>
      </c>
      <c r="AE40" s="103" t="s">
        <v>22</v>
      </c>
      <c r="AF40" s="205" t="s">
        <v>113</v>
      </c>
      <c r="AG40" s="205" t="s">
        <v>113</v>
      </c>
      <c r="AH40" s="210" t="s">
        <v>113</v>
      </c>
      <c r="AI40" s="19"/>
      <c r="AJ40" s="20"/>
      <c r="AK40" s="21">
        <f t="shared" si="0"/>
        <v>0</v>
      </c>
      <c r="AL40" s="20">
        <f t="shared" si="1"/>
        <v>0</v>
      </c>
      <c r="AM40" s="19"/>
      <c r="AN40" s="20"/>
      <c r="AO40" s="21">
        <f t="shared" si="2"/>
        <v>0</v>
      </c>
      <c r="AP40" s="20">
        <f t="shared" si="3"/>
        <v>0</v>
      </c>
      <c r="AQ40" s="19"/>
      <c r="AR40" s="21">
        <f t="shared" si="4"/>
        <v>22</v>
      </c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</row>
    <row r="41" spans="2:60">
      <c r="B41" s="276"/>
      <c r="C41" s="22" t="s">
        <v>111</v>
      </c>
      <c r="D41" s="20" t="s">
        <v>112</v>
      </c>
      <c r="E41" s="80" t="s">
        <v>113</v>
      </c>
      <c r="F41" s="80" t="s">
        <v>113</v>
      </c>
      <c r="G41" s="80" t="s">
        <v>113</v>
      </c>
      <c r="H41" s="80" t="s">
        <v>113</v>
      </c>
      <c r="I41" s="28" t="s">
        <v>22</v>
      </c>
      <c r="J41" s="28" t="s">
        <v>22</v>
      </c>
      <c r="K41" s="80" t="s">
        <v>113</v>
      </c>
      <c r="L41" s="80" t="s">
        <v>113</v>
      </c>
      <c r="M41" s="80" t="s">
        <v>113</v>
      </c>
      <c r="N41" s="80" t="s">
        <v>113</v>
      </c>
      <c r="O41" s="80" t="s">
        <v>113</v>
      </c>
      <c r="P41" s="28" t="s">
        <v>22</v>
      </c>
      <c r="Q41" s="28" t="s">
        <v>22</v>
      </c>
      <c r="R41" s="80" t="s">
        <v>113</v>
      </c>
      <c r="S41" s="80" t="s">
        <v>113</v>
      </c>
      <c r="T41" s="80" t="s">
        <v>113</v>
      </c>
      <c r="U41" s="80" t="s">
        <v>113</v>
      </c>
      <c r="V41" s="80" t="s">
        <v>113</v>
      </c>
      <c r="W41" s="28" t="s">
        <v>22</v>
      </c>
      <c r="X41" s="28" t="s">
        <v>22</v>
      </c>
      <c r="Y41" s="80" t="s">
        <v>113</v>
      </c>
      <c r="Z41" s="80" t="s">
        <v>113</v>
      </c>
      <c r="AA41" s="80" t="s">
        <v>113</v>
      </c>
      <c r="AB41" s="80" t="s">
        <v>113</v>
      </c>
      <c r="AC41" s="80" t="s">
        <v>113</v>
      </c>
      <c r="AD41" s="28" t="s">
        <v>22</v>
      </c>
      <c r="AE41" s="28" t="s">
        <v>22</v>
      </c>
      <c r="AF41" s="80" t="s">
        <v>113</v>
      </c>
      <c r="AG41" s="80" t="s">
        <v>113</v>
      </c>
      <c r="AH41" s="190" t="s">
        <v>113</v>
      </c>
      <c r="AI41" s="19"/>
      <c r="AJ41" s="20"/>
      <c r="AK41" s="21">
        <f t="shared" si="0"/>
        <v>0</v>
      </c>
      <c r="AL41" s="20">
        <f t="shared" si="1"/>
        <v>0</v>
      </c>
      <c r="AM41" s="19"/>
      <c r="AN41" s="20"/>
      <c r="AO41" s="21">
        <f t="shared" si="2"/>
        <v>0</v>
      </c>
      <c r="AP41" s="20">
        <f t="shared" si="3"/>
        <v>0</v>
      </c>
      <c r="AQ41" s="19"/>
      <c r="AR41" s="21">
        <f t="shared" si="4"/>
        <v>22</v>
      </c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</row>
    <row r="42" spans="2:60">
      <c r="B42" s="276"/>
      <c r="C42" s="20" t="s">
        <v>114</v>
      </c>
      <c r="D42" s="20" t="s">
        <v>115</v>
      </c>
      <c r="E42" s="81" t="s">
        <v>116</v>
      </c>
      <c r="F42" s="81" t="s">
        <v>116</v>
      </c>
      <c r="G42" s="81" t="s">
        <v>116</v>
      </c>
      <c r="H42" s="81" t="s">
        <v>116</v>
      </c>
      <c r="I42" s="28" t="s">
        <v>22</v>
      </c>
      <c r="J42" s="28" t="s">
        <v>22</v>
      </c>
      <c r="K42" s="81" t="s">
        <v>116</v>
      </c>
      <c r="L42" s="81" t="s">
        <v>116</v>
      </c>
      <c r="M42" s="81" t="s">
        <v>116</v>
      </c>
      <c r="N42" s="81" t="s">
        <v>116</v>
      </c>
      <c r="O42" s="81" t="s">
        <v>116</v>
      </c>
      <c r="P42" s="28" t="s">
        <v>22</v>
      </c>
      <c r="Q42" s="28" t="s">
        <v>22</v>
      </c>
      <c r="R42" s="81" t="s">
        <v>116</v>
      </c>
      <c r="S42" s="81" t="s">
        <v>116</v>
      </c>
      <c r="T42" s="81" t="s">
        <v>116</v>
      </c>
      <c r="U42" s="81" t="s">
        <v>116</v>
      </c>
      <c r="V42" s="81" t="s">
        <v>116</v>
      </c>
      <c r="W42" s="28" t="s">
        <v>22</v>
      </c>
      <c r="X42" s="28" t="s">
        <v>22</v>
      </c>
      <c r="Y42" s="81" t="s">
        <v>116</v>
      </c>
      <c r="Z42" s="81" t="s">
        <v>116</v>
      </c>
      <c r="AA42" s="81" t="s">
        <v>116</v>
      </c>
      <c r="AB42" s="81" t="s">
        <v>116</v>
      </c>
      <c r="AC42" s="81" t="s">
        <v>116</v>
      </c>
      <c r="AD42" s="28" t="s">
        <v>22</v>
      </c>
      <c r="AE42" s="28" t="s">
        <v>22</v>
      </c>
      <c r="AF42" s="81" t="s">
        <v>116</v>
      </c>
      <c r="AG42" s="81" t="s">
        <v>116</v>
      </c>
      <c r="AH42" s="191" t="s">
        <v>116</v>
      </c>
      <c r="AI42" s="19"/>
      <c r="AJ42" s="20"/>
      <c r="AK42" s="21">
        <f t="shared" si="0"/>
        <v>0</v>
      </c>
      <c r="AL42" s="20">
        <f t="shared" si="1"/>
        <v>0</v>
      </c>
      <c r="AM42" s="19"/>
      <c r="AN42" s="26"/>
      <c r="AO42" s="21">
        <f t="shared" si="2"/>
        <v>0</v>
      </c>
      <c r="AP42" s="44">
        <f t="shared" si="3"/>
        <v>0</v>
      </c>
      <c r="AQ42" s="19"/>
      <c r="AR42" s="21">
        <f t="shared" si="4"/>
        <v>22</v>
      </c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</row>
    <row r="43" spans="2:60">
      <c r="B43" s="276"/>
      <c r="C43" s="22" t="s">
        <v>117</v>
      </c>
      <c r="D43" s="20" t="s">
        <v>118</v>
      </c>
      <c r="E43" s="74" t="s">
        <v>23</v>
      </c>
      <c r="F43" s="74" t="s">
        <v>23</v>
      </c>
      <c r="G43" s="74" t="s">
        <v>23</v>
      </c>
      <c r="H43" s="74" t="s">
        <v>23</v>
      </c>
      <c r="I43" s="28" t="s">
        <v>22</v>
      </c>
      <c r="J43" s="28" t="s">
        <v>22</v>
      </c>
      <c r="K43" s="60" t="s">
        <v>21</v>
      </c>
      <c r="L43" s="60" t="s">
        <v>21</v>
      </c>
      <c r="M43" s="60" t="s">
        <v>21</v>
      </c>
      <c r="N43" s="60" t="s">
        <v>21</v>
      </c>
      <c r="O43" s="28" t="s">
        <v>22</v>
      </c>
      <c r="P43" s="28" t="s">
        <v>22</v>
      </c>
      <c r="Q43" s="74" t="s">
        <v>23</v>
      </c>
      <c r="R43" s="74" t="s">
        <v>23</v>
      </c>
      <c r="S43" s="74" t="s">
        <v>23</v>
      </c>
      <c r="T43" s="74" t="s">
        <v>23</v>
      </c>
      <c r="U43" s="28" t="s">
        <v>22</v>
      </c>
      <c r="V43" s="28" t="s">
        <v>22</v>
      </c>
      <c r="W43" s="60" t="s">
        <v>21</v>
      </c>
      <c r="X43" s="60" t="s">
        <v>21</v>
      </c>
      <c r="Y43" s="60" t="s">
        <v>21</v>
      </c>
      <c r="Z43" s="60" t="s">
        <v>21</v>
      </c>
      <c r="AA43" s="28" t="s">
        <v>22</v>
      </c>
      <c r="AB43" s="28" t="s">
        <v>22</v>
      </c>
      <c r="AC43" s="74" t="s">
        <v>23</v>
      </c>
      <c r="AD43" s="74" t="s">
        <v>23</v>
      </c>
      <c r="AE43" s="74" t="s">
        <v>23</v>
      </c>
      <c r="AF43" s="74" t="s">
        <v>23</v>
      </c>
      <c r="AG43" s="28" t="s">
        <v>22</v>
      </c>
      <c r="AH43" s="91" t="s">
        <v>22</v>
      </c>
      <c r="AI43" s="19"/>
      <c r="AJ43" s="20"/>
      <c r="AK43" s="21">
        <f t="shared" si="0"/>
        <v>0</v>
      </c>
      <c r="AL43" s="20">
        <f t="shared" si="1"/>
        <v>0</v>
      </c>
      <c r="AM43" s="19"/>
      <c r="AN43" s="20"/>
      <c r="AO43" s="21">
        <f t="shared" si="2"/>
        <v>0</v>
      </c>
      <c r="AP43" s="20">
        <f t="shared" si="3"/>
        <v>0</v>
      </c>
      <c r="AQ43" s="19"/>
      <c r="AR43" s="21">
        <f t="shared" si="4"/>
        <v>20</v>
      </c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</row>
    <row r="44" spans="2:60">
      <c r="B44" s="276"/>
      <c r="C44" s="20" t="s">
        <v>119</v>
      </c>
      <c r="D44" s="20" t="s">
        <v>120</v>
      </c>
      <c r="E44" s="74" t="s">
        <v>23</v>
      </c>
      <c r="F44" s="74" t="s">
        <v>23</v>
      </c>
      <c r="G44" s="74" t="s">
        <v>23</v>
      </c>
      <c r="H44" s="74" t="s">
        <v>23</v>
      </c>
      <c r="I44" s="28" t="s">
        <v>22</v>
      </c>
      <c r="J44" s="28" t="s">
        <v>22</v>
      </c>
      <c r="K44" s="60" t="s">
        <v>21</v>
      </c>
      <c r="L44" s="60" t="s">
        <v>21</v>
      </c>
      <c r="M44" s="60" t="s">
        <v>21</v>
      </c>
      <c r="N44" s="60" t="s">
        <v>21</v>
      </c>
      <c r="O44" s="28" t="s">
        <v>22</v>
      </c>
      <c r="P44" s="28" t="s">
        <v>22</v>
      </c>
      <c r="Q44" s="74" t="s">
        <v>23</v>
      </c>
      <c r="R44" s="74" t="s">
        <v>23</v>
      </c>
      <c r="S44" s="74" t="s">
        <v>23</v>
      </c>
      <c r="T44" s="74" t="s">
        <v>23</v>
      </c>
      <c r="U44" s="28" t="s">
        <v>22</v>
      </c>
      <c r="V44" s="28" t="s">
        <v>22</v>
      </c>
      <c r="W44" s="60" t="s">
        <v>21</v>
      </c>
      <c r="X44" s="60" t="s">
        <v>21</v>
      </c>
      <c r="Y44" s="60" t="s">
        <v>21</v>
      </c>
      <c r="Z44" s="60" t="s">
        <v>21</v>
      </c>
      <c r="AA44" s="28" t="s">
        <v>22</v>
      </c>
      <c r="AB44" s="28" t="s">
        <v>22</v>
      </c>
      <c r="AC44" s="74" t="s">
        <v>23</v>
      </c>
      <c r="AD44" s="74" t="s">
        <v>23</v>
      </c>
      <c r="AE44" s="74" t="s">
        <v>23</v>
      </c>
      <c r="AF44" s="74" t="s">
        <v>23</v>
      </c>
      <c r="AG44" s="28" t="s">
        <v>22</v>
      </c>
      <c r="AH44" s="91" t="s">
        <v>22</v>
      </c>
      <c r="AI44" s="19"/>
      <c r="AJ44" s="20"/>
      <c r="AK44" s="21">
        <f t="shared" si="0"/>
        <v>0</v>
      </c>
      <c r="AL44" s="20">
        <f t="shared" si="1"/>
        <v>0</v>
      </c>
      <c r="AM44" s="19"/>
      <c r="AN44" s="20"/>
      <c r="AO44" s="21">
        <f t="shared" si="2"/>
        <v>0</v>
      </c>
      <c r="AP44" s="20">
        <f t="shared" si="3"/>
        <v>0</v>
      </c>
      <c r="AQ44" s="19"/>
      <c r="AR44" s="21">
        <f t="shared" si="4"/>
        <v>20</v>
      </c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</row>
    <row r="45" spans="2:60">
      <c r="B45" s="276"/>
      <c r="C45" s="22" t="s">
        <v>121</v>
      </c>
      <c r="D45" s="20" t="s">
        <v>122</v>
      </c>
      <c r="E45" s="60" t="s">
        <v>21</v>
      </c>
      <c r="F45" s="60" t="s">
        <v>21</v>
      </c>
      <c r="G45" s="28" t="s">
        <v>22</v>
      </c>
      <c r="H45" s="28" t="s">
        <v>22</v>
      </c>
      <c r="I45" s="74" t="s">
        <v>23</v>
      </c>
      <c r="J45" s="74" t="s">
        <v>23</v>
      </c>
      <c r="K45" s="74" t="s">
        <v>23</v>
      </c>
      <c r="L45" s="74" t="s">
        <v>23</v>
      </c>
      <c r="M45" s="28" t="s">
        <v>22</v>
      </c>
      <c r="N45" s="28" t="s">
        <v>22</v>
      </c>
      <c r="O45" s="60" t="s">
        <v>21</v>
      </c>
      <c r="P45" s="60" t="s">
        <v>21</v>
      </c>
      <c r="Q45" s="60" t="s">
        <v>21</v>
      </c>
      <c r="R45" s="60" t="s">
        <v>21</v>
      </c>
      <c r="S45" s="28" t="s">
        <v>22</v>
      </c>
      <c r="T45" s="28" t="s">
        <v>22</v>
      </c>
      <c r="U45" s="74" t="s">
        <v>23</v>
      </c>
      <c r="V45" s="74" t="s">
        <v>23</v>
      </c>
      <c r="W45" s="74" t="s">
        <v>23</v>
      </c>
      <c r="X45" s="74" t="s">
        <v>23</v>
      </c>
      <c r="Y45" s="28" t="s">
        <v>22</v>
      </c>
      <c r="Z45" s="28" t="s">
        <v>22</v>
      </c>
      <c r="AA45" s="60" t="s">
        <v>21</v>
      </c>
      <c r="AB45" s="60" t="s">
        <v>21</v>
      </c>
      <c r="AC45" s="60" t="s">
        <v>21</v>
      </c>
      <c r="AD45" s="60" t="s">
        <v>21</v>
      </c>
      <c r="AE45" s="28" t="s">
        <v>22</v>
      </c>
      <c r="AF45" s="28" t="s">
        <v>22</v>
      </c>
      <c r="AG45" s="74" t="s">
        <v>23</v>
      </c>
      <c r="AH45" s="89" t="s">
        <v>23</v>
      </c>
      <c r="AI45" s="19"/>
      <c r="AJ45" s="20"/>
      <c r="AK45" s="21">
        <f t="shared" si="0"/>
        <v>0</v>
      </c>
      <c r="AL45" s="20">
        <f t="shared" si="1"/>
        <v>0</v>
      </c>
      <c r="AM45" s="19"/>
      <c r="AN45" s="20"/>
      <c r="AO45" s="21">
        <f t="shared" si="2"/>
        <v>0</v>
      </c>
      <c r="AP45" s="20">
        <f t="shared" si="3"/>
        <v>0</v>
      </c>
      <c r="AQ45" s="19"/>
      <c r="AR45" s="21">
        <f t="shared" si="4"/>
        <v>20</v>
      </c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</row>
    <row r="46" spans="2:60" ht="15" customHeight="1">
      <c r="B46" s="276"/>
      <c r="C46" s="20" t="s">
        <v>124</v>
      </c>
      <c r="D46" s="20" t="s">
        <v>125</v>
      </c>
      <c r="E46" s="60" t="s">
        <v>21</v>
      </c>
      <c r="F46" s="60" t="s">
        <v>21</v>
      </c>
      <c r="G46" s="28" t="s">
        <v>22</v>
      </c>
      <c r="H46" s="28" t="s">
        <v>22</v>
      </c>
      <c r="I46" s="74" t="s">
        <v>23</v>
      </c>
      <c r="J46" s="74" t="s">
        <v>23</v>
      </c>
      <c r="K46" s="74" t="s">
        <v>23</v>
      </c>
      <c r="L46" s="74" t="s">
        <v>23</v>
      </c>
      <c r="M46" s="28" t="s">
        <v>22</v>
      </c>
      <c r="N46" s="28" t="s">
        <v>22</v>
      </c>
      <c r="O46" s="60" t="s">
        <v>21</v>
      </c>
      <c r="P46" s="60" t="s">
        <v>21</v>
      </c>
      <c r="Q46" s="60" t="s">
        <v>21</v>
      </c>
      <c r="R46" s="60" t="s">
        <v>21</v>
      </c>
      <c r="S46" s="28" t="s">
        <v>22</v>
      </c>
      <c r="T46" s="28" t="s">
        <v>22</v>
      </c>
      <c r="U46" s="74" t="s">
        <v>23</v>
      </c>
      <c r="V46" s="74" t="s">
        <v>23</v>
      </c>
      <c r="W46" s="74" t="s">
        <v>23</v>
      </c>
      <c r="X46" s="74" t="s">
        <v>23</v>
      </c>
      <c r="Y46" s="28" t="s">
        <v>22</v>
      </c>
      <c r="Z46" s="28" t="s">
        <v>22</v>
      </c>
      <c r="AA46" s="60" t="s">
        <v>21</v>
      </c>
      <c r="AB46" s="60" t="s">
        <v>21</v>
      </c>
      <c r="AC46" s="60" t="s">
        <v>21</v>
      </c>
      <c r="AD46" s="60" t="s">
        <v>21</v>
      </c>
      <c r="AE46" s="28" t="s">
        <v>22</v>
      </c>
      <c r="AF46" s="28" t="s">
        <v>22</v>
      </c>
      <c r="AG46" s="74" t="s">
        <v>23</v>
      </c>
      <c r="AH46" s="89" t="s">
        <v>23</v>
      </c>
      <c r="AI46" s="19"/>
      <c r="AJ46" s="20"/>
      <c r="AK46" s="21">
        <f t="shared" si="0"/>
        <v>0</v>
      </c>
      <c r="AL46" s="20">
        <f t="shared" si="1"/>
        <v>0</v>
      </c>
      <c r="AM46" s="19"/>
      <c r="AN46" s="20"/>
      <c r="AO46" s="21">
        <f t="shared" si="2"/>
        <v>0</v>
      </c>
      <c r="AP46" s="20">
        <f t="shared" si="3"/>
        <v>0</v>
      </c>
      <c r="AQ46" s="19"/>
      <c r="AR46" s="21">
        <f t="shared" si="4"/>
        <v>20</v>
      </c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</row>
    <row r="47" spans="2:60">
      <c r="B47" s="281"/>
      <c r="C47" s="92" t="s">
        <v>126</v>
      </c>
      <c r="D47" s="93" t="s">
        <v>127</v>
      </c>
      <c r="E47" s="94" t="s">
        <v>22</v>
      </c>
      <c r="F47" s="94" t="s">
        <v>22</v>
      </c>
      <c r="G47" s="95" t="s">
        <v>21</v>
      </c>
      <c r="H47" s="95" t="s">
        <v>21</v>
      </c>
      <c r="I47" s="95" t="s">
        <v>21</v>
      </c>
      <c r="J47" s="95" t="s">
        <v>21</v>
      </c>
      <c r="K47" s="94" t="s">
        <v>22</v>
      </c>
      <c r="L47" s="94" t="s">
        <v>22</v>
      </c>
      <c r="M47" s="96" t="s">
        <v>23</v>
      </c>
      <c r="N47" s="96" t="s">
        <v>23</v>
      </c>
      <c r="O47" s="96" t="s">
        <v>23</v>
      </c>
      <c r="P47" s="96" t="s">
        <v>23</v>
      </c>
      <c r="Q47" s="94" t="s">
        <v>22</v>
      </c>
      <c r="R47" s="94" t="s">
        <v>22</v>
      </c>
      <c r="S47" s="95" t="s">
        <v>21</v>
      </c>
      <c r="T47" s="95" t="s">
        <v>21</v>
      </c>
      <c r="U47" s="95" t="s">
        <v>21</v>
      </c>
      <c r="V47" s="95" t="s">
        <v>21</v>
      </c>
      <c r="W47" s="94" t="s">
        <v>22</v>
      </c>
      <c r="X47" s="94" t="s">
        <v>22</v>
      </c>
      <c r="Y47" s="96" t="s">
        <v>23</v>
      </c>
      <c r="Z47" s="96" t="s">
        <v>23</v>
      </c>
      <c r="AA47" s="96" t="s">
        <v>23</v>
      </c>
      <c r="AB47" s="96" t="s">
        <v>23</v>
      </c>
      <c r="AC47" s="94" t="s">
        <v>22</v>
      </c>
      <c r="AD47" s="94" t="s">
        <v>22</v>
      </c>
      <c r="AE47" s="95" t="s">
        <v>21</v>
      </c>
      <c r="AF47" s="95" t="s">
        <v>21</v>
      </c>
      <c r="AG47" s="95" t="s">
        <v>21</v>
      </c>
      <c r="AH47" s="122" t="s">
        <v>21</v>
      </c>
      <c r="AI47" s="19"/>
      <c r="AJ47" s="20"/>
      <c r="AK47" s="21">
        <f t="shared" si="0"/>
        <v>0</v>
      </c>
      <c r="AL47" s="20">
        <f t="shared" si="1"/>
        <v>0</v>
      </c>
      <c r="AM47" s="19"/>
      <c r="AN47" s="20"/>
      <c r="AO47" s="21">
        <f t="shared" si="2"/>
        <v>0</v>
      </c>
      <c r="AP47" s="20">
        <f t="shared" si="3"/>
        <v>0</v>
      </c>
      <c r="AQ47" s="19"/>
      <c r="AR47" s="21">
        <f t="shared" si="4"/>
        <v>20</v>
      </c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</row>
    <row r="48" spans="2:60">
      <c r="B48" s="42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</row>
    <row r="49" spans="2:60">
      <c r="B49" s="282" t="s">
        <v>252</v>
      </c>
      <c r="C49" s="286" t="s">
        <v>253</v>
      </c>
      <c r="D49" s="286"/>
      <c r="E49" s="21">
        <f>COUNTIF(C5:C47,$C$49)</f>
        <v>0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</row>
    <row r="50" spans="2:60">
      <c r="B50" s="282"/>
      <c r="C50" s="286" t="s">
        <v>253</v>
      </c>
      <c r="D50" s="286"/>
      <c r="E50" s="21">
        <f>COUNTIF(C5:C47,$C$50)</f>
        <v>0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</row>
    <row r="51" spans="2:60">
      <c r="C51" s="286" t="s">
        <v>128</v>
      </c>
      <c r="D51" s="286"/>
      <c r="E51" s="21">
        <f>E49+E50</f>
        <v>0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</row>
    <row r="52" spans="2:60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</row>
    <row r="53" spans="2:60"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</row>
    <row r="54" spans="2:60">
      <c r="C54" s="19"/>
      <c r="D54" s="19"/>
      <c r="E54" s="28" t="s">
        <v>22</v>
      </c>
      <c r="F54" s="250" t="s">
        <v>129</v>
      </c>
      <c r="G54" s="251"/>
      <c r="H54" s="251"/>
      <c r="I54" s="252"/>
      <c r="J54" s="19"/>
      <c r="K54" s="29" t="s">
        <v>130</v>
      </c>
      <c r="L54" s="250" t="s">
        <v>131</v>
      </c>
      <c r="M54" s="251"/>
      <c r="N54" s="251"/>
      <c r="O54" s="252"/>
      <c r="P54" s="19"/>
      <c r="Q54" s="256" t="s">
        <v>132</v>
      </c>
      <c r="R54" s="256"/>
      <c r="S54" s="256"/>
      <c r="T54" s="25"/>
      <c r="V54" s="258" t="s">
        <v>133</v>
      </c>
      <c r="W54" s="258"/>
      <c r="X54" s="258"/>
      <c r="Y54" s="258" t="s">
        <v>134</v>
      </c>
      <c r="Z54" s="258"/>
      <c r="AA54" s="258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</row>
    <row r="55" spans="2:60">
      <c r="C55" s="19"/>
      <c r="D55" s="19"/>
      <c r="E55" s="28" t="s">
        <v>135</v>
      </c>
      <c r="F55" s="250" t="s">
        <v>136</v>
      </c>
      <c r="G55" s="251"/>
      <c r="H55" s="251"/>
      <c r="I55" s="252"/>
      <c r="J55" s="19"/>
      <c r="K55" s="29" t="s">
        <v>123</v>
      </c>
      <c r="L55" s="250" t="s">
        <v>137</v>
      </c>
      <c r="M55" s="251"/>
      <c r="N55" s="251"/>
      <c r="O55" s="252"/>
      <c r="P55" s="19"/>
      <c r="Q55" s="21" t="s">
        <v>20</v>
      </c>
      <c r="R55" s="283" t="s">
        <v>138</v>
      </c>
      <c r="S55" s="284"/>
      <c r="U55" s="57" t="s">
        <v>29</v>
      </c>
      <c r="V55" s="240" t="s">
        <v>139</v>
      </c>
      <c r="W55" s="240"/>
      <c r="X55" s="240"/>
      <c r="Y55" s="240" t="s">
        <v>140</v>
      </c>
      <c r="Z55" s="240"/>
      <c r="AA55" s="240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</row>
    <row r="56" spans="2:60">
      <c r="C56" s="19"/>
      <c r="D56" s="19"/>
      <c r="E56" s="30" t="s">
        <v>20</v>
      </c>
      <c r="F56" s="250" t="s">
        <v>141</v>
      </c>
      <c r="G56" s="251"/>
      <c r="H56" s="251"/>
      <c r="I56" s="252"/>
      <c r="J56" s="19"/>
      <c r="K56" s="28" t="s">
        <v>107</v>
      </c>
      <c r="L56" s="250" t="s">
        <v>142</v>
      </c>
      <c r="M56" s="251"/>
      <c r="N56" s="251"/>
      <c r="O56" s="252"/>
      <c r="P56" s="19"/>
      <c r="Q56" s="21" t="s">
        <v>143</v>
      </c>
      <c r="R56" s="283" t="s">
        <v>144</v>
      </c>
      <c r="S56" s="284"/>
      <c r="U56" s="46" t="s">
        <v>145</v>
      </c>
      <c r="V56" s="240" t="s">
        <v>146</v>
      </c>
      <c r="W56" s="240"/>
      <c r="X56" s="240"/>
      <c r="Y56" s="240" t="s">
        <v>147</v>
      </c>
      <c r="Z56" s="240"/>
      <c r="AA56" s="240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</row>
    <row r="57" spans="2:60">
      <c r="C57" s="19"/>
      <c r="D57" s="19"/>
      <c r="E57" s="31" t="s">
        <v>36</v>
      </c>
      <c r="F57" s="250" t="s">
        <v>148</v>
      </c>
      <c r="G57" s="251"/>
      <c r="H57" s="251"/>
      <c r="I57" s="252"/>
      <c r="J57" s="19"/>
      <c r="K57" s="28" t="s">
        <v>143</v>
      </c>
      <c r="L57" s="250" t="s">
        <v>142</v>
      </c>
      <c r="M57" s="251"/>
      <c r="N57" s="251"/>
      <c r="O57" s="252"/>
      <c r="P57" s="19"/>
      <c r="Q57" s="21" t="s">
        <v>149</v>
      </c>
      <c r="R57" s="259" t="s">
        <v>150</v>
      </c>
      <c r="S57" s="260"/>
      <c r="U57" s="47" t="s">
        <v>151</v>
      </c>
      <c r="V57" s="240" t="s">
        <v>152</v>
      </c>
      <c r="W57" s="240"/>
      <c r="X57" s="240"/>
      <c r="Y57" s="240" t="s">
        <v>153</v>
      </c>
      <c r="Z57" s="240"/>
      <c r="AA57" s="240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</row>
    <row r="58" spans="2:60">
      <c r="C58" s="19"/>
      <c r="D58" s="19"/>
      <c r="E58" s="31" t="s">
        <v>33</v>
      </c>
      <c r="F58" s="250" t="s">
        <v>154</v>
      </c>
      <c r="G58" s="251"/>
      <c r="H58" s="251"/>
      <c r="I58" s="252"/>
      <c r="J58" s="19"/>
      <c r="K58" s="28" t="s">
        <v>155</v>
      </c>
      <c r="L58" s="250" t="s">
        <v>142</v>
      </c>
      <c r="M58" s="251"/>
      <c r="N58" s="251"/>
      <c r="O58" s="252"/>
      <c r="P58" s="19"/>
      <c r="Q58" s="21" t="s">
        <v>156</v>
      </c>
      <c r="R58" s="282" t="s">
        <v>157</v>
      </c>
      <c r="S58" s="282"/>
      <c r="U58" s="58" t="s">
        <v>100</v>
      </c>
      <c r="V58" s="240" t="s">
        <v>158</v>
      </c>
      <c r="W58" s="240"/>
      <c r="X58" s="240"/>
      <c r="Y58" s="240" t="s">
        <v>159</v>
      </c>
      <c r="Z58" s="240"/>
      <c r="AA58" s="240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</row>
    <row r="59" spans="2:60">
      <c r="C59" s="19"/>
      <c r="D59" s="19"/>
      <c r="E59" s="32" t="s">
        <v>20</v>
      </c>
      <c r="F59" s="250" t="s">
        <v>160</v>
      </c>
      <c r="G59" s="251"/>
      <c r="H59" s="251"/>
      <c r="I59" s="252"/>
      <c r="J59" s="19"/>
      <c r="K59" s="33" t="s">
        <v>81</v>
      </c>
      <c r="L59" s="250" t="s">
        <v>161</v>
      </c>
      <c r="M59" s="251"/>
      <c r="N59" s="251"/>
      <c r="O59" s="252"/>
      <c r="P59" s="19"/>
      <c r="Q59" s="21" t="s">
        <v>162</v>
      </c>
      <c r="R59" s="282" t="s">
        <v>163</v>
      </c>
      <c r="S59" s="282"/>
      <c r="U59" s="59" t="s">
        <v>164</v>
      </c>
      <c r="V59" s="240" t="s">
        <v>165</v>
      </c>
      <c r="W59" s="240"/>
      <c r="X59" s="240"/>
      <c r="Y59" s="240" t="s">
        <v>166</v>
      </c>
      <c r="Z59" s="240"/>
      <c r="AA59" s="240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</row>
    <row r="60" spans="2:60">
      <c r="C60" s="19"/>
      <c r="D60" s="19"/>
      <c r="E60" s="32" t="s">
        <v>36</v>
      </c>
      <c r="F60" s="250" t="s">
        <v>167</v>
      </c>
      <c r="G60" s="251"/>
      <c r="H60" s="251"/>
      <c r="I60" s="252"/>
      <c r="J60" s="19"/>
      <c r="K60" s="28" t="s">
        <v>168</v>
      </c>
      <c r="L60" s="250" t="s">
        <v>161</v>
      </c>
      <c r="M60" s="251"/>
      <c r="N60" s="251"/>
      <c r="O60" s="252"/>
      <c r="T60" s="19"/>
      <c r="U60" s="72" t="s">
        <v>169</v>
      </c>
      <c r="V60" s="240" t="s">
        <v>170</v>
      </c>
      <c r="W60" s="240"/>
      <c r="X60" s="240"/>
      <c r="Y60" s="240" t="s">
        <v>171</v>
      </c>
      <c r="Z60" s="240"/>
      <c r="AA60" s="240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</row>
    <row r="61" spans="2:60">
      <c r="C61" s="19"/>
      <c r="D61" s="19"/>
      <c r="E61" s="34" t="s">
        <v>26</v>
      </c>
      <c r="F61" s="250" t="s">
        <v>172</v>
      </c>
      <c r="G61" s="251"/>
      <c r="H61" s="251"/>
      <c r="I61" s="252"/>
      <c r="J61" s="19"/>
      <c r="K61" s="28" t="s">
        <v>173</v>
      </c>
      <c r="L61" s="250" t="s">
        <v>161</v>
      </c>
      <c r="M61" s="251"/>
      <c r="N61" s="251"/>
      <c r="O61" s="252"/>
      <c r="T61" s="19"/>
      <c r="U61" s="60" t="s">
        <v>21</v>
      </c>
      <c r="V61" s="240" t="s">
        <v>174</v>
      </c>
      <c r="W61" s="240"/>
      <c r="X61" s="240"/>
      <c r="Y61" s="240" t="s">
        <v>175</v>
      </c>
      <c r="Z61" s="240"/>
      <c r="AA61" s="240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</row>
    <row r="62" spans="2:60">
      <c r="C62" s="19"/>
      <c r="D62" s="19"/>
      <c r="E62" s="34" t="s">
        <v>176</v>
      </c>
      <c r="F62" s="250" t="s">
        <v>177</v>
      </c>
      <c r="G62" s="251"/>
      <c r="H62" s="251"/>
      <c r="I62" s="252"/>
      <c r="J62" s="19"/>
      <c r="K62" s="28" t="s">
        <v>178</v>
      </c>
      <c r="L62" s="250" t="s">
        <v>161</v>
      </c>
      <c r="M62" s="251"/>
      <c r="N62" s="251"/>
      <c r="O62" s="252"/>
      <c r="T62" s="19"/>
      <c r="U62" s="61" t="s">
        <v>179</v>
      </c>
      <c r="V62" s="240" t="s">
        <v>180</v>
      </c>
      <c r="W62" s="240"/>
      <c r="X62" s="240"/>
      <c r="Y62" s="240" t="s">
        <v>181</v>
      </c>
      <c r="Z62" s="240"/>
      <c r="AA62" s="240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</row>
    <row r="63" spans="2:60">
      <c r="C63" s="19"/>
      <c r="D63" s="19"/>
      <c r="E63" s="32" t="s">
        <v>182</v>
      </c>
      <c r="F63" s="250" t="s">
        <v>183</v>
      </c>
      <c r="G63" s="251"/>
      <c r="H63" s="251"/>
      <c r="I63" s="252"/>
      <c r="J63" s="19"/>
      <c r="K63" s="27" t="s">
        <v>67</v>
      </c>
      <c r="L63" s="250" t="s">
        <v>161</v>
      </c>
      <c r="M63" s="251"/>
      <c r="N63" s="251"/>
      <c r="O63" s="252"/>
      <c r="P63" s="19"/>
      <c r="Q63" s="19"/>
      <c r="R63" s="19"/>
      <c r="S63" s="19"/>
      <c r="T63" s="19"/>
      <c r="U63" s="62" t="s">
        <v>184</v>
      </c>
      <c r="V63" s="240" t="s">
        <v>185</v>
      </c>
      <c r="W63" s="240"/>
      <c r="X63" s="240"/>
      <c r="Y63" s="240" t="s">
        <v>186</v>
      </c>
      <c r="Z63" s="240"/>
      <c r="AA63" s="240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</row>
    <row r="64" spans="2:60">
      <c r="C64" s="19"/>
      <c r="D64" s="19"/>
      <c r="E64" s="33" t="s">
        <v>30</v>
      </c>
      <c r="F64" s="250" t="s">
        <v>187</v>
      </c>
      <c r="G64" s="251"/>
      <c r="H64" s="251"/>
      <c r="I64" s="252"/>
      <c r="J64" s="19"/>
      <c r="K64" s="28" t="s">
        <v>188</v>
      </c>
      <c r="L64" s="250" t="s">
        <v>161</v>
      </c>
      <c r="M64" s="251"/>
      <c r="N64" s="251"/>
      <c r="O64" s="252"/>
      <c r="P64" s="19"/>
      <c r="Q64" s="19"/>
      <c r="R64" s="19"/>
      <c r="S64" s="19"/>
      <c r="T64" s="19"/>
      <c r="U64" s="50" t="s">
        <v>42</v>
      </c>
      <c r="V64" s="240" t="s">
        <v>189</v>
      </c>
      <c r="W64" s="240"/>
      <c r="X64" s="240"/>
      <c r="Y64" s="240" t="s">
        <v>190</v>
      </c>
      <c r="Z64" s="240"/>
      <c r="AA64" s="240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</row>
    <row r="65" spans="3:60">
      <c r="C65" s="19"/>
      <c r="D65" s="19"/>
      <c r="E65" s="35" t="s">
        <v>191</v>
      </c>
      <c r="F65" s="250" t="s">
        <v>192</v>
      </c>
      <c r="G65" s="251"/>
      <c r="H65" s="251"/>
      <c r="I65" s="252"/>
      <c r="J65" s="19"/>
      <c r="K65" s="28" t="s">
        <v>193</v>
      </c>
      <c r="L65" s="250" t="s">
        <v>161</v>
      </c>
      <c r="M65" s="251"/>
      <c r="N65" s="251"/>
      <c r="O65" s="252"/>
      <c r="P65" s="19"/>
      <c r="Q65" s="19"/>
      <c r="R65" s="19"/>
      <c r="S65" s="19"/>
      <c r="T65" s="19"/>
      <c r="U65" s="51" t="s">
        <v>194</v>
      </c>
      <c r="V65" s="240" t="s">
        <v>195</v>
      </c>
      <c r="W65" s="240"/>
      <c r="X65" s="240"/>
      <c r="Y65" s="240" t="s">
        <v>196</v>
      </c>
      <c r="Z65" s="240"/>
      <c r="AA65" s="240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</row>
    <row r="66" spans="3:60">
      <c r="C66" s="19"/>
      <c r="D66" s="19"/>
      <c r="E66" s="36" t="s">
        <v>197</v>
      </c>
      <c r="F66" s="250" t="s">
        <v>198</v>
      </c>
      <c r="G66" s="251"/>
      <c r="H66" s="251"/>
      <c r="I66" s="252"/>
      <c r="J66" s="19"/>
      <c r="K66" s="37" t="s">
        <v>199</v>
      </c>
      <c r="L66" s="250" t="s">
        <v>161</v>
      </c>
      <c r="M66" s="251"/>
      <c r="N66" s="251"/>
      <c r="O66" s="252"/>
      <c r="P66" s="19"/>
      <c r="Q66" s="19"/>
      <c r="R66" s="19"/>
      <c r="S66" s="19"/>
      <c r="T66" s="19"/>
      <c r="U66" s="49" t="s">
        <v>200</v>
      </c>
      <c r="V66" s="240" t="s">
        <v>201</v>
      </c>
      <c r="W66" s="240"/>
      <c r="X66" s="240"/>
      <c r="Y66" s="240" t="s">
        <v>202</v>
      </c>
      <c r="Z66" s="240"/>
      <c r="AA66" s="240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</row>
    <row r="67" spans="3:60">
      <c r="C67" s="19"/>
      <c r="D67" s="19"/>
      <c r="E67" s="27" t="s">
        <v>203</v>
      </c>
      <c r="F67" s="250" t="s">
        <v>204</v>
      </c>
      <c r="G67" s="251"/>
      <c r="H67" s="251"/>
      <c r="I67" s="252"/>
      <c r="J67" s="19"/>
      <c r="K67" s="28" t="s">
        <v>205</v>
      </c>
      <c r="L67" s="250" t="s">
        <v>161</v>
      </c>
      <c r="M67" s="251"/>
      <c r="N67" s="251"/>
      <c r="O67" s="252"/>
      <c r="P67" s="19"/>
      <c r="Q67" s="19"/>
      <c r="R67" s="19"/>
      <c r="S67" s="19"/>
      <c r="T67" s="19"/>
      <c r="U67" s="63" t="s">
        <v>206</v>
      </c>
      <c r="V67" s="240" t="s">
        <v>207</v>
      </c>
      <c r="W67" s="240"/>
      <c r="X67" s="240"/>
      <c r="Y67" s="240" t="s">
        <v>208</v>
      </c>
      <c r="Z67" s="240"/>
      <c r="AA67" s="240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</row>
    <row r="68" spans="3:60">
      <c r="C68" s="19"/>
      <c r="D68" s="19"/>
      <c r="E68" s="36" t="s">
        <v>209</v>
      </c>
      <c r="F68" s="250" t="s">
        <v>210</v>
      </c>
      <c r="G68" s="251"/>
      <c r="H68" s="251"/>
      <c r="I68" s="252"/>
      <c r="J68" s="19"/>
      <c r="K68" s="38" t="s">
        <v>211</v>
      </c>
      <c r="L68" s="250" t="s">
        <v>212</v>
      </c>
      <c r="M68" s="251"/>
      <c r="N68" s="251"/>
      <c r="O68" s="252"/>
      <c r="P68" s="19"/>
      <c r="Q68" s="19"/>
      <c r="R68" s="19"/>
      <c r="S68" s="19"/>
      <c r="T68" s="19"/>
      <c r="U68" s="56" t="s">
        <v>116</v>
      </c>
      <c r="V68" s="240" t="s">
        <v>213</v>
      </c>
      <c r="W68" s="240"/>
      <c r="X68" s="240"/>
      <c r="Y68" s="240" t="s">
        <v>214</v>
      </c>
      <c r="Z68" s="240"/>
      <c r="AA68" s="240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</row>
    <row r="69" spans="3:60">
      <c r="C69" s="19"/>
      <c r="D69" s="19"/>
      <c r="U69" s="54" t="s">
        <v>215</v>
      </c>
      <c r="V69" s="240" t="s">
        <v>216</v>
      </c>
      <c r="W69" s="240"/>
      <c r="X69" s="240"/>
      <c r="Y69" s="240" t="s">
        <v>217</v>
      </c>
      <c r="Z69" s="240"/>
      <c r="AA69" s="240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</row>
    <row r="70" spans="3:60"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55" t="s">
        <v>113</v>
      </c>
      <c r="V70" s="240" t="s">
        <v>218</v>
      </c>
      <c r="W70" s="240"/>
      <c r="X70" s="240"/>
      <c r="Y70" s="240" t="s">
        <v>219</v>
      </c>
      <c r="Z70" s="240"/>
      <c r="AA70" s="240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</row>
    <row r="71" spans="3:60"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64" t="s">
        <v>220</v>
      </c>
      <c r="V71" s="240" t="s">
        <v>221</v>
      </c>
      <c r="W71" s="240"/>
      <c r="X71" s="240"/>
      <c r="Y71" s="240" t="s">
        <v>222</v>
      </c>
      <c r="Z71" s="240"/>
      <c r="AA71" s="240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</row>
    <row r="72" spans="3:60"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65" t="s">
        <v>223</v>
      </c>
      <c r="V72" s="240" t="s">
        <v>224</v>
      </c>
      <c r="W72" s="240"/>
      <c r="X72" s="240"/>
      <c r="Y72" s="240" t="s">
        <v>225</v>
      </c>
      <c r="Z72" s="240"/>
      <c r="AA72" s="240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</row>
    <row r="73" spans="3:60"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66" t="s">
        <v>226</v>
      </c>
      <c r="V73" s="240" t="s">
        <v>227</v>
      </c>
      <c r="W73" s="240"/>
      <c r="X73" s="240"/>
      <c r="Y73" s="240" t="s">
        <v>228</v>
      </c>
      <c r="Z73" s="240"/>
      <c r="AA73" s="240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</row>
    <row r="74" spans="3:60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67" t="s">
        <v>84</v>
      </c>
      <c r="V74" s="240" t="s">
        <v>229</v>
      </c>
      <c r="W74" s="240"/>
      <c r="X74" s="240"/>
      <c r="Y74" s="240" t="s">
        <v>230</v>
      </c>
      <c r="Z74" s="240"/>
      <c r="AA74" s="240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</row>
    <row r="75" spans="3:60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68" t="s">
        <v>41</v>
      </c>
      <c r="V75" s="240" t="s">
        <v>231</v>
      </c>
      <c r="W75" s="240"/>
      <c r="X75" s="240"/>
      <c r="Y75" s="240" t="s">
        <v>232</v>
      </c>
      <c r="Z75" s="240"/>
      <c r="AA75" s="240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</row>
    <row r="76" spans="3:60"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69" t="s">
        <v>233</v>
      </c>
      <c r="V76" s="240" t="s">
        <v>234</v>
      </c>
      <c r="W76" s="240"/>
      <c r="X76" s="240"/>
      <c r="Y76" s="240" t="s">
        <v>235</v>
      </c>
      <c r="Z76" s="240"/>
      <c r="AA76" s="240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</row>
    <row r="77" spans="3:60"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70" t="s">
        <v>66</v>
      </c>
      <c r="V77" s="240" t="s">
        <v>236</v>
      </c>
      <c r="W77" s="240"/>
      <c r="X77" s="240"/>
      <c r="Y77" s="240" t="s">
        <v>237</v>
      </c>
      <c r="Z77" s="240"/>
      <c r="AA77" s="240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</row>
    <row r="78" spans="3:60"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52" t="s">
        <v>23</v>
      </c>
      <c r="V78" s="240" t="s">
        <v>238</v>
      </c>
      <c r="W78" s="240"/>
      <c r="X78" s="240"/>
      <c r="Y78" s="240" t="s">
        <v>239</v>
      </c>
      <c r="Z78" s="240"/>
      <c r="AA78" s="240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</row>
    <row r="79" spans="3:60"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53" t="s">
        <v>240</v>
      </c>
      <c r="V79" s="240" t="s">
        <v>241</v>
      </c>
      <c r="W79" s="240"/>
      <c r="X79" s="240"/>
      <c r="Y79" s="240" t="s">
        <v>242</v>
      </c>
      <c r="Z79" s="240"/>
      <c r="AA79" s="240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</row>
    <row r="80" spans="3:60"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71" t="s">
        <v>243</v>
      </c>
      <c r="V80" s="240" t="s">
        <v>244</v>
      </c>
      <c r="W80" s="240"/>
      <c r="X80" s="240"/>
      <c r="Y80" s="240" t="s">
        <v>245</v>
      </c>
      <c r="Z80" s="240"/>
      <c r="AA80" s="240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</row>
    <row r="81" spans="3:60"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48" t="s">
        <v>246</v>
      </c>
      <c r="V81" s="240" t="s">
        <v>247</v>
      </c>
      <c r="W81" s="240"/>
      <c r="X81" s="240"/>
      <c r="Y81" s="240" t="s">
        <v>248</v>
      </c>
      <c r="Z81" s="240"/>
      <c r="AA81" s="240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</row>
    <row r="82" spans="3:60"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</row>
    <row r="83" spans="3:60"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</row>
    <row r="84" spans="3:60"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</row>
    <row r="85" spans="3:60"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</row>
    <row r="86" spans="3:60"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</row>
    <row r="87" spans="3:60"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</row>
    <row r="88" spans="3:60"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</row>
    <row r="89" spans="3:60"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</row>
    <row r="90" spans="3:60"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</row>
    <row r="91" spans="3:60"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</row>
    <row r="92" spans="3:60"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</row>
    <row r="93" spans="3:60"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</row>
    <row r="94" spans="3:60"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</row>
    <row r="95" spans="3:60"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</row>
    <row r="96" spans="3:60"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</row>
    <row r="97" spans="3:60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</row>
    <row r="98" spans="3:60"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</row>
    <row r="99" spans="3:60"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</row>
    <row r="100" spans="3:60"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</row>
    <row r="101" spans="3:60"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</row>
    <row r="102" spans="3:60"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</row>
    <row r="103" spans="3:60"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</row>
    <row r="104" spans="3:60"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</row>
    <row r="105" spans="3:60"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</row>
    <row r="106" spans="3:60"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</row>
    <row r="107" spans="3:60"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</row>
    <row r="108" spans="3:60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</row>
    <row r="109" spans="3:60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</row>
    <row r="110" spans="3:60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</row>
    <row r="111" spans="3:60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</row>
    <row r="112" spans="3:60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</row>
    <row r="113" spans="3:60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</row>
    <row r="114" spans="3:60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</row>
    <row r="115" spans="3:60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</row>
    <row r="116" spans="3:60"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</row>
    <row r="117" spans="3:60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</row>
    <row r="118" spans="3:60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</row>
    <row r="119" spans="3:60"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</row>
    <row r="120" spans="3:60"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</row>
    <row r="121" spans="3:60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</row>
    <row r="122" spans="3:60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</row>
    <row r="123" spans="3:60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</row>
    <row r="124" spans="3:60"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</row>
    <row r="125" spans="3:60"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</row>
    <row r="126" spans="3:60"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</row>
    <row r="127" spans="3:60"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</row>
    <row r="128" spans="3:60"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</row>
    <row r="129" spans="3:60"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</row>
    <row r="130" spans="3:60"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</row>
    <row r="131" spans="3:60"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</row>
    <row r="132" spans="3:60"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</row>
    <row r="133" spans="3:60"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</row>
    <row r="134" spans="3:60"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</row>
    <row r="135" spans="3:60"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</row>
    <row r="136" spans="3:60"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</row>
    <row r="137" spans="3:60"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</row>
    <row r="138" spans="3:60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</row>
    <row r="139" spans="3:60"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</row>
    <row r="140" spans="3:60"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</row>
    <row r="141" spans="3:60"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</row>
    <row r="142" spans="3:60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</row>
    <row r="143" spans="3:60"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</row>
    <row r="144" spans="3:60"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</row>
    <row r="145" spans="3:60"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</row>
    <row r="146" spans="3:60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</row>
    <row r="147" spans="3:60"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</row>
    <row r="148" spans="3:60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</row>
    <row r="149" spans="3:60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</row>
    <row r="150" spans="3:60"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</row>
    <row r="151" spans="3:60"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</row>
    <row r="152" spans="3:60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</row>
    <row r="153" spans="3:60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</row>
    <row r="154" spans="3:60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</row>
    <row r="155" spans="3:60"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</row>
    <row r="156" spans="3:60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</row>
    <row r="157" spans="3:60"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</row>
    <row r="158" spans="3:60"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</row>
    <row r="159" spans="3:60"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</row>
    <row r="160" spans="3:60"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</row>
    <row r="161" spans="3:60"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</row>
    <row r="162" spans="3:60"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</row>
    <row r="163" spans="3:60"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</row>
    <row r="164" spans="3:60"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</row>
    <row r="165" spans="3:60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</row>
    <row r="166" spans="3:60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</row>
    <row r="167" spans="3:60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</row>
    <row r="168" spans="3:60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</row>
    <row r="169" spans="3:60"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</row>
    <row r="170" spans="3:60"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</row>
    <row r="171" spans="3:60"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</row>
    <row r="172" spans="3:60"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</row>
    <row r="173" spans="3:60"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</row>
    <row r="174" spans="3:60"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</row>
    <row r="175" spans="3:60"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</row>
    <row r="176" spans="3:60"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</row>
    <row r="177" spans="3:60"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</row>
    <row r="178" spans="3:60"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</row>
    <row r="179" spans="3:60"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</row>
    <row r="180" spans="3:60"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</row>
    <row r="181" spans="3:60"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</row>
    <row r="182" spans="3:60"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</row>
    <row r="183" spans="3:60"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</row>
    <row r="184" spans="3:60"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</row>
    <row r="185" spans="3:60"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</row>
    <row r="186" spans="3:60"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</row>
    <row r="187" spans="3:60"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</row>
    <row r="188" spans="3:60"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</row>
    <row r="189" spans="3:60"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</row>
    <row r="190" spans="3:60"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</row>
    <row r="191" spans="3:60"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</row>
    <row r="192" spans="3:60"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</row>
    <row r="193" spans="3:60"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</row>
    <row r="194" spans="3:60"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</row>
    <row r="195" spans="3:60"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</row>
    <row r="196" spans="3:60"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</row>
    <row r="197" spans="3:60"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</row>
    <row r="198" spans="3:60"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</row>
    <row r="199" spans="3:60"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</row>
    <row r="200" spans="3:60"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</row>
    <row r="201" spans="3:60"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</row>
    <row r="202" spans="3:60"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</row>
    <row r="203" spans="3:60"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</row>
    <row r="204" spans="3:60"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</row>
    <row r="205" spans="3:60"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</row>
    <row r="206" spans="3:60"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</row>
    <row r="207" spans="3:60"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</row>
    <row r="208" spans="3:60"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</row>
    <row r="209" spans="3:60"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</row>
    <row r="210" spans="3:60"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</row>
    <row r="211" spans="3:60"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</row>
    <row r="212" spans="3:60"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</row>
    <row r="213" spans="3:60"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</row>
    <row r="214" spans="3:60"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</row>
    <row r="215" spans="3:60"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</row>
    <row r="216" spans="3:60"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</row>
    <row r="217" spans="3:60"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</row>
    <row r="218" spans="3:60"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</row>
    <row r="219" spans="3:60"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</row>
    <row r="220" spans="3:60"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</row>
    <row r="221" spans="3:60"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</row>
    <row r="222" spans="3:60"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</row>
    <row r="223" spans="3:60"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</row>
    <row r="224" spans="3:60"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</row>
    <row r="225" spans="3:60"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</row>
    <row r="226" spans="3:60"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</row>
    <row r="227" spans="3:60"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</row>
    <row r="228" spans="3:60"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</row>
    <row r="229" spans="3:60"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</row>
    <row r="230" spans="3:60"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</row>
    <row r="231" spans="3:60"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</row>
    <row r="232" spans="3:60"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</row>
    <row r="233" spans="3:60"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</row>
    <row r="234" spans="3:60"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</row>
    <row r="235" spans="3:60"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</row>
    <row r="236" spans="3:60"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</row>
    <row r="237" spans="3:60"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</row>
    <row r="238" spans="3:60"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</row>
    <row r="239" spans="3:60"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</row>
    <row r="240" spans="3:60"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</row>
    <row r="241" spans="3:60"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</row>
    <row r="242" spans="3:60"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</row>
    <row r="243" spans="3:60"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</row>
    <row r="244" spans="3:60"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</row>
    <row r="245" spans="3:60"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</row>
    <row r="246" spans="3:60"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</row>
    <row r="247" spans="3:60"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</row>
    <row r="248" spans="3:60"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</row>
    <row r="249" spans="3:60"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</row>
    <row r="250" spans="3:60"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</row>
    <row r="251" spans="3:60"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</row>
    <row r="252" spans="3:60"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</row>
    <row r="253" spans="3:60"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</row>
    <row r="254" spans="3:60"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</row>
    <row r="255" spans="3:60"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</row>
    <row r="256" spans="3:60"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</row>
    <row r="257" spans="3:60"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</row>
    <row r="258" spans="3:60"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</row>
    <row r="259" spans="3:60"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</row>
    <row r="260" spans="3:60"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</row>
    <row r="261" spans="3:60"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</row>
    <row r="262" spans="3:60"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</row>
    <row r="263" spans="3:60"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</row>
    <row r="264" spans="3:60"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</row>
    <row r="265" spans="3:60"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</row>
    <row r="266" spans="3:60"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</row>
    <row r="267" spans="3:60"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</row>
    <row r="268" spans="3:60"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</row>
    <row r="269" spans="3:60"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</row>
    <row r="270" spans="3:60"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</row>
    <row r="271" spans="3:60"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</row>
    <row r="272" spans="3:60"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</row>
    <row r="273" spans="3:60"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</row>
    <row r="274" spans="3:60"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</row>
    <row r="275" spans="3:60"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</row>
    <row r="276" spans="3:60"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</row>
    <row r="277" spans="3:60"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</row>
    <row r="278" spans="3:60"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</row>
    <row r="279" spans="3:60"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</row>
    <row r="280" spans="3:60"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</row>
    <row r="281" spans="3:60"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</row>
    <row r="282" spans="3:60"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</row>
    <row r="283" spans="3:60"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</row>
    <row r="284" spans="3:60"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</row>
    <row r="285" spans="3:60"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</row>
    <row r="286" spans="3:60"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</row>
    <row r="287" spans="3:60"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</row>
    <row r="288" spans="3:60"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</row>
    <row r="289" spans="3:60"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</row>
    <row r="290" spans="3:60"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</row>
    <row r="291" spans="3:60"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</row>
    <row r="292" spans="3:60"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</row>
    <row r="293" spans="3:60"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</row>
    <row r="294" spans="3:60"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</row>
    <row r="295" spans="3:60"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</row>
    <row r="296" spans="3:60"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</row>
    <row r="297" spans="3:60"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</row>
    <row r="298" spans="3:60"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</row>
    <row r="299" spans="3:60"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</row>
    <row r="300" spans="3:60"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</row>
    <row r="301" spans="3:60"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</row>
    <row r="302" spans="3:60"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</row>
    <row r="303" spans="3:60"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</row>
    <row r="304" spans="3:60"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</row>
    <row r="305" spans="3:60"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</row>
    <row r="306" spans="3:60"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</row>
    <row r="307" spans="3:60"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</row>
    <row r="308" spans="3:60"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</row>
    <row r="309" spans="3:60"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</row>
    <row r="310" spans="3:60"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</row>
    <row r="311" spans="3:60"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</row>
    <row r="312" spans="3:60"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</row>
    <row r="313" spans="3:60"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</row>
    <row r="314" spans="3:60"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</row>
    <row r="315" spans="3:60"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</row>
    <row r="316" spans="3:60"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</row>
    <row r="317" spans="3:60"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</row>
    <row r="318" spans="3:60"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</row>
    <row r="319" spans="3:60"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</row>
    <row r="320" spans="3:60"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</row>
    <row r="321" spans="3:60"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</row>
    <row r="322" spans="3:60"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</row>
    <row r="323" spans="3:60"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</row>
    <row r="324" spans="3:60"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</row>
    <row r="325" spans="3:60"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</row>
    <row r="326" spans="3:60"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</row>
    <row r="327" spans="3:60"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</row>
    <row r="328" spans="3:60"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</row>
  </sheetData>
  <mergeCells count="108">
    <mergeCell ref="V80:X80"/>
    <mergeCell ref="Y80:AA80"/>
    <mergeCell ref="V76:X76"/>
    <mergeCell ref="Y76:AA76"/>
    <mergeCell ref="V77:X77"/>
    <mergeCell ref="Y77:AA77"/>
    <mergeCell ref="V78:X78"/>
    <mergeCell ref="Y78:AA78"/>
    <mergeCell ref="F61:I61"/>
    <mergeCell ref="L61:O61"/>
    <mergeCell ref="F62:I62"/>
    <mergeCell ref="L62:O62"/>
    <mergeCell ref="F63:I63"/>
    <mergeCell ref="L63:O63"/>
    <mergeCell ref="F67:I67"/>
    <mergeCell ref="L67:O67"/>
    <mergeCell ref="Y62:AA62"/>
    <mergeCell ref="V62:X62"/>
    <mergeCell ref="V66:X66"/>
    <mergeCell ref="Y61:AA61"/>
    <mergeCell ref="V61:X61"/>
    <mergeCell ref="V63:X63"/>
    <mergeCell ref="Y63:AA63"/>
    <mergeCell ref="V64:X64"/>
    <mergeCell ref="R59:S59"/>
    <mergeCell ref="V57:X57"/>
    <mergeCell ref="Y57:AA57"/>
    <mergeCell ref="V58:X58"/>
    <mergeCell ref="Y58:AA58"/>
    <mergeCell ref="V59:X59"/>
    <mergeCell ref="Y59:AA59"/>
    <mergeCell ref="V79:X79"/>
    <mergeCell ref="Y79:AA79"/>
    <mergeCell ref="Y64:AA64"/>
    <mergeCell ref="V65:X65"/>
    <mergeCell ref="Y65:AA65"/>
    <mergeCell ref="Y74:AA74"/>
    <mergeCell ref="V75:X75"/>
    <mergeCell ref="Y75:AA75"/>
    <mergeCell ref="V70:X70"/>
    <mergeCell ref="Y70:AA70"/>
    <mergeCell ref="V71:X71"/>
    <mergeCell ref="Y71:AA71"/>
    <mergeCell ref="Y66:AA66"/>
    <mergeCell ref="V67:X67"/>
    <mergeCell ref="Y67:AA67"/>
    <mergeCell ref="V72:X72"/>
    <mergeCell ref="Y72:AA72"/>
    <mergeCell ref="V56:X56"/>
    <mergeCell ref="Y56:AA56"/>
    <mergeCell ref="V60:X60"/>
    <mergeCell ref="AJ2:AL3"/>
    <mergeCell ref="B2:B4"/>
    <mergeCell ref="C2:D2"/>
    <mergeCell ref="E2:AH2"/>
    <mergeCell ref="C3:D4"/>
    <mergeCell ref="Y60:AA60"/>
    <mergeCell ref="F54:I54"/>
    <mergeCell ref="L54:O54"/>
    <mergeCell ref="Q54:S54"/>
    <mergeCell ref="V54:X54"/>
    <mergeCell ref="Y54:AA54"/>
    <mergeCell ref="V55:X55"/>
    <mergeCell ref="B49:B50"/>
    <mergeCell ref="B25:B35"/>
    <mergeCell ref="C49:D49"/>
    <mergeCell ref="C50:D50"/>
    <mergeCell ref="C51:D51"/>
    <mergeCell ref="F59:I59"/>
    <mergeCell ref="L59:O59"/>
    <mergeCell ref="F60:I60"/>
    <mergeCell ref="L60:O60"/>
    <mergeCell ref="F57:I57"/>
    <mergeCell ref="L57:O57"/>
    <mergeCell ref="F58:I58"/>
    <mergeCell ref="L58:O58"/>
    <mergeCell ref="F55:I55"/>
    <mergeCell ref="L55:O55"/>
    <mergeCell ref="F56:I56"/>
    <mergeCell ref="L56:O56"/>
    <mergeCell ref="R55:S55"/>
    <mergeCell ref="R56:S56"/>
    <mergeCell ref="R57:S57"/>
    <mergeCell ref="R58:S58"/>
    <mergeCell ref="B5:B12"/>
    <mergeCell ref="B13:B24"/>
    <mergeCell ref="B36:B39"/>
    <mergeCell ref="B40:B47"/>
    <mergeCell ref="AN2:AP3"/>
    <mergeCell ref="AR2:AR4"/>
    <mergeCell ref="V81:X81"/>
    <mergeCell ref="Y81:AA81"/>
    <mergeCell ref="F68:I68"/>
    <mergeCell ref="L68:O68"/>
    <mergeCell ref="F64:I64"/>
    <mergeCell ref="L64:O64"/>
    <mergeCell ref="F65:I65"/>
    <mergeCell ref="L65:O65"/>
    <mergeCell ref="F66:I66"/>
    <mergeCell ref="L66:O66"/>
    <mergeCell ref="V69:X69"/>
    <mergeCell ref="Y69:AA69"/>
    <mergeCell ref="V68:X68"/>
    <mergeCell ref="Y68:AA68"/>
    <mergeCell ref="V73:X73"/>
    <mergeCell ref="Y73:AA73"/>
    <mergeCell ref="V74:X74"/>
    <mergeCell ref="Y55:AA55"/>
  </mergeCells>
  <conditionalFormatting sqref="AL5:AL47">
    <cfRule type="cellIs" dxfId="23" priority="2" operator="greaterThan">
      <formula>1</formula>
    </cfRule>
    <cfRule type="cellIs" dxfId="22" priority="3" operator="equal">
      <formula>1</formula>
    </cfRule>
    <cfRule type="cellIs" dxfId="21" priority="4" operator="greaterThan">
      <formula>0</formula>
    </cfRule>
  </conditionalFormatting>
  <conditionalFormatting sqref="AP5:AP47">
    <cfRule type="cellIs" dxfId="20" priority="1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" operator="equal" id="{BE859FDB-B1D6-4AC0-B3C2-8604BC668EBE}">
            <xm:f>Sheet1!$B$3</xm:f>
            <x14:dxf>
              <fill>
                <patternFill>
                  <bgColor theme="6" tint="0.79998168889431442"/>
                </patternFill>
              </fill>
            </x14:dxf>
          </x14:cfRule>
          <x14:cfRule type="cellIs" priority="7" operator="equal" id="{1ACA84B9-A037-48DC-BC9B-92AB70154B75}">
            <xm:f>Sheet1!$B$2</xm:f>
            <x14:dxf>
              <fill>
                <patternFill>
                  <bgColor rgb="FFFFFF99"/>
                </patternFill>
              </fill>
            </x14:dxf>
          </x14:cfRule>
          <xm:sqref>B2:B4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9A95D1-992E-4D27-9B9F-6B92260483AA}">
          <x14:formula1>
            <xm:f>Sheet1!$B$2:$B$3</xm:f>
          </x14:formula1>
          <xm:sqref>B2:B4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3E5E-D33D-4B2F-BE6E-E46A650A9ED2}">
  <dimension ref="B2:BH329"/>
  <sheetViews>
    <sheetView showGridLines="0" zoomScaleNormal="100" workbookViewId="0">
      <pane xSplit="4" ySplit="4" topLeftCell="E20" activePane="bottomRight" state="frozen"/>
      <selection pane="bottomRight" activeCell="O35" sqref="O35"/>
      <selection pane="bottomLeft"/>
      <selection pane="topRight"/>
    </sheetView>
  </sheetViews>
  <sheetFormatPr defaultRowHeight="15"/>
  <cols>
    <col min="1" max="2" width="9.140625" style="18"/>
    <col min="3" max="3" width="20.7109375" style="18" customWidth="1"/>
    <col min="4" max="4" width="25.85546875" style="18" customWidth="1"/>
    <col min="5" max="35" width="6" style="18" customWidth="1"/>
    <col min="36" max="40" width="9.140625" style="18"/>
    <col min="41" max="41" width="10.7109375" style="18" customWidth="1"/>
    <col min="42" max="44" width="9.140625" style="18"/>
    <col min="45" max="45" width="10" style="18" customWidth="1"/>
    <col min="46" max="16384" width="9.140625" style="18"/>
  </cols>
  <sheetData>
    <row r="2" spans="2:60" ht="15.75" customHeight="1">
      <c r="B2" s="270" t="s">
        <v>0</v>
      </c>
      <c r="C2" s="267" t="s">
        <v>2</v>
      </c>
      <c r="D2" s="267"/>
      <c r="E2" s="253" t="s">
        <v>3</v>
      </c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5"/>
      <c r="AK2" s="241" t="s">
        <v>4</v>
      </c>
      <c r="AL2" s="242"/>
      <c r="AM2" s="243"/>
      <c r="AO2" s="241" t="s">
        <v>5</v>
      </c>
      <c r="AP2" s="242"/>
      <c r="AQ2" s="243"/>
      <c r="AS2" s="247" t="s">
        <v>6</v>
      </c>
    </row>
    <row r="3" spans="2:60" ht="15.75" customHeight="1">
      <c r="B3" s="271"/>
      <c r="C3" s="268" t="s">
        <v>260</v>
      </c>
      <c r="D3" s="268"/>
      <c r="E3" s="1" t="s">
        <v>8</v>
      </c>
      <c r="F3" s="1" t="s">
        <v>9</v>
      </c>
      <c r="G3" s="2" t="s">
        <v>10</v>
      </c>
      <c r="H3" s="2" t="s">
        <v>11</v>
      </c>
      <c r="I3" s="13" t="s">
        <v>12</v>
      </c>
      <c r="J3" s="1" t="s">
        <v>13</v>
      </c>
      <c r="K3" s="1" t="s">
        <v>14</v>
      </c>
      <c r="L3" s="1" t="s">
        <v>8</v>
      </c>
      <c r="M3" s="12" t="s">
        <v>9</v>
      </c>
      <c r="N3" s="2" t="s">
        <v>10</v>
      </c>
      <c r="O3" s="2" t="s">
        <v>11</v>
      </c>
      <c r="P3" s="1" t="s">
        <v>12</v>
      </c>
      <c r="Q3" s="1" t="s">
        <v>13</v>
      </c>
      <c r="R3" s="1" t="s">
        <v>14</v>
      </c>
      <c r="S3" s="1" t="s">
        <v>8</v>
      </c>
      <c r="T3" s="12" t="s">
        <v>9</v>
      </c>
      <c r="U3" s="2" t="s">
        <v>10</v>
      </c>
      <c r="V3" s="2" t="s">
        <v>11</v>
      </c>
      <c r="W3" s="1" t="s">
        <v>12</v>
      </c>
      <c r="X3" s="1" t="s">
        <v>13</v>
      </c>
      <c r="Y3" s="1" t="s">
        <v>14</v>
      </c>
      <c r="Z3" s="1" t="s">
        <v>8</v>
      </c>
      <c r="AA3" s="12" t="s">
        <v>9</v>
      </c>
      <c r="AB3" s="2" t="s">
        <v>10</v>
      </c>
      <c r="AC3" s="2" t="s">
        <v>11</v>
      </c>
      <c r="AD3" s="1" t="s">
        <v>12</v>
      </c>
      <c r="AE3" s="1" t="s">
        <v>13</v>
      </c>
      <c r="AF3" s="1" t="s">
        <v>14</v>
      </c>
      <c r="AG3" s="1" t="s">
        <v>8</v>
      </c>
      <c r="AH3" s="12" t="s">
        <v>9</v>
      </c>
      <c r="AI3" s="3" t="s">
        <v>10</v>
      </c>
      <c r="AK3" s="244"/>
      <c r="AL3" s="245"/>
      <c r="AM3" s="246"/>
      <c r="AO3" s="244"/>
      <c r="AP3" s="245"/>
      <c r="AQ3" s="246"/>
      <c r="AS3" s="248"/>
    </row>
    <row r="4" spans="2:60" ht="15.75">
      <c r="B4" s="291"/>
      <c r="C4" s="292"/>
      <c r="D4" s="292"/>
      <c r="E4" s="4">
        <v>1</v>
      </c>
      <c r="F4" s="4">
        <v>2</v>
      </c>
      <c r="G4" s="16">
        <v>3</v>
      </c>
      <c r="H4" s="16">
        <v>4</v>
      </c>
      <c r="I4" s="14">
        <v>5</v>
      </c>
      <c r="J4" s="4">
        <v>6</v>
      </c>
      <c r="K4" s="4">
        <v>7</v>
      </c>
      <c r="L4" s="4">
        <v>8</v>
      </c>
      <c r="M4" s="4">
        <v>9</v>
      </c>
      <c r="N4" s="16">
        <v>10</v>
      </c>
      <c r="O4" s="16">
        <v>11</v>
      </c>
      <c r="P4" s="4">
        <v>12</v>
      </c>
      <c r="Q4" s="4">
        <v>13</v>
      </c>
      <c r="R4" s="4">
        <v>14</v>
      </c>
      <c r="S4" s="4">
        <v>15</v>
      </c>
      <c r="T4" s="4">
        <v>16</v>
      </c>
      <c r="U4" s="16">
        <v>17</v>
      </c>
      <c r="V4" s="16">
        <v>18</v>
      </c>
      <c r="W4" s="4">
        <v>19</v>
      </c>
      <c r="X4" s="4">
        <v>20</v>
      </c>
      <c r="Y4" s="4">
        <v>21</v>
      </c>
      <c r="Z4" s="4">
        <v>22</v>
      </c>
      <c r="AA4" s="4">
        <v>23</v>
      </c>
      <c r="AB4" s="16">
        <v>24</v>
      </c>
      <c r="AC4" s="16">
        <v>25</v>
      </c>
      <c r="AD4" s="4">
        <v>26</v>
      </c>
      <c r="AE4" s="4">
        <v>27</v>
      </c>
      <c r="AF4" s="4">
        <v>28</v>
      </c>
      <c r="AG4" s="4">
        <v>29</v>
      </c>
      <c r="AH4" s="4">
        <v>30</v>
      </c>
      <c r="AI4" s="17">
        <v>31</v>
      </c>
      <c r="AK4" s="23">
        <v>2025</v>
      </c>
      <c r="AL4" s="24" t="s">
        <v>15</v>
      </c>
      <c r="AM4" s="23" t="s">
        <v>16</v>
      </c>
      <c r="AN4" s="25"/>
      <c r="AO4" s="23">
        <v>2026</v>
      </c>
      <c r="AP4" s="24" t="s">
        <v>15</v>
      </c>
      <c r="AQ4" s="23" t="s">
        <v>16</v>
      </c>
      <c r="AS4" s="249"/>
    </row>
    <row r="5" spans="2:60" ht="15" customHeight="1">
      <c r="B5" s="288" t="s">
        <v>17</v>
      </c>
      <c r="C5" s="129" t="s">
        <v>18</v>
      </c>
      <c r="D5" s="20" t="s">
        <v>19</v>
      </c>
      <c r="E5" s="60" t="s">
        <v>21</v>
      </c>
      <c r="F5" s="60" t="s">
        <v>21</v>
      </c>
      <c r="G5" s="60" t="s">
        <v>21</v>
      </c>
      <c r="H5" s="60" t="s">
        <v>21</v>
      </c>
      <c r="I5" s="28" t="s">
        <v>22</v>
      </c>
      <c r="J5" s="28" t="s">
        <v>22</v>
      </c>
      <c r="K5" s="74" t="s">
        <v>23</v>
      </c>
      <c r="L5" s="74" t="s">
        <v>23</v>
      </c>
      <c r="M5" s="74" t="s">
        <v>23</v>
      </c>
      <c r="N5" s="74" t="s">
        <v>23</v>
      </c>
      <c r="O5" s="28" t="s">
        <v>22</v>
      </c>
      <c r="P5" s="28" t="s">
        <v>22</v>
      </c>
      <c r="Q5" s="60" t="s">
        <v>21</v>
      </c>
      <c r="R5" s="60" t="s">
        <v>21</v>
      </c>
      <c r="S5" s="60" t="s">
        <v>21</v>
      </c>
      <c r="T5" s="60" t="s">
        <v>21</v>
      </c>
      <c r="U5" s="28" t="s">
        <v>22</v>
      </c>
      <c r="V5" s="28" t="s">
        <v>22</v>
      </c>
      <c r="W5" s="74" t="s">
        <v>23</v>
      </c>
      <c r="X5" s="74" t="s">
        <v>23</v>
      </c>
      <c r="Y5" s="74" t="s">
        <v>23</v>
      </c>
      <c r="Z5" s="74" t="s">
        <v>23</v>
      </c>
      <c r="AA5" s="28" t="s">
        <v>22</v>
      </c>
      <c r="AB5" s="28" t="s">
        <v>22</v>
      </c>
      <c r="AC5" s="60" t="s">
        <v>21</v>
      </c>
      <c r="AD5" s="60" t="s">
        <v>21</v>
      </c>
      <c r="AE5" s="60" t="s">
        <v>21</v>
      </c>
      <c r="AF5" s="60" t="s">
        <v>21</v>
      </c>
      <c r="AG5" s="28" t="s">
        <v>22</v>
      </c>
      <c r="AH5" s="28" t="s">
        <v>22</v>
      </c>
      <c r="AI5" s="74" t="s">
        <v>23</v>
      </c>
      <c r="AJ5" s="19"/>
      <c r="AK5" s="20"/>
      <c r="AL5" s="21">
        <f t="shared" ref="AL5:AL47" si="0">COUNTIF(E5:AI5, "UA")</f>
        <v>0</v>
      </c>
      <c r="AM5" s="20">
        <f t="shared" ref="AM5:AM47" si="1">AK5-AL5</f>
        <v>0</v>
      </c>
      <c r="AN5" s="19"/>
      <c r="AO5" s="20"/>
      <c r="AP5" s="21">
        <f t="shared" ref="AP5:AP47" si="2">COUNTIF(E5:AI5, "U")</f>
        <v>0</v>
      </c>
      <c r="AQ5" s="20">
        <f t="shared" ref="AQ5:AQ47" si="3">AO5-AP5</f>
        <v>0</v>
      </c>
      <c r="AR5" s="19"/>
      <c r="AS5" s="21">
        <f t="shared" ref="AS5:AS47" si="4">COUNTIF(E5:AI5,"P*")+COUNTIF(E5:AI5,"H*")+COUNTIF(E5:AI5,"T*")-COUNTIF(E5:AI5,"H")-COUNTIF(E5:AI5,"P")</f>
        <v>21</v>
      </c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</row>
    <row r="6" spans="2:60">
      <c r="B6" s="288"/>
      <c r="C6" s="130" t="s">
        <v>24</v>
      </c>
      <c r="D6" s="20" t="s">
        <v>25</v>
      </c>
      <c r="E6" s="28" t="s">
        <v>22</v>
      </c>
      <c r="F6" s="28" t="s">
        <v>22</v>
      </c>
      <c r="G6" s="74" t="s">
        <v>23</v>
      </c>
      <c r="H6" s="74" t="s">
        <v>23</v>
      </c>
      <c r="I6" s="74" t="s">
        <v>23</v>
      </c>
      <c r="J6" s="74" t="s">
        <v>23</v>
      </c>
      <c r="K6" s="28" t="s">
        <v>22</v>
      </c>
      <c r="L6" s="28" t="s">
        <v>22</v>
      </c>
      <c r="M6" s="60" t="s">
        <v>21</v>
      </c>
      <c r="N6" s="60" t="s">
        <v>21</v>
      </c>
      <c r="O6" s="60" t="s">
        <v>21</v>
      </c>
      <c r="P6" s="60" t="s">
        <v>21</v>
      </c>
      <c r="Q6" s="28" t="s">
        <v>22</v>
      </c>
      <c r="R6" s="28" t="s">
        <v>22</v>
      </c>
      <c r="S6" s="74" t="s">
        <v>23</v>
      </c>
      <c r="T6" s="74" t="s">
        <v>23</v>
      </c>
      <c r="U6" s="74" t="s">
        <v>23</v>
      </c>
      <c r="V6" s="74" t="s">
        <v>23</v>
      </c>
      <c r="W6" s="28" t="s">
        <v>22</v>
      </c>
      <c r="X6" s="28" t="s">
        <v>22</v>
      </c>
      <c r="Y6" s="60" t="s">
        <v>21</v>
      </c>
      <c r="Z6" s="60" t="s">
        <v>21</v>
      </c>
      <c r="AA6" s="60" t="s">
        <v>21</v>
      </c>
      <c r="AB6" s="60" t="s">
        <v>21</v>
      </c>
      <c r="AC6" s="28" t="s">
        <v>22</v>
      </c>
      <c r="AD6" s="28" t="s">
        <v>22</v>
      </c>
      <c r="AE6" s="74" t="s">
        <v>23</v>
      </c>
      <c r="AF6" s="74" t="s">
        <v>23</v>
      </c>
      <c r="AG6" s="74" t="s">
        <v>23</v>
      </c>
      <c r="AH6" s="74" t="s">
        <v>23</v>
      </c>
      <c r="AI6" s="28" t="s">
        <v>22</v>
      </c>
      <c r="AJ6" s="19"/>
      <c r="AK6" s="20"/>
      <c r="AL6" s="21">
        <f t="shared" si="0"/>
        <v>0</v>
      </c>
      <c r="AM6" s="20">
        <f t="shared" si="1"/>
        <v>0</v>
      </c>
      <c r="AN6" s="19"/>
      <c r="AO6" s="20"/>
      <c r="AP6" s="21">
        <f t="shared" si="2"/>
        <v>0</v>
      </c>
      <c r="AQ6" s="20">
        <f t="shared" si="3"/>
        <v>0</v>
      </c>
      <c r="AR6" s="19"/>
      <c r="AS6" s="21">
        <f t="shared" si="4"/>
        <v>20</v>
      </c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</row>
    <row r="7" spans="2:60" ht="15" customHeight="1">
      <c r="B7" s="288"/>
      <c r="C7" s="20" t="s">
        <v>27</v>
      </c>
      <c r="D7" s="20" t="s">
        <v>28</v>
      </c>
      <c r="E7" s="60" t="s">
        <v>21</v>
      </c>
      <c r="F7" s="60" t="s">
        <v>21</v>
      </c>
      <c r="G7" s="60" t="s">
        <v>21</v>
      </c>
      <c r="H7" s="28" t="s">
        <v>22</v>
      </c>
      <c r="I7" s="28" t="s">
        <v>22</v>
      </c>
      <c r="J7" s="74" t="s">
        <v>23</v>
      </c>
      <c r="K7" s="74" t="s">
        <v>23</v>
      </c>
      <c r="L7" s="74" t="s">
        <v>23</v>
      </c>
      <c r="M7" s="74" t="s">
        <v>23</v>
      </c>
      <c r="N7" s="28" t="s">
        <v>22</v>
      </c>
      <c r="O7" s="28" t="s">
        <v>22</v>
      </c>
      <c r="P7" s="60" t="s">
        <v>21</v>
      </c>
      <c r="Q7" s="60" t="s">
        <v>21</v>
      </c>
      <c r="R7" s="60" t="s">
        <v>21</v>
      </c>
      <c r="S7" s="60" t="s">
        <v>21</v>
      </c>
      <c r="T7" s="28" t="s">
        <v>22</v>
      </c>
      <c r="U7" s="28" t="s">
        <v>22</v>
      </c>
      <c r="V7" s="74" t="s">
        <v>23</v>
      </c>
      <c r="W7" s="74" t="s">
        <v>23</v>
      </c>
      <c r="X7" s="74" t="s">
        <v>23</v>
      </c>
      <c r="Y7" s="74" t="s">
        <v>23</v>
      </c>
      <c r="Z7" s="28" t="s">
        <v>22</v>
      </c>
      <c r="AA7" s="28" t="s">
        <v>22</v>
      </c>
      <c r="AB7" s="60" t="s">
        <v>21</v>
      </c>
      <c r="AC7" s="60" t="s">
        <v>21</v>
      </c>
      <c r="AD7" s="60" t="s">
        <v>21</v>
      </c>
      <c r="AE7" s="60" t="s">
        <v>21</v>
      </c>
      <c r="AF7" s="28" t="s">
        <v>22</v>
      </c>
      <c r="AG7" s="28" t="s">
        <v>22</v>
      </c>
      <c r="AH7" s="74" t="s">
        <v>23</v>
      </c>
      <c r="AI7" s="74" t="s">
        <v>23</v>
      </c>
      <c r="AJ7" s="19"/>
      <c r="AK7" s="20"/>
      <c r="AL7" s="21">
        <f t="shared" si="0"/>
        <v>0</v>
      </c>
      <c r="AM7" s="20">
        <f t="shared" si="1"/>
        <v>0</v>
      </c>
      <c r="AN7" s="19"/>
      <c r="AO7" s="26"/>
      <c r="AP7" s="21">
        <f t="shared" si="2"/>
        <v>0</v>
      </c>
      <c r="AQ7" s="44">
        <f t="shared" si="3"/>
        <v>0</v>
      </c>
      <c r="AR7" s="19"/>
      <c r="AS7" s="21">
        <f t="shared" si="4"/>
        <v>21</v>
      </c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</row>
    <row r="8" spans="2:60" ht="15" customHeight="1">
      <c r="B8" s="288"/>
      <c r="C8" s="22" t="s">
        <v>31</v>
      </c>
      <c r="D8" s="20" t="s">
        <v>32</v>
      </c>
      <c r="E8" s="28" t="s">
        <v>22</v>
      </c>
      <c r="F8" s="60" t="s">
        <v>21</v>
      </c>
      <c r="G8" s="60" t="s">
        <v>21</v>
      </c>
      <c r="H8" s="60" t="s">
        <v>21</v>
      </c>
      <c r="I8" s="60" t="s">
        <v>21</v>
      </c>
      <c r="J8" s="28" t="s">
        <v>22</v>
      </c>
      <c r="K8" s="28" t="s">
        <v>22</v>
      </c>
      <c r="L8" s="74" t="s">
        <v>23</v>
      </c>
      <c r="M8" s="74" t="s">
        <v>23</v>
      </c>
      <c r="N8" s="74" t="s">
        <v>23</v>
      </c>
      <c r="O8" s="74" t="s">
        <v>23</v>
      </c>
      <c r="P8" s="28" t="s">
        <v>22</v>
      </c>
      <c r="Q8" s="28" t="s">
        <v>22</v>
      </c>
      <c r="R8" s="60" t="s">
        <v>21</v>
      </c>
      <c r="S8" s="60" t="s">
        <v>21</v>
      </c>
      <c r="T8" s="60" t="s">
        <v>21</v>
      </c>
      <c r="U8" s="60" t="s">
        <v>21</v>
      </c>
      <c r="V8" s="28" t="s">
        <v>22</v>
      </c>
      <c r="W8" s="28" t="s">
        <v>22</v>
      </c>
      <c r="X8" s="74" t="s">
        <v>23</v>
      </c>
      <c r="Y8" s="74" t="s">
        <v>23</v>
      </c>
      <c r="Z8" s="74" t="s">
        <v>23</v>
      </c>
      <c r="AA8" s="74" t="s">
        <v>23</v>
      </c>
      <c r="AB8" s="28" t="s">
        <v>22</v>
      </c>
      <c r="AC8" s="28" t="s">
        <v>22</v>
      </c>
      <c r="AD8" s="60" t="s">
        <v>21</v>
      </c>
      <c r="AE8" s="60" t="s">
        <v>21</v>
      </c>
      <c r="AF8" s="60" t="s">
        <v>21</v>
      </c>
      <c r="AG8" s="60" t="s">
        <v>21</v>
      </c>
      <c r="AH8" s="28" t="s">
        <v>22</v>
      </c>
      <c r="AI8" s="28" t="s">
        <v>22</v>
      </c>
      <c r="AJ8" s="19"/>
      <c r="AK8" s="20"/>
      <c r="AL8" s="21">
        <f t="shared" si="0"/>
        <v>0</v>
      </c>
      <c r="AM8" s="20">
        <f t="shared" si="1"/>
        <v>0</v>
      </c>
      <c r="AN8" s="19"/>
      <c r="AO8" s="20"/>
      <c r="AP8" s="21">
        <f t="shared" si="2"/>
        <v>0</v>
      </c>
      <c r="AQ8" s="20">
        <f t="shared" si="3"/>
        <v>0</v>
      </c>
      <c r="AR8" s="19"/>
      <c r="AS8" s="21">
        <f t="shared" si="4"/>
        <v>20</v>
      </c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</row>
    <row r="9" spans="2:60" ht="15" customHeight="1">
      <c r="B9" s="288"/>
      <c r="C9" s="20" t="s">
        <v>34</v>
      </c>
      <c r="D9" s="20" t="s">
        <v>35</v>
      </c>
      <c r="E9" s="60" t="s">
        <v>21</v>
      </c>
      <c r="F9" s="28" t="s">
        <v>22</v>
      </c>
      <c r="G9" s="28" t="s">
        <v>22</v>
      </c>
      <c r="H9" s="74" t="s">
        <v>23</v>
      </c>
      <c r="I9" s="74" t="s">
        <v>23</v>
      </c>
      <c r="J9" s="74" t="s">
        <v>23</v>
      </c>
      <c r="K9" s="74" t="s">
        <v>23</v>
      </c>
      <c r="L9" s="28" t="s">
        <v>22</v>
      </c>
      <c r="M9" s="28" t="s">
        <v>22</v>
      </c>
      <c r="N9" s="60" t="s">
        <v>21</v>
      </c>
      <c r="O9" s="60" t="s">
        <v>21</v>
      </c>
      <c r="P9" s="60" t="s">
        <v>21</v>
      </c>
      <c r="Q9" s="60" t="s">
        <v>21</v>
      </c>
      <c r="R9" s="28" t="s">
        <v>22</v>
      </c>
      <c r="S9" s="28" t="s">
        <v>22</v>
      </c>
      <c r="T9" s="74" t="s">
        <v>23</v>
      </c>
      <c r="U9" s="74" t="s">
        <v>23</v>
      </c>
      <c r="V9" s="74" t="s">
        <v>23</v>
      </c>
      <c r="W9" s="74" t="s">
        <v>23</v>
      </c>
      <c r="X9" s="28" t="s">
        <v>22</v>
      </c>
      <c r="Y9" s="28" t="s">
        <v>22</v>
      </c>
      <c r="Z9" s="60" t="s">
        <v>21</v>
      </c>
      <c r="AA9" s="60" t="s">
        <v>21</v>
      </c>
      <c r="AB9" s="60" t="s">
        <v>21</v>
      </c>
      <c r="AC9" s="60" t="s">
        <v>21</v>
      </c>
      <c r="AD9" s="28" t="s">
        <v>22</v>
      </c>
      <c r="AE9" s="28" t="s">
        <v>22</v>
      </c>
      <c r="AF9" s="74" t="s">
        <v>23</v>
      </c>
      <c r="AG9" s="74" t="s">
        <v>23</v>
      </c>
      <c r="AH9" s="74" t="s">
        <v>23</v>
      </c>
      <c r="AI9" s="74" t="s">
        <v>23</v>
      </c>
      <c r="AJ9" s="19"/>
      <c r="AK9" s="20"/>
      <c r="AL9" s="21">
        <f t="shared" si="0"/>
        <v>0</v>
      </c>
      <c r="AM9" s="20">
        <f t="shared" si="1"/>
        <v>0</v>
      </c>
      <c r="AN9" s="19"/>
      <c r="AO9" s="20"/>
      <c r="AP9" s="21">
        <f t="shared" si="2"/>
        <v>0</v>
      </c>
      <c r="AQ9" s="20">
        <f t="shared" si="3"/>
        <v>0</v>
      </c>
      <c r="AR9" s="19"/>
      <c r="AS9" s="21">
        <f t="shared" si="4"/>
        <v>21</v>
      </c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</row>
    <row r="10" spans="2:60" ht="15" customHeight="1">
      <c r="B10" s="288"/>
      <c r="C10" s="22" t="s">
        <v>37</v>
      </c>
      <c r="D10" s="20" t="s">
        <v>38</v>
      </c>
      <c r="E10" s="28" t="s">
        <v>22</v>
      </c>
      <c r="F10" s="74" t="s">
        <v>23</v>
      </c>
      <c r="G10" s="74" t="s">
        <v>23</v>
      </c>
      <c r="H10" s="74" t="s">
        <v>23</v>
      </c>
      <c r="I10" s="74" t="s">
        <v>23</v>
      </c>
      <c r="J10" s="28" t="s">
        <v>22</v>
      </c>
      <c r="K10" s="28" t="s">
        <v>22</v>
      </c>
      <c r="L10" s="60" t="s">
        <v>21</v>
      </c>
      <c r="M10" s="60" t="s">
        <v>21</v>
      </c>
      <c r="N10" s="75" t="s">
        <v>26</v>
      </c>
      <c r="O10" s="60" t="s">
        <v>21</v>
      </c>
      <c r="P10" s="28" t="s">
        <v>22</v>
      </c>
      <c r="Q10" s="28" t="s">
        <v>22</v>
      </c>
      <c r="R10" s="74" t="s">
        <v>23</v>
      </c>
      <c r="S10" s="74" t="s">
        <v>23</v>
      </c>
      <c r="T10" s="74" t="s">
        <v>23</v>
      </c>
      <c r="U10" s="74" t="s">
        <v>23</v>
      </c>
      <c r="V10" s="28" t="s">
        <v>22</v>
      </c>
      <c r="W10" s="28" t="s">
        <v>22</v>
      </c>
      <c r="X10" s="60" t="s">
        <v>21</v>
      </c>
      <c r="Y10" s="60" t="s">
        <v>21</v>
      </c>
      <c r="Z10" s="60" t="s">
        <v>21</v>
      </c>
      <c r="AA10" s="60" t="s">
        <v>21</v>
      </c>
      <c r="AB10" s="28" t="s">
        <v>22</v>
      </c>
      <c r="AC10" s="28" t="s">
        <v>22</v>
      </c>
      <c r="AD10" s="74" t="s">
        <v>23</v>
      </c>
      <c r="AE10" s="74" t="s">
        <v>23</v>
      </c>
      <c r="AF10" s="74" t="s">
        <v>23</v>
      </c>
      <c r="AG10" s="74" t="s">
        <v>23</v>
      </c>
      <c r="AH10" s="28" t="s">
        <v>22</v>
      </c>
      <c r="AI10" s="28" t="s">
        <v>22</v>
      </c>
      <c r="AJ10" s="19"/>
      <c r="AK10" s="20"/>
      <c r="AL10" s="21">
        <f t="shared" si="0"/>
        <v>0</v>
      </c>
      <c r="AM10" s="20">
        <f t="shared" si="1"/>
        <v>0</v>
      </c>
      <c r="AN10" s="19"/>
      <c r="AO10" s="20"/>
      <c r="AP10" s="21">
        <f t="shared" si="2"/>
        <v>0</v>
      </c>
      <c r="AQ10" s="20">
        <f t="shared" si="3"/>
        <v>0</v>
      </c>
      <c r="AR10" s="19"/>
      <c r="AS10" s="21">
        <f t="shared" si="4"/>
        <v>19</v>
      </c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</row>
    <row r="11" spans="2:60" ht="15" customHeight="1">
      <c r="B11" s="288"/>
      <c r="C11" s="20" t="s">
        <v>39</v>
      </c>
      <c r="D11" s="20" t="s">
        <v>40</v>
      </c>
      <c r="E11" s="74" t="s">
        <v>23</v>
      </c>
      <c r="F11" s="28" t="s">
        <v>22</v>
      </c>
      <c r="G11" s="28" t="s">
        <v>22</v>
      </c>
      <c r="H11" s="60" t="s">
        <v>21</v>
      </c>
      <c r="I11" s="60" t="s">
        <v>21</v>
      </c>
      <c r="J11" s="60" t="s">
        <v>21</v>
      </c>
      <c r="K11" s="60" t="s">
        <v>21</v>
      </c>
      <c r="L11" s="28" t="s">
        <v>22</v>
      </c>
      <c r="M11" s="28" t="s">
        <v>22</v>
      </c>
      <c r="N11" s="74" t="s">
        <v>23</v>
      </c>
      <c r="O11" s="74" t="s">
        <v>23</v>
      </c>
      <c r="P11" s="74" t="s">
        <v>23</v>
      </c>
      <c r="Q11" s="74" t="s">
        <v>23</v>
      </c>
      <c r="R11" s="28" t="s">
        <v>22</v>
      </c>
      <c r="S11" s="28" t="s">
        <v>22</v>
      </c>
      <c r="T11" s="60" t="s">
        <v>21</v>
      </c>
      <c r="U11" s="60" t="s">
        <v>21</v>
      </c>
      <c r="V11" s="60" t="s">
        <v>21</v>
      </c>
      <c r="W11" s="60" t="s">
        <v>21</v>
      </c>
      <c r="X11" s="28" t="s">
        <v>22</v>
      </c>
      <c r="Y11" s="28" t="s">
        <v>22</v>
      </c>
      <c r="Z11" s="74" t="s">
        <v>23</v>
      </c>
      <c r="AA11" s="74" t="s">
        <v>23</v>
      </c>
      <c r="AB11" s="74" t="s">
        <v>23</v>
      </c>
      <c r="AC11" s="74" t="s">
        <v>23</v>
      </c>
      <c r="AD11" s="28" t="s">
        <v>22</v>
      </c>
      <c r="AE11" s="28" t="s">
        <v>22</v>
      </c>
      <c r="AF11" s="60" t="s">
        <v>21</v>
      </c>
      <c r="AG11" s="60" t="s">
        <v>21</v>
      </c>
      <c r="AH11" s="60" t="s">
        <v>21</v>
      </c>
      <c r="AI11" s="60" t="s">
        <v>21</v>
      </c>
      <c r="AJ11" s="19"/>
      <c r="AK11" s="20"/>
      <c r="AL11" s="21">
        <f t="shared" si="0"/>
        <v>0</v>
      </c>
      <c r="AM11" s="20">
        <f t="shared" si="1"/>
        <v>0</v>
      </c>
      <c r="AN11" s="19"/>
      <c r="AO11" s="20"/>
      <c r="AP11" s="21">
        <f t="shared" si="2"/>
        <v>0</v>
      </c>
      <c r="AQ11" s="20">
        <f t="shared" si="3"/>
        <v>0</v>
      </c>
      <c r="AR11" s="19"/>
      <c r="AS11" s="21">
        <f t="shared" si="4"/>
        <v>21</v>
      </c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</row>
    <row r="12" spans="2:60" ht="15" customHeight="1">
      <c r="B12" s="288"/>
      <c r="C12" s="108" t="s">
        <v>43</v>
      </c>
      <c r="D12" s="109" t="s">
        <v>44</v>
      </c>
      <c r="E12" s="112" t="s">
        <v>23</v>
      </c>
      <c r="F12" s="112" t="s">
        <v>23</v>
      </c>
      <c r="G12" s="112" t="s">
        <v>23</v>
      </c>
      <c r="H12" s="110" t="s">
        <v>22</v>
      </c>
      <c r="I12" s="110" t="s">
        <v>22</v>
      </c>
      <c r="J12" s="111" t="s">
        <v>21</v>
      </c>
      <c r="K12" s="111" t="s">
        <v>21</v>
      </c>
      <c r="L12" s="111" t="s">
        <v>21</v>
      </c>
      <c r="M12" s="111" t="s">
        <v>21</v>
      </c>
      <c r="N12" s="110" t="s">
        <v>22</v>
      </c>
      <c r="O12" s="110" t="s">
        <v>22</v>
      </c>
      <c r="P12" s="112" t="s">
        <v>23</v>
      </c>
      <c r="Q12" s="112" t="s">
        <v>23</v>
      </c>
      <c r="R12" s="112" t="s">
        <v>23</v>
      </c>
      <c r="S12" s="112" t="s">
        <v>23</v>
      </c>
      <c r="T12" s="110" t="s">
        <v>22</v>
      </c>
      <c r="U12" s="110" t="s">
        <v>22</v>
      </c>
      <c r="V12" s="111" t="s">
        <v>21</v>
      </c>
      <c r="W12" s="111" t="s">
        <v>21</v>
      </c>
      <c r="X12" s="111" t="s">
        <v>21</v>
      </c>
      <c r="Y12" s="111" t="s">
        <v>21</v>
      </c>
      <c r="Z12" s="110" t="s">
        <v>22</v>
      </c>
      <c r="AA12" s="110" t="s">
        <v>22</v>
      </c>
      <c r="AB12" s="112" t="s">
        <v>23</v>
      </c>
      <c r="AC12" s="112" t="s">
        <v>23</v>
      </c>
      <c r="AD12" s="112" t="s">
        <v>23</v>
      </c>
      <c r="AE12" s="112" t="s">
        <v>23</v>
      </c>
      <c r="AF12" s="110" t="s">
        <v>22</v>
      </c>
      <c r="AG12" s="110" t="s">
        <v>22</v>
      </c>
      <c r="AH12" s="111" t="s">
        <v>21</v>
      </c>
      <c r="AI12" s="111" t="s">
        <v>21</v>
      </c>
      <c r="AJ12" s="19"/>
      <c r="AK12" s="20"/>
      <c r="AL12" s="21">
        <f t="shared" si="0"/>
        <v>0</v>
      </c>
      <c r="AM12" s="20">
        <f t="shared" si="1"/>
        <v>0</v>
      </c>
      <c r="AN12" s="19"/>
      <c r="AO12" s="20"/>
      <c r="AP12" s="21">
        <f t="shared" si="2"/>
        <v>0</v>
      </c>
      <c r="AQ12" s="20">
        <f t="shared" si="3"/>
        <v>0</v>
      </c>
      <c r="AR12" s="19"/>
      <c r="AS12" s="21">
        <f t="shared" si="4"/>
        <v>21</v>
      </c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</row>
    <row r="13" spans="2:60">
      <c r="B13" s="280" t="s">
        <v>45</v>
      </c>
      <c r="C13" s="88" t="s">
        <v>46</v>
      </c>
      <c r="D13" s="88" t="s">
        <v>47</v>
      </c>
      <c r="E13" s="102" t="s">
        <v>23</v>
      </c>
      <c r="F13" s="103" t="s">
        <v>22</v>
      </c>
      <c r="G13" s="103" t="s">
        <v>22</v>
      </c>
      <c r="H13" s="104" t="s">
        <v>21</v>
      </c>
      <c r="I13" s="104" t="s">
        <v>21</v>
      </c>
      <c r="J13" s="104" t="s">
        <v>21</v>
      </c>
      <c r="K13" s="104" t="s">
        <v>21</v>
      </c>
      <c r="L13" s="103" t="s">
        <v>22</v>
      </c>
      <c r="M13" s="103" t="s">
        <v>22</v>
      </c>
      <c r="N13" s="104" t="s">
        <v>21</v>
      </c>
      <c r="O13" s="104" t="s">
        <v>21</v>
      </c>
      <c r="P13" s="104" t="s">
        <v>21</v>
      </c>
      <c r="Q13" s="104" t="s">
        <v>21</v>
      </c>
      <c r="R13" s="103" t="s">
        <v>22</v>
      </c>
      <c r="S13" s="103" t="s">
        <v>22</v>
      </c>
      <c r="T13" s="115" t="s">
        <v>29</v>
      </c>
      <c r="U13" s="115" t="s">
        <v>29</v>
      </c>
      <c r="V13" s="115" t="s">
        <v>29</v>
      </c>
      <c r="W13" s="115" t="s">
        <v>29</v>
      </c>
      <c r="X13" s="103" t="s">
        <v>22</v>
      </c>
      <c r="Y13" s="103" t="s">
        <v>22</v>
      </c>
      <c r="Z13" s="102" t="s">
        <v>23</v>
      </c>
      <c r="AA13" s="102" t="s">
        <v>23</v>
      </c>
      <c r="AB13" s="102" t="s">
        <v>23</v>
      </c>
      <c r="AC13" s="102" t="s">
        <v>23</v>
      </c>
      <c r="AD13" s="103" t="s">
        <v>22</v>
      </c>
      <c r="AE13" s="103" t="s">
        <v>22</v>
      </c>
      <c r="AF13" s="104" t="s">
        <v>21</v>
      </c>
      <c r="AG13" s="104" t="s">
        <v>21</v>
      </c>
      <c r="AH13" s="104" t="s">
        <v>21</v>
      </c>
      <c r="AI13" s="179" t="s">
        <v>21</v>
      </c>
      <c r="AJ13" s="19"/>
      <c r="AK13" s="20"/>
      <c r="AL13" s="21">
        <f t="shared" si="0"/>
        <v>0</v>
      </c>
      <c r="AM13" s="20">
        <f t="shared" si="1"/>
        <v>0</v>
      </c>
      <c r="AN13" s="19"/>
      <c r="AO13" s="20"/>
      <c r="AP13" s="21">
        <f t="shared" si="2"/>
        <v>0</v>
      </c>
      <c r="AQ13" s="20">
        <f t="shared" si="3"/>
        <v>0</v>
      </c>
      <c r="AR13" s="19"/>
      <c r="AS13" s="21">
        <f t="shared" si="4"/>
        <v>21</v>
      </c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</row>
    <row r="14" spans="2:60">
      <c r="B14" s="276"/>
      <c r="C14" s="22" t="s">
        <v>48</v>
      </c>
      <c r="D14" s="20" t="s">
        <v>49</v>
      </c>
      <c r="E14" s="28" t="s">
        <v>22</v>
      </c>
      <c r="F14" s="74" t="s">
        <v>23</v>
      </c>
      <c r="G14" s="74" t="s">
        <v>23</v>
      </c>
      <c r="H14" s="74" t="s">
        <v>23</v>
      </c>
      <c r="I14" s="74" t="s">
        <v>23</v>
      </c>
      <c r="J14" s="28" t="s">
        <v>22</v>
      </c>
      <c r="K14" s="28" t="s">
        <v>22</v>
      </c>
      <c r="L14" s="60" t="s">
        <v>21</v>
      </c>
      <c r="M14" s="60" t="s">
        <v>21</v>
      </c>
      <c r="N14" s="60" t="s">
        <v>21</v>
      </c>
      <c r="O14" s="60" t="s">
        <v>21</v>
      </c>
      <c r="P14" s="28" t="s">
        <v>22</v>
      </c>
      <c r="Q14" s="28" t="s">
        <v>22</v>
      </c>
      <c r="R14" s="60" t="s">
        <v>21</v>
      </c>
      <c r="S14" s="60" t="s">
        <v>21</v>
      </c>
      <c r="T14" s="60" t="s">
        <v>21</v>
      </c>
      <c r="U14" s="60" t="s">
        <v>21</v>
      </c>
      <c r="V14" s="28" t="s">
        <v>22</v>
      </c>
      <c r="W14" s="28" t="s">
        <v>22</v>
      </c>
      <c r="X14" s="78" t="s">
        <v>29</v>
      </c>
      <c r="Y14" s="78" t="s">
        <v>29</v>
      </c>
      <c r="Z14" s="78" t="s">
        <v>29</v>
      </c>
      <c r="AA14" s="78" t="s">
        <v>29</v>
      </c>
      <c r="AB14" s="28" t="s">
        <v>22</v>
      </c>
      <c r="AC14" s="28" t="s">
        <v>22</v>
      </c>
      <c r="AD14" s="74" t="s">
        <v>23</v>
      </c>
      <c r="AE14" s="74" t="s">
        <v>23</v>
      </c>
      <c r="AF14" s="74" t="s">
        <v>23</v>
      </c>
      <c r="AG14" s="74" t="s">
        <v>23</v>
      </c>
      <c r="AH14" s="28" t="s">
        <v>22</v>
      </c>
      <c r="AI14" s="91" t="s">
        <v>22</v>
      </c>
      <c r="AJ14" s="19"/>
      <c r="AK14" s="20"/>
      <c r="AL14" s="21">
        <f t="shared" si="0"/>
        <v>0</v>
      </c>
      <c r="AM14" s="20">
        <f t="shared" si="1"/>
        <v>0</v>
      </c>
      <c r="AN14" s="19"/>
      <c r="AO14" s="20"/>
      <c r="AP14" s="21">
        <f t="shared" si="2"/>
        <v>0</v>
      </c>
      <c r="AQ14" s="20">
        <f t="shared" si="3"/>
        <v>0</v>
      </c>
      <c r="AR14" s="19"/>
      <c r="AS14" s="21">
        <f t="shared" si="4"/>
        <v>20</v>
      </c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</row>
    <row r="15" spans="2:60">
      <c r="B15" s="276"/>
      <c r="C15" s="20" t="s">
        <v>50</v>
      </c>
      <c r="D15" s="20" t="s">
        <v>51</v>
      </c>
      <c r="E15" s="60" t="s">
        <v>21</v>
      </c>
      <c r="F15" s="60" t="s">
        <v>21</v>
      </c>
      <c r="G15" s="60" t="s">
        <v>21</v>
      </c>
      <c r="H15" s="28" t="s">
        <v>22</v>
      </c>
      <c r="I15" s="28" t="s">
        <v>22</v>
      </c>
      <c r="J15" s="74" t="s">
        <v>23</v>
      </c>
      <c r="K15" s="74" t="s">
        <v>23</v>
      </c>
      <c r="L15" s="74" t="s">
        <v>23</v>
      </c>
      <c r="M15" s="74" t="s">
        <v>23</v>
      </c>
      <c r="N15" s="28" t="s">
        <v>22</v>
      </c>
      <c r="O15" s="28" t="s">
        <v>22</v>
      </c>
      <c r="P15" s="60" t="s">
        <v>21</v>
      </c>
      <c r="Q15" s="60" t="s">
        <v>21</v>
      </c>
      <c r="R15" s="60" t="s">
        <v>21</v>
      </c>
      <c r="S15" s="60" t="s">
        <v>21</v>
      </c>
      <c r="T15" s="28" t="s">
        <v>22</v>
      </c>
      <c r="U15" s="28" t="s">
        <v>22</v>
      </c>
      <c r="V15" s="95" t="s">
        <v>21</v>
      </c>
      <c r="W15" s="95" t="s">
        <v>21</v>
      </c>
      <c r="X15" s="95" t="s">
        <v>21</v>
      </c>
      <c r="Y15" s="95" t="s">
        <v>21</v>
      </c>
      <c r="Z15" s="28" t="s">
        <v>22</v>
      </c>
      <c r="AA15" s="28" t="s">
        <v>22</v>
      </c>
      <c r="AB15" s="78" t="s">
        <v>29</v>
      </c>
      <c r="AC15" s="78" t="s">
        <v>29</v>
      </c>
      <c r="AD15" s="78" t="s">
        <v>29</v>
      </c>
      <c r="AE15" s="78" t="s">
        <v>29</v>
      </c>
      <c r="AF15" s="28" t="s">
        <v>22</v>
      </c>
      <c r="AG15" s="28" t="s">
        <v>22</v>
      </c>
      <c r="AH15" s="74" t="s">
        <v>23</v>
      </c>
      <c r="AI15" s="89" t="s">
        <v>23</v>
      </c>
      <c r="AJ15" s="19"/>
      <c r="AK15" s="20"/>
      <c r="AL15" s="21">
        <f t="shared" si="0"/>
        <v>0</v>
      </c>
      <c r="AM15" s="20">
        <f t="shared" si="1"/>
        <v>0</v>
      </c>
      <c r="AN15" s="19"/>
      <c r="AO15" s="20"/>
      <c r="AP15" s="21">
        <f t="shared" si="2"/>
        <v>0</v>
      </c>
      <c r="AQ15" s="20">
        <f t="shared" si="3"/>
        <v>0</v>
      </c>
      <c r="AR15" s="19"/>
      <c r="AS15" s="21">
        <f t="shared" si="4"/>
        <v>21</v>
      </c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</row>
    <row r="16" spans="2:60">
      <c r="B16" s="276"/>
      <c r="C16" s="22" t="s">
        <v>52</v>
      </c>
      <c r="D16" s="20" t="s">
        <v>53</v>
      </c>
      <c r="E16" s="74" t="s">
        <v>23</v>
      </c>
      <c r="F16" s="28" t="s">
        <v>22</v>
      </c>
      <c r="G16" s="28" t="s">
        <v>22</v>
      </c>
      <c r="H16" s="60" t="s">
        <v>21</v>
      </c>
      <c r="I16" s="60" t="s">
        <v>21</v>
      </c>
      <c r="J16" s="60" t="s">
        <v>21</v>
      </c>
      <c r="K16" s="60" t="s">
        <v>21</v>
      </c>
      <c r="L16" s="28" t="s">
        <v>22</v>
      </c>
      <c r="M16" s="28" t="s">
        <v>22</v>
      </c>
      <c r="N16" s="74" t="s">
        <v>23</v>
      </c>
      <c r="O16" s="74" t="s">
        <v>23</v>
      </c>
      <c r="P16" s="74" t="s">
        <v>23</v>
      </c>
      <c r="Q16" s="74" t="s">
        <v>23</v>
      </c>
      <c r="R16" s="28" t="s">
        <v>22</v>
      </c>
      <c r="S16" s="28" t="s">
        <v>22</v>
      </c>
      <c r="T16" s="60" t="s">
        <v>21</v>
      </c>
      <c r="U16" s="60" t="s">
        <v>21</v>
      </c>
      <c r="V16" s="60" t="s">
        <v>21</v>
      </c>
      <c r="W16" s="60" t="s">
        <v>21</v>
      </c>
      <c r="X16" s="28" t="s">
        <v>22</v>
      </c>
      <c r="Y16" s="28" t="s">
        <v>22</v>
      </c>
      <c r="Z16" s="74" t="s">
        <v>23</v>
      </c>
      <c r="AA16" s="74" t="s">
        <v>23</v>
      </c>
      <c r="AB16" s="74" t="s">
        <v>23</v>
      </c>
      <c r="AC16" s="74" t="s">
        <v>23</v>
      </c>
      <c r="AD16" s="28" t="s">
        <v>22</v>
      </c>
      <c r="AE16" s="28" t="s">
        <v>22</v>
      </c>
      <c r="AF16" s="78" t="s">
        <v>29</v>
      </c>
      <c r="AG16" s="78" t="s">
        <v>29</v>
      </c>
      <c r="AH16" s="78" t="s">
        <v>29</v>
      </c>
      <c r="AI16" s="107" t="s">
        <v>29</v>
      </c>
      <c r="AJ16" s="19"/>
      <c r="AK16" s="20"/>
      <c r="AL16" s="21">
        <f t="shared" si="0"/>
        <v>0</v>
      </c>
      <c r="AM16" s="20">
        <f t="shared" si="1"/>
        <v>0</v>
      </c>
      <c r="AN16" s="19"/>
      <c r="AO16" s="20"/>
      <c r="AP16" s="21">
        <f t="shared" si="2"/>
        <v>0</v>
      </c>
      <c r="AQ16" s="20">
        <f t="shared" si="3"/>
        <v>0</v>
      </c>
      <c r="AR16" s="19"/>
      <c r="AS16" s="21">
        <f t="shared" si="4"/>
        <v>21</v>
      </c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</row>
    <row r="17" spans="2:60" ht="15" customHeight="1">
      <c r="B17" s="276"/>
      <c r="C17" s="22" t="s">
        <v>54</v>
      </c>
      <c r="D17" s="20" t="s">
        <v>55</v>
      </c>
      <c r="E17" s="28" t="s">
        <v>22</v>
      </c>
      <c r="F17" s="74" t="s">
        <v>23</v>
      </c>
      <c r="G17" s="74" t="s">
        <v>23</v>
      </c>
      <c r="H17" s="74" t="s">
        <v>23</v>
      </c>
      <c r="I17" s="74" t="s">
        <v>23</v>
      </c>
      <c r="J17" s="28" t="s">
        <v>22</v>
      </c>
      <c r="K17" s="28" t="s">
        <v>22</v>
      </c>
      <c r="L17" s="60" t="s">
        <v>21</v>
      </c>
      <c r="M17" s="60" t="s">
        <v>21</v>
      </c>
      <c r="N17" s="60" t="s">
        <v>21</v>
      </c>
      <c r="O17" s="60" t="s">
        <v>21</v>
      </c>
      <c r="P17" s="28" t="s">
        <v>22</v>
      </c>
      <c r="Q17" s="28" t="s">
        <v>22</v>
      </c>
      <c r="R17" s="74" t="s">
        <v>23</v>
      </c>
      <c r="S17" s="74" t="s">
        <v>23</v>
      </c>
      <c r="T17" s="74" t="s">
        <v>23</v>
      </c>
      <c r="U17" s="74" t="s">
        <v>23</v>
      </c>
      <c r="V17" s="28" t="s">
        <v>22</v>
      </c>
      <c r="W17" s="28" t="s">
        <v>22</v>
      </c>
      <c r="X17" s="60" t="s">
        <v>21</v>
      </c>
      <c r="Y17" s="60" t="s">
        <v>21</v>
      </c>
      <c r="Z17" s="60" t="s">
        <v>21</v>
      </c>
      <c r="AA17" s="75" t="s">
        <v>26</v>
      </c>
      <c r="AB17" s="28" t="s">
        <v>22</v>
      </c>
      <c r="AC17" s="28" t="s">
        <v>22</v>
      </c>
      <c r="AD17" s="74" t="s">
        <v>23</v>
      </c>
      <c r="AE17" s="74" t="s">
        <v>23</v>
      </c>
      <c r="AF17" s="74" t="s">
        <v>23</v>
      </c>
      <c r="AG17" s="74" t="s">
        <v>23</v>
      </c>
      <c r="AH17" s="28" t="s">
        <v>22</v>
      </c>
      <c r="AI17" s="91" t="s">
        <v>22</v>
      </c>
      <c r="AJ17" s="19"/>
      <c r="AK17" s="20"/>
      <c r="AL17" s="21">
        <f t="shared" si="0"/>
        <v>0</v>
      </c>
      <c r="AM17" s="20">
        <f t="shared" si="1"/>
        <v>0</v>
      </c>
      <c r="AN17" s="19"/>
      <c r="AO17" s="20"/>
      <c r="AP17" s="21">
        <f t="shared" si="2"/>
        <v>0</v>
      </c>
      <c r="AQ17" s="20">
        <f t="shared" si="3"/>
        <v>0</v>
      </c>
      <c r="AR17" s="19"/>
      <c r="AS17" s="21">
        <f t="shared" si="4"/>
        <v>19</v>
      </c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</row>
    <row r="18" spans="2:60">
      <c r="B18" s="276"/>
      <c r="C18" s="22" t="s">
        <v>56</v>
      </c>
      <c r="D18" s="20" t="s">
        <v>57</v>
      </c>
      <c r="E18" s="60" t="s">
        <v>21</v>
      </c>
      <c r="F18" s="60" t="s">
        <v>21</v>
      </c>
      <c r="G18" s="60" t="s">
        <v>21</v>
      </c>
      <c r="H18" s="28" t="s">
        <v>22</v>
      </c>
      <c r="I18" s="28" t="s">
        <v>22</v>
      </c>
      <c r="J18" s="74" t="s">
        <v>23</v>
      </c>
      <c r="K18" s="74" t="s">
        <v>23</v>
      </c>
      <c r="L18" s="74" t="s">
        <v>23</v>
      </c>
      <c r="M18" s="74" t="s">
        <v>23</v>
      </c>
      <c r="N18" s="28" t="s">
        <v>22</v>
      </c>
      <c r="O18" s="28" t="s">
        <v>22</v>
      </c>
      <c r="P18" s="60" t="s">
        <v>21</v>
      </c>
      <c r="Q18" s="60" t="s">
        <v>21</v>
      </c>
      <c r="R18" s="60" t="s">
        <v>21</v>
      </c>
      <c r="S18" s="60" t="s">
        <v>21</v>
      </c>
      <c r="T18" s="28" t="s">
        <v>22</v>
      </c>
      <c r="U18" s="28" t="s">
        <v>22</v>
      </c>
      <c r="V18" s="74" t="s">
        <v>23</v>
      </c>
      <c r="W18" s="74" t="s">
        <v>23</v>
      </c>
      <c r="X18" s="74" t="s">
        <v>23</v>
      </c>
      <c r="Y18" s="74" t="s">
        <v>23</v>
      </c>
      <c r="Z18" s="28" t="s">
        <v>22</v>
      </c>
      <c r="AA18" s="28" t="s">
        <v>22</v>
      </c>
      <c r="AB18" s="60" t="s">
        <v>21</v>
      </c>
      <c r="AC18" s="60" t="s">
        <v>21</v>
      </c>
      <c r="AD18" s="60" t="s">
        <v>21</v>
      </c>
      <c r="AE18" s="60" t="s">
        <v>21</v>
      </c>
      <c r="AF18" s="28" t="s">
        <v>22</v>
      </c>
      <c r="AG18" s="28" t="s">
        <v>22</v>
      </c>
      <c r="AH18" s="60" t="s">
        <v>21</v>
      </c>
      <c r="AI18" s="90" t="s">
        <v>21</v>
      </c>
      <c r="AJ18" s="19"/>
      <c r="AK18" s="20"/>
      <c r="AL18" s="21">
        <f t="shared" si="0"/>
        <v>0</v>
      </c>
      <c r="AM18" s="20">
        <f t="shared" si="1"/>
        <v>0</v>
      </c>
      <c r="AN18" s="19"/>
      <c r="AO18" s="20"/>
      <c r="AP18" s="21">
        <f t="shared" si="2"/>
        <v>0</v>
      </c>
      <c r="AQ18" s="20">
        <f t="shared" si="3"/>
        <v>0</v>
      </c>
      <c r="AR18" s="19"/>
      <c r="AS18" s="21">
        <f t="shared" si="4"/>
        <v>21</v>
      </c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</row>
    <row r="19" spans="2:60">
      <c r="B19" s="276"/>
      <c r="C19" s="20" t="s">
        <v>58</v>
      </c>
      <c r="D19" s="20" t="s">
        <v>59</v>
      </c>
      <c r="E19" s="60" t="s">
        <v>21</v>
      </c>
      <c r="F19" s="28" t="s">
        <v>22</v>
      </c>
      <c r="G19" s="28" t="s">
        <v>22</v>
      </c>
      <c r="H19" s="60" t="s">
        <v>21</v>
      </c>
      <c r="I19" s="60" t="s">
        <v>21</v>
      </c>
      <c r="J19" s="60" t="s">
        <v>21</v>
      </c>
      <c r="K19" s="60" t="s">
        <v>21</v>
      </c>
      <c r="L19" s="28" t="s">
        <v>22</v>
      </c>
      <c r="M19" s="28" t="s">
        <v>22</v>
      </c>
      <c r="N19" s="74" t="s">
        <v>23</v>
      </c>
      <c r="O19" s="74" t="s">
        <v>23</v>
      </c>
      <c r="P19" s="74" t="s">
        <v>23</v>
      </c>
      <c r="Q19" s="74" t="s">
        <v>23</v>
      </c>
      <c r="R19" s="28" t="s">
        <v>22</v>
      </c>
      <c r="S19" s="28" t="s">
        <v>22</v>
      </c>
      <c r="T19" s="60" t="s">
        <v>21</v>
      </c>
      <c r="U19" s="60" t="s">
        <v>21</v>
      </c>
      <c r="V19" s="75" t="s">
        <v>26</v>
      </c>
      <c r="W19" s="60" t="s">
        <v>21</v>
      </c>
      <c r="X19" s="28" t="s">
        <v>22</v>
      </c>
      <c r="Y19" s="28" t="s">
        <v>22</v>
      </c>
      <c r="Z19" s="74" t="s">
        <v>23</v>
      </c>
      <c r="AA19" s="74" t="s">
        <v>23</v>
      </c>
      <c r="AB19" s="74" t="s">
        <v>23</v>
      </c>
      <c r="AC19" s="74" t="s">
        <v>23</v>
      </c>
      <c r="AD19" s="28" t="s">
        <v>22</v>
      </c>
      <c r="AE19" s="28" t="s">
        <v>22</v>
      </c>
      <c r="AF19" s="60" t="s">
        <v>21</v>
      </c>
      <c r="AG19" s="60" t="s">
        <v>21</v>
      </c>
      <c r="AH19" s="60" t="s">
        <v>21</v>
      </c>
      <c r="AI19" s="90" t="s">
        <v>21</v>
      </c>
      <c r="AJ19" s="19"/>
      <c r="AK19" s="20"/>
      <c r="AL19" s="21">
        <f t="shared" si="0"/>
        <v>0</v>
      </c>
      <c r="AM19" s="20">
        <f t="shared" si="1"/>
        <v>0</v>
      </c>
      <c r="AN19" s="19"/>
      <c r="AO19" s="26"/>
      <c r="AP19" s="21">
        <f t="shared" si="2"/>
        <v>0</v>
      </c>
      <c r="AQ19" s="44">
        <f t="shared" si="3"/>
        <v>0</v>
      </c>
      <c r="AR19" s="19"/>
      <c r="AS19" s="21">
        <f t="shared" si="4"/>
        <v>20</v>
      </c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</row>
    <row r="20" spans="2:60">
      <c r="B20" s="276"/>
      <c r="C20" s="22" t="s">
        <v>60</v>
      </c>
      <c r="D20" s="20" t="s">
        <v>61</v>
      </c>
      <c r="E20" s="28" t="s">
        <v>22</v>
      </c>
      <c r="F20" s="60" t="s">
        <v>21</v>
      </c>
      <c r="G20" s="75" t="s">
        <v>26</v>
      </c>
      <c r="H20" s="60" t="s">
        <v>21</v>
      </c>
      <c r="I20" s="60" t="s">
        <v>21</v>
      </c>
      <c r="J20" s="28" t="s">
        <v>22</v>
      </c>
      <c r="K20" s="28" t="s">
        <v>22</v>
      </c>
      <c r="L20" s="60" t="s">
        <v>21</v>
      </c>
      <c r="M20" s="60" t="s">
        <v>21</v>
      </c>
      <c r="N20" s="60" t="s">
        <v>21</v>
      </c>
      <c r="O20" s="60" t="s">
        <v>21</v>
      </c>
      <c r="P20" s="28" t="s">
        <v>22</v>
      </c>
      <c r="Q20" s="28" t="s">
        <v>22</v>
      </c>
      <c r="R20" s="74" t="s">
        <v>23</v>
      </c>
      <c r="S20" s="74" t="s">
        <v>23</v>
      </c>
      <c r="T20" s="74" t="s">
        <v>23</v>
      </c>
      <c r="U20" s="74" t="s">
        <v>23</v>
      </c>
      <c r="V20" s="28" t="s">
        <v>22</v>
      </c>
      <c r="W20" s="28" t="s">
        <v>22</v>
      </c>
      <c r="X20" s="60" t="s">
        <v>21</v>
      </c>
      <c r="Y20" s="60" t="s">
        <v>21</v>
      </c>
      <c r="Z20" s="60" t="s">
        <v>21</v>
      </c>
      <c r="AA20" s="60" t="s">
        <v>21</v>
      </c>
      <c r="AB20" s="28" t="s">
        <v>22</v>
      </c>
      <c r="AC20" s="28" t="s">
        <v>22</v>
      </c>
      <c r="AD20" s="74" t="s">
        <v>23</v>
      </c>
      <c r="AE20" s="74" t="s">
        <v>23</v>
      </c>
      <c r="AF20" s="74" t="s">
        <v>23</v>
      </c>
      <c r="AG20" s="74" t="s">
        <v>23</v>
      </c>
      <c r="AH20" s="28" t="s">
        <v>22</v>
      </c>
      <c r="AI20" s="91" t="s">
        <v>22</v>
      </c>
      <c r="AJ20" s="19"/>
      <c r="AK20" s="20"/>
      <c r="AL20" s="21">
        <f t="shared" si="0"/>
        <v>0</v>
      </c>
      <c r="AM20" s="20">
        <f t="shared" si="1"/>
        <v>0</v>
      </c>
      <c r="AN20" s="19"/>
      <c r="AO20" s="20"/>
      <c r="AP20" s="21">
        <f t="shared" si="2"/>
        <v>0</v>
      </c>
      <c r="AQ20" s="20">
        <f t="shared" si="3"/>
        <v>0</v>
      </c>
      <c r="AR20" s="19"/>
      <c r="AS20" s="21">
        <f t="shared" si="4"/>
        <v>19</v>
      </c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</row>
    <row r="21" spans="2:60">
      <c r="B21" s="276"/>
      <c r="C21" s="20" t="s">
        <v>62</v>
      </c>
      <c r="D21" s="20" t="s">
        <v>63</v>
      </c>
      <c r="E21" s="78" t="s">
        <v>29</v>
      </c>
      <c r="F21" s="78" t="s">
        <v>29</v>
      </c>
      <c r="G21" s="78" t="s">
        <v>29</v>
      </c>
      <c r="H21" s="28" t="s">
        <v>22</v>
      </c>
      <c r="I21" s="28" t="s">
        <v>22</v>
      </c>
      <c r="J21" s="60" t="s">
        <v>21</v>
      </c>
      <c r="K21" s="60" t="s">
        <v>21</v>
      </c>
      <c r="L21" s="60" t="s">
        <v>21</v>
      </c>
      <c r="M21" s="60" t="s">
        <v>21</v>
      </c>
      <c r="N21" s="28" t="s">
        <v>22</v>
      </c>
      <c r="O21" s="28" t="s">
        <v>22</v>
      </c>
      <c r="P21" s="60" t="s">
        <v>21</v>
      </c>
      <c r="Q21" s="60" t="s">
        <v>21</v>
      </c>
      <c r="R21" s="60" t="s">
        <v>21</v>
      </c>
      <c r="S21" s="60" t="s">
        <v>21</v>
      </c>
      <c r="T21" s="28" t="s">
        <v>22</v>
      </c>
      <c r="U21" s="28" t="s">
        <v>22</v>
      </c>
      <c r="V21" s="74" t="s">
        <v>23</v>
      </c>
      <c r="W21" s="74" t="s">
        <v>23</v>
      </c>
      <c r="X21" s="74" t="s">
        <v>23</v>
      </c>
      <c r="Y21" s="74" t="s">
        <v>23</v>
      </c>
      <c r="Z21" s="28" t="s">
        <v>22</v>
      </c>
      <c r="AA21" s="28" t="s">
        <v>22</v>
      </c>
      <c r="AB21" s="60" t="s">
        <v>21</v>
      </c>
      <c r="AC21" s="60" t="s">
        <v>21</v>
      </c>
      <c r="AD21" s="60" t="s">
        <v>21</v>
      </c>
      <c r="AE21" s="60" t="s">
        <v>21</v>
      </c>
      <c r="AF21" s="28" t="s">
        <v>22</v>
      </c>
      <c r="AG21" s="28" t="s">
        <v>22</v>
      </c>
      <c r="AH21" s="74" t="s">
        <v>23</v>
      </c>
      <c r="AI21" s="89" t="s">
        <v>23</v>
      </c>
      <c r="AJ21" s="19"/>
      <c r="AK21" s="20"/>
      <c r="AL21" s="21">
        <f t="shared" si="0"/>
        <v>0</v>
      </c>
      <c r="AM21" s="20">
        <f t="shared" si="1"/>
        <v>0</v>
      </c>
      <c r="AN21" s="19"/>
      <c r="AO21" s="20"/>
      <c r="AP21" s="21">
        <f t="shared" si="2"/>
        <v>0</v>
      </c>
      <c r="AQ21" s="20">
        <f t="shared" si="3"/>
        <v>0</v>
      </c>
      <c r="AR21" s="19"/>
      <c r="AS21" s="21">
        <f t="shared" si="4"/>
        <v>21</v>
      </c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</row>
    <row r="22" spans="2:60">
      <c r="B22" s="276"/>
      <c r="C22" s="86" t="s">
        <v>64</v>
      </c>
      <c r="D22" s="87" t="s">
        <v>65</v>
      </c>
      <c r="E22" s="74" t="s">
        <v>23</v>
      </c>
      <c r="F22" s="28" t="s">
        <v>22</v>
      </c>
      <c r="G22" s="28" t="s">
        <v>22</v>
      </c>
      <c r="H22" s="78" t="s">
        <v>29</v>
      </c>
      <c r="I22" s="78" t="s">
        <v>29</v>
      </c>
      <c r="J22" s="78" t="s">
        <v>29</v>
      </c>
      <c r="K22" s="78" t="s">
        <v>29</v>
      </c>
      <c r="L22" s="28" t="s">
        <v>22</v>
      </c>
      <c r="M22" s="28" t="s">
        <v>22</v>
      </c>
      <c r="N22" s="60" t="s">
        <v>21</v>
      </c>
      <c r="O22" s="60" t="s">
        <v>21</v>
      </c>
      <c r="P22" s="60" t="s">
        <v>21</v>
      </c>
      <c r="Q22" s="60" t="s">
        <v>21</v>
      </c>
      <c r="R22" s="28" t="s">
        <v>22</v>
      </c>
      <c r="S22" s="28" t="s">
        <v>22</v>
      </c>
      <c r="T22" s="60" t="s">
        <v>21</v>
      </c>
      <c r="U22" s="60" t="s">
        <v>21</v>
      </c>
      <c r="V22" s="60" t="s">
        <v>21</v>
      </c>
      <c r="W22" s="60" t="s">
        <v>21</v>
      </c>
      <c r="X22" s="28" t="s">
        <v>22</v>
      </c>
      <c r="Y22" s="28" t="s">
        <v>22</v>
      </c>
      <c r="Z22" s="74" t="s">
        <v>23</v>
      </c>
      <c r="AA22" s="74" t="s">
        <v>23</v>
      </c>
      <c r="AB22" s="74" t="s">
        <v>23</v>
      </c>
      <c r="AC22" s="74" t="s">
        <v>23</v>
      </c>
      <c r="AD22" s="28" t="s">
        <v>22</v>
      </c>
      <c r="AE22" s="28" t="s">
        <v>22</v>
      </c>
      <c r="AF22" s="60" t="s">
        <v>21</v>
      </c>
      <c r="AG22" s="60" t="s">
        <v>21</v>
      </c>
      <c r="AH22" s="60" t="s">
        <v>21</v>
      </c>
      <c r="AI22" s="90" t="s">
        <v>21</v>
      </c>
      <c r="AJ22" s="19"/>
      <c r="AK22" s="20"/>
      <c r="AL22" s="21">
        <f t="shared" si="0"/>
        <v>0</v>
      </c>
      <c r="AM22" s="20">
        <f t="shared" si="1"/>
        <v>0</v>
      </c>
      <c r="AN22" s="19"/>
      <c r="AO22" s="20"/>
      <c r="AP22" s="21">
        <f t="shared" si="2"/>
        <v>0</v>
      </c>
      <c r="AQ22" s="20">
        <f t="shared" si="3"/>
        <v>0</v>
      </c>
      <c r="AR22" s="19"/>
      <c r="AS22" s="21">
        <f t="shared" si="4"/>
        <v>21</v>
      </c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</row>
    <row r="23" spans="2:60" ht="15" customHeight="1">
      <c r="B23" s="276"/>
      <c r="C23" s="20" t="s">
        <v>68</v>
      </c>
      <c r="D23" s="20" t="s">
        <v>69</v>
      </c>
      <c r="E23" s="28" t="s">
        <v>22</v>
      </c>
      <c r="F23" s="74" t="s">
        <v>23</v>
      </c>
      <c r="G23" s="74" t="s">
        <v>23</v>
      </c>
      <c r="H23" s="74" t="s">
        <v>23</v>
      </c>
      <c r="I23" s="74" t="s">
        <v>23</v>
      </c>
      <c r="J23" s="28" t="s">
        <v>22</v>
      </c>
      <c r="K23" s="28" t="s">
        <v>22</v>
      </c>
      <c r="L23" s="78" t="s">
        <v>29</v>
      </c>
      <c r="M23" s="78" t="s">
        <v>29</v>
      </c>
      <c r="N23" s="78" t="s">
        <v>29</v>
      </c>
      <c r="O23" s="78" t="s">
        <v>29</v>
      </c>
      <c r="P23" s="28" t="s">
        <v>22</v>
      </c>
      <c r="Q23" s="28" t="s">
        <v>22</v>
      </c>
      <c r="R23" s="60" t="s">
        <v>21</v>
      </c>
      <c r="S23" s="60" t="s">
        <v>21</v>
      </c>
      <c r="T23" s="60" t="s">
        <v>21</v>
      </c>
      <c r="U23" s="60" t="s">
        <v>21</v>
      </c>
      <c r="V23" s="28" t="s">
        <v>22</v>
      </c>
      <c r="W23" s="28" t="s">
        <v>22</v>
      </c>
      <c r="X23" s="60" t="s">
        <v>21</v>
      </c>
      <c r="Y23" s="60" t="s">
        <v>21</v>
      </c>
      <c r="Z23" s="60" t="s">
        <v>21</v>
      </c>
      <c r="AA23" s="60" t="s">
        <v>21</v>
      </c>
      <c r="AB23" s="28" t="s">
        <v>22</v>
      </c>
      <c r="AC23" s="28" t="s">
        <v>22</v>
      </c>
      <c r="AD23" s="74" t="s">
        <v>23</v>
      </c>
      <c r="AE23" s="74" t="s">
        <v>23</v>
      </c>
      <c r="AF23" s="74" t="s">
        <v>23</v>
      </c>
      <c r="AG23" s="74" t="s">
        <v>23</v>
      </c>
      <c r="AH23" s="28" t="s">
        <v>22</v>
      </c>
      <c r="AI23" s="91" t="s">
        <v>22</v>
      </c>
      <c r="AJ23" s="19"/>
      <c r="AK23" s="20"/>
      <c r="AL23" s="21">
        <f t="shared" si="0"/>
        <v>0</v>
      </c>
      <c r="AM23" s="20">
        <f t="shared" si="1"/>
        <v>0</v>
      </c>
      <c r="AN23" s="19"/>
      <c r="AO23" s="20"/>
      <c r="AP23" s="21">
        <f t="shared" si="2"/>
        <v>0</v>
      </c>
      <c r="AQ23" s="20">
        <f t="shared" si="3"/>
        <v>0</v>
      </c>
      <c r="AR23" s="19"/>
      <c r="AS23" s="21">
        <f t="shared" si="4"/>
        <v>20</v>
      </c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</row>
    <row r="24" spans="2:60">
      <c r="B24" s="276"/>
      <c r="C24" s="108" t="s">
        <v>70</v>
      </c>
      <c r="D24" s="109" t="s">
        <v>71</v>
      </c>
      <c r="E24" s="111" t="s">
        <v>21</v>
      </c>
      <c r="F24" s="111" t="s">
        <v>21</v>
      </c>
      <c r="G24" s="111" t="s">
        <v>21</v>
      </c>
      <c r="H24" s="110" t="s">
        <v>22</v>
      </c>
      <c r="I24" s="110" t="s">
        <v>22</v>
      </c>
      <c r="J24" s="111" t="s">
        <v>21</v>
      </c>
      <c r="K24" s="111" t="s">
        <v>21</v>
      </c>
      <c r="L24" s="111" t="s">
        <v>21</v>
      </c>
      <c r="M24" s="111" t="s">
        <v>21</v>
      </c>
      <c r="N24" s="110" t="s">
        <v>22</v>
      </c>
      <c r="O24" s="110" t="s">
        <v>22</v>
      </c>
      <c r="P24" s="116" t="s">
        <v>29</v>
      </c>
      <c r="Q24" s="116" t="s">
        <v>29</v>
      </c>
      <c r="R24" s="116" t="s">
        <v>29</v>
      </c>
      <c r="S24" s="116" t="s">
        <v>29</v>
      </c>
      <c r="T24" s="110" t="s">
        <v>22</v>
      </c>
      <c r="U24" s="110" t="s">
        <v>22</v>
      </c>
      <c r="V24" s="111" t="s">
        <v>21</v>
      </c>
      <c r="W24" s="111" t="s">
        <v>21</v>
      </c>
      <c r="X24" s="111" t="s">
        <v>21</v>
      </c>
      <c r="Y24" s="111" t="s">
        <v>21</v>
      </c>
      <c r="Z24" s="110" t="s">
        <v>22</v>
      </c>
      <c r="AA24" s="110" t="s">
        <v>22</v>
      </c>
      <c r="AB24" s="111" t="s">
        <v>21</v>
      </c>
      <c r="AC24" s="111" t="s">
        <v>21</v>
      </c>
      <c r="AD24" s="111" t="s">
        <v>21</v>
      </c>
      <c r="AE24" s="111" t="s">
        <v>21</v>
      </c>
      <c r="AF24" s="110" t="s">
        <v>22</v>
      </c>
      <c r="AG24" s="110" t="s">
        <v>22</v>
      </c>
      <c r="AH24" s="112" t="s">
        <v>23</v>
      </c>
      <c r="AI24" s="125" t="s">
        <v>23</v>
      </c>
      <c r="AJ24" s="19"/>
      <c r="AK24" s="20"/>
      <c r="AL24" s="21">
        <f t="shared" si="0"/>
        <v>0</v>
      </c>
      <c r="AM24" s="20">
        <f t="shared" si="1"/>
        <v>0</v>
      </c>
      <c r="AN24" s="19"/>
      <c r="AO24" s="20"/>
      <c r="AP24" s="21">
        <f t="shared" si="2"/>
        <v>0</v>
      </c>
      <c r="AQ24" s="20">
        <f t="shared" si="3"/>
        <v>0</v>
      </c>
      <c r="AR24" s="19"/>
      <c r="AS24" s="21">
        <f t="shared" si="4"/>
        <v>21</v>
      </c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</row>
    <row r="25" spans="2:60" ht="15" customHeight="1">
      <c r="B25" s="280" t="s">
        <v>72</v>
      </c>
      <c r="C25" s="88" t="s">
        <v>73</v>
      </c>
      <c r="D25" s="208" t="s">
        <v>74</v>
      </c>
      <c r="E25" s="102" t="s">
        <v>23</v>
      </c>
      <c r="F25" s="103" t="s">
        <v>22</v>
      </c>
      <c r="G25" s="103" t="s">
        <v>22</v>
      </c>
      <c r="H25" s="104" t="s">
        <v>21</v>
      </c>
      <c r="I25" s="104" t="s">
        <v>21</v>
      </c>
      <c r="J25" s="104" t="s">
        <v>21</v>
      </c>
      <c r="K25" s="104" t="s">
        <v>21</v>
      </c>
      <c r="L25" s="103" t="s">
        <v>22</v>
      </c>
      <c r="M25" s="103" t="s">
        <v>22</v>
      </c>
      <c r="N25" s="102" t="s">
        <v>23</v>
      </c>
      <c r="O25" s="102" t="s">
        <v>23</v>
      </c>
      <c r="P25" s="102" t="s">
        <v>23</v>
      </c>
      <c r="Q25" s="102" t="s">
        <v>23</v>
      </c>
      <c r="R25" s="103" t="s">
        <v>22</v>
      </c>
      <c r="S25" s="103" t="s">
        <v>22</v>
      </c>
      <c r="T25" s="104" t="s">
        <v>21</v>
      </c>
      <c r="U25" s="104" t="s">
        <v>21</v>
      </c>
      <c r="V25" s="104" t="s">
        <v>21</v>
      </c>
      <c r="W25" s="104" t="s">
        <v>21</v>
      </c>
      <c r="X25" s="103" t="s">
        <v>22</v>
      </c>
      <c r="Y25" s="103" t="s">
        <v>22</v>
      </c>
      <c r="Z25" s="104" t="s">
        <v>21</v>
      </c>
      <c r="AA25" s="104" t="s">
        <v>21</v>
      </c>
      <c r="AB25" s="104" t="s">
        <v>21</v>
      </c>
      <c r="AC25" s="104" t="s">
        <v>21</v>
      </c>
      <c r="AD25" s="103" t="s">
        <v>22</v>
      </c>
      <c r="AE25" s="103" t="s">
        <v>22</v>
      </c>
      <c r="AF25" s="115" t="s">
        <v>29</v>
      </c>
      <c r="AG25" s="115" t="s">
        <v>29</v>
      </c>
      <c r="AH25" s="115" t="s">
        <v>29</v>
      </c>
      <c r="AI25" s="184" t="s">
        <v>29</v>
      </c>
      <c r="AJ25" s="19"/>
      <c r="AK25" s="20"/>
      <c r="AL25" s="21">
        <f t="shared" si="0"/>
        <v>0</v>
      </c>
      <c r="AM25" s="20">
        <f t="shared" si="1"/>
        <v>0</v>
      </c>
      <c r="AN25" s="19"/>
      <c r="AO25" s="20"/>
      <c r="AP25" s="21">
        <f t="shared" si="2"/>
        <v>0</v>
      </c>
      <c r="AQ25" s="20">
        <f t="shared" si="3"/>
        <v>0</v>
      </c>
      <c r="AR25" s="19"/>
      <c r="AS25" s="21">
        <f t="shared" si="4"/>
        <v>21</v>
      </c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</row>
    <row r="26" spans="2:60">
      <c r="B26" s="276"/>
      <c r="C26" s="22" t="s">
        <v>75</v>
      </c>
      <c r="D26" s="20" t="s">
        <v>76</v>
      </c>
      <c r="E26" s="28" t="s">
        <v>22</v>
      </c>
      <c r="F26" s="74" t="s">
        <v>23</v>
      </c>
      <c r="G26" s="74" t="s">
        <v>23</v>
      </c>
      <c r="H26" s="74" t="s">
        <v>23</v>
      </c>
      <c r="I26" s="74" t="s">
        <v>23</v>
      </c>
      <c r="J26" s="28" t="s">
        <v>22</v>
      </c>
      <c r="K26" s="28" t="s">
        <v>22</v>
      </c>
      <c r="L26" s="60" t="s">
        <v>21</v>
      </c>
      <c r="M26" s="60" t="s">
        <v>21</v>
      </c>
      <c r="N26" s="60" t="s">
        <v>21</v>
      </c>
      <c r="O26" s="60" t="s">
        <v>21</v>
      </c>
      <c r="P26" s="28" t="s">
        <v>22</v>
      </c>
      <c r="Q26" s="28" t="s">
        <v>22</v>
      </c>
      <c r="R26" s="74" t="s">
        <v>23</v>
      </c>
      <c r="S26" s="74" t="s">
        <v>23</v>
      </c>
      <c r="T26" s="74" t="s">
        <v>23</v>
      </c>
      <c r="U26" s="74" t="s">
        <v>23</v>
      </c>
      <c r="V26" s="28" t="s">
        <v>22</v>
      </c>
      <c r="W26" s="28" t="s">
        <v>22</v>
      </c>
      <c r="X26" s="60" t="s">
        <v>21</v>
      </c>
      <c r="Y26" s="60" t="s">
        <v>21</v>
      </c>
      <c r="Z26" s="60" t="s">
        <v>21</v>
      </c>
      <c r="AA26" s="60" t="s">
        <v>21</v>
      </c>
      <c r="AB26" s="28" t="s">
        <v>22</v>
      </c>
      <c r="AC26" s="28" t="s">
        <v>22</v>
      </c>
      <c r="AD26" s="60" t="s">
        <v>21</v>
      </c>
      <c r="AE26" s="60" t="s">
        <v>21</v>
      </c>
      <c r="AF26" s="60" t="s">
        <v>21</v>
      </c>
      <c r="AG26" s="60" t="s">
        <v>21</v>
      </c>
      <c r="AH26" s="28" t="s">
        <v>22</v>
      </c>
      <c r="AI26" s="91" t="s">
        <v>22</v>
      </c>
      <c r="AJ26" s="19"/>
      <c r="AK26" s="20"/>
      <c r="AL26" s="21">
        <f t="shared" si="0"/>
        <v>0</v>
      </c>
      <c r="AM26" s="20">
        <f t="shared" si="1"/>
        <v>0</v>
      </c>
      <c r="AN26" s="19"/>
      <c r="AO26" s="20"/>
      <c r="AP26" s="21">
        <f t="shared" si="2"/>
        <v>0</v>
      </c>
      <c r="AQ26" s="20">
        <f t="shared" si="3"/>
        <v>0</v>
      </c>
      <c r="AR26" s="19"/>
      <c r="AS26" s="21">
        <f t="shared" si="4"/>
        <v>20</v>
      </c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</row>
    <row r="27" spans="2:60">
      <c r="B27" s="276"/>
      <c r="C27" s="22" t="s">
        <v>77</v>
      </c>
      <c r="D27" s="20" t="s">
        <v>78</v>
      </c>
      <c r="E27" s="74" t="s">
        <v>23</v>
      </c>
      <c r="F27" s="28" t="s">
        <v>22</v>
      </c>
      <c r="G27" s="28" t="s">
        <v>22</v>
      </c>
      <c r="H27" s="78" t="s">
        <v>29</v>
      </c>
      <c r="I27" s="78" t="s">
        <v>29</v>
      </c>
      <c r="J27" s="78" t="s">
        <v>29</v>
      </c>
      <c r="K27" s="78" t="s">
        <v>29</v>
      </c>
      <c r="L27" s="28" t="s">
        <v>22</v>
      </c>
      <c r="M27" s="28" t="s">
        <v>22</v>
      </c>
      <c r="N27" s="74" t="s">
        <v>23</v>
      </c>
      <c r="O27" s="74" t="s">
        <v>23</v>
      </c>
      <c r="P27" s="74" t="s">
        <v>23</v>
      </c>
      <c r="Q27" s="74" t="s">
        <v>23</v>
      </c>
      <c r="R27" s="28" t="s">
        <v>22</v>
      </c>
      <c r="S27" s="28" t="s">
        <v>22</v>
      </c>
      <c r="T27" s="60" t="s">
        <v>21</v>
      </c>
      <c r="U27" s="60" t="s">
        <v>21</v>
      </c>
      <c r="V27" s="60" t="s">
        <v>21</v>
      </c>
      <c r="W27" s="60" t="s">
        <v>21</v>
      </c>
      <c r="X27" s="28" t="s">
        <v>22</v>
      </c>
      <c r="Y27" s="28" t="s">
        <v>22</v>
      </c>
      <c r="Z27" s="74" t="s">
        <v>23</v>
      </c>
      <c r="AA27" s="74" t="s">
        <v>23</v>
      </c>
      <c r="AB27" s="74" t="s">
        <v>23</v>
      </c>
      <c r="AC27" s="74" t="s">
        <v>23</v>
      </c>
      <c r="AD27" s="28" t="s">
        <v>22</v>
      </c>
      <c r="AE27" s="28" t="s">
        <v>22</v>
      </c>
      <c r="AF27" s="60" t="s">
        <v>21</v>
      </c>
      <c r="AG27" s="60" t="s">
        <v>21</v>
      </c>
      <c r="AH27" s="60" t="s">
        <v>21</v>
      </c>
      <c r="AI27" s="90" t="s">
        <v>21</v>
      </c>
      <c r="AJ27" s="19"/>
      <c r="AK27" s="20"/>
      <c r="AL27" s="21">
        <f t="shared" si="0"/>
        <v>0</v>
      </c>
      <c r="AM27" s="20">
        <f t="shared" si="1"/>
        <v>0</v>
      </c>
      <c r="AN27" s="19"/>
      <c r="AO27" s="20"/>
      <c r="AP27" s="21">
        <f t="shared" si="2"/>
        <v>0</v>
      </c>
      <c r="AQ27" s="20">
        <f t="shared" si="3"/>
        <v>0</v>
      </c>
      <c r="AR27" s="19"/>
      <c r="AS27" s="21">
        <f t="shared" si="4"/>
        <v>21</v>
      </c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</row>
    <row r="28" spans="2:60" ht="15" customHeight="1">
      <c r="B28" s="276"/>
      <c r="C28" s="20" t="s">
        <v>79</v>
      </c>
      <c r="D28" s="20" t="s">
        <v>80</v>
      </c>
      <c r="E28" s="28" t="s">
        <v>22</v>
      </c>
      <c r="F28" s="60" t="s">
        <v>21</v>
      </c>
      <c r="G28" s="60" t="s">
        <v>21</v>
      </c>
      <c r="H28" s="60" t="s">
        <v>21</v>
      </c>
      <c r="I28" s="60" t="s">
        <v>21</v>
      </c>
      <c r="J28" s="28" t="s">
        <v>22</v>
      </c>
      <c r="K28" s="28" t="s">
        <v>22</v>
      </c>
      <c r="L28" s="78" t="s">
        <v>29</v>
      </c>
      <c r="M28" s="78" t="s">
        <v>29</v>
      </c>
      <c r="N28" s="78" t="s">
        <v>29</v>
      </c>
      <c r="O28" s="78" t="s">
        <v>29</v>
      </c>
      <c r="P28" s="28" t="s">
        <v>22</v>
      </c>
      <c r="Q28" s="28" t="s">
        <v>22</v>
      </c>
      <c r="R28" s="74" t="s">
        <v>23</v>
      </c>
      <c r="S28" s="74" t="s">
        <v>23</v>
      </c>
      <c r="T28" s="74" t="s">
        <v>23</v>
      </c>
      <c r="U28" s="74" t="s">
        <v>23</v>
      </c>
      <c r="V28" s="28" t="s">
        <v>22</v>
      </c>
      <c r="W28" s="28" t="s">
        <v>22</v>
      </c>
      <c r="X28" s="60" t="s">
        <v>21</v>
      </c>
      <c r="Y28" s="60" t="s">
        <v>21</v>
      </c>
      <c r="Z28" s="60" t="s">
        <v>21</v>
      </c>
      <c r="AA28" s="60" t="s">
        <v>21</v>
      </c>
      <c r="AB28" s="28" t="s">
        <v>22</v>
      </c>
      <c r="AC28" s="28" t="s">
        <v>22</v>
      </c>
      <c r="AD28" s="74" t="s">
        <v>23</v>
      </c>
      <c r="AE28" s="74" t="s">
        <v>23</v>
      </c>
      <c r="AF28" s="74" t="s">
        <v>23</v>
      </c>
      <c r="AG28" s="74" t="s">
        <v>23</v>
      </c>
      <c r="AH28" s="28" t="s">
        <v>22</v>
      </c>
      <c r="AI28" s="91" t="s">
        <v>22</v>
      </c>
      <c r="AJ28" s="19"/>
      <c r="AK28" s="20"/>
      <c r="AL28" s="21">
        <f t="shared" si="0"/>
        <v>0</v>
      </c>
      <c r="AM28" s="20">
        <f t="shared" si="1"/>
        <v>0</v>
      </c>
      <c r="AN28" s="19"/>
      <c r="AO28" s="20"/>
      <c r="AP28" s="21">
        <f t="shared" si="2"/>
        <v>0</v>
      </c>
      <c r="AQ28" s="20">
        <f t="shared" si="3"/>
        <v>0</v>
      </c>
      <c r="AR28" s="19"/>
      <c r="AS28" s="21">
        <f t="shared" si="4"/>
        <v>20</v>
      </c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</row>
    <row r="29" spans="2:60">
      <c r="B29" s="276"/>
      <c r="C29" s="22" t="s">
        <v>82</v>
      </c>
      <c r="D29" s="20" t="s">
        <v>83</v>
      </c>
      <c r="E29" s="60" t="s">
        <v>21</v>
      </c>
      <c r="F29" s="60" t="s">
        <v>21</v>
      </c>
      <c r="G29" s="60" t="s">
        <v>21</v>
      </c>
      <c r="H29" s="28" t="s">
        <v>22</v>
      </c>
      <c r="I29" s="28" t="s">
        <v>22</v>
      </c>
      <c r="J29" s="60" t="s">
        <v>21</v>
      </c>
      <c r="K29" s="60" t="s">
        <v>21</v>
      </c>
      <c r="L29" s="60" t="s">
        <v>21</v>
      </c>
      <c r="M29" s="60" t="s">
        <v>21</v>
      </c>
      <c r="N29" s="28" t="s">
        <v>22</v>
      </c>
      <c r="O29" s="28" t="s">
        <v>22</v>
      </c>
      <c r="P29" s="78" t="s">
        <v>29</v>
      </c>
      <c r="Q29" s="78" t="s">
        <v>29</v>
      </c>
      <c r="R29" s="78" t="s">
        <v>29</v>
      </c>
      <c r="S29" s="78" t="s">
        <v>29</v>
      </c>
      <c r="T29" s="28" t="s">
        <v>22</v>
      </c>
      <c r="U29" s="28" t="s">
        <v>22</v>
      </c>
      <c r="V29" s="74" t="s">
        <v>23</v>
      </c>
      <c r="W29" s="74" t="s">
        <v>23</v>
      </c>
      <c r="X29" s="74" t="s">
        <v>23</v>
      </c>
      <c r="Y29" s="74" t="s">
        <v>23</v>
      </c>
      <c r="Z29" s="28" t="s">
        <v>22</v>
      </c>
      <c r="AA29" s="28" t="s">
        <v>22</v>
      </c>
      <c r="AB29" s="60" t="s">
        <v>21</v>
      </c>
      <c r="AC29" s="60" t="s">
        <v>21</v>
      </c>
      <c r="AD29" s="60" t="s">
        <v>21</v>
      </c>
      <c r="AE29" s="60" t="s">
        <v>21</v>
      </c>
      <c r="AF29" s="28" t="s">
        <v>22</v>
      </c>
      <c r="AG29" s="28" t="s">
        <v>22</v>
      </c>
      <c r="AH29" s="74" t="s">
        <v>23</v>
      </c>
      <c r="AI29" s="89" t="s">
        <v>23</v>
      </c>
      <c r="AJ29" s="19"/>
      <c r="AK29" s="20"/>
      <c r="AL29" s="21">
        <f t="shared" si="0"/>
        <v>0</v>
      </c>
      <c r="AM29" s="20">
        <f t="shared" si="1"/>
        <v>0</v>
      </c>
      <c r="AN29" s="19"/>
      <c r="AO29" s="20"/>
      <c r="AP29" s="21">
        <f t="shared" si="2"/>
        <v>0</v>
      </c>
      <c r="AQ29" s="20">
        <f t="shared" si="3"/>
        <v>0</v>
      </c>
      <c r="AR29" s="19"/>
      <c r="AS29" s="21">
        <f t="shared" si="4"/>
        <v>21</v>
      </c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</row>
    <row r="30" spans="2:60">
      <c r="B30" s="276"/>
      <c r="C30" s="20" t="s">
        <v>85</v>
      </c>
      <c r="D30" s="20" t="s">
        <v>86</v>
      </c>
      <c r="E30" s="74" t="s">
        <v>23</v>
      </c>
      <c r="F30" s="28" t="s">
        <v>22</v>
      </c>
      <c r="G30" s="28" t="s">
        <v>22</v>
      </c>
      <c r="H30" s="60" t="s">
        <v>21</v>
      </c>
      <c r="I30" s="60" t="s">
        <v>21</v>
      </c>
      <c r="J30" s="60" t="s">
        <v>21</v>
      </c>
      <c r="K30" s="60" t="s">
        <v>21</v>
      </c>
      <c r="L30" s="28" t="s">
        <v>22</v>
      </c>
      <c r="M30" s="28" t="s">
        <v>22</v>
      </c>
      <c r="N30" s="60" t="s">
        <v>21</v>
      </c>
      <c r="O30" s="60" t="s">
        <v>21</v>
      </c>
      <c r="P30" s="60" t="s">
        <v>21</v>
      </c>
      <c r="Q30" s="60" t="s">
        <v>21</v>
      </c>
      <c r="R30" s="28" t="s">
        <v>22</v>
      </c>
      <c r="S30" s="28" t="s">
        <v>22</v>
      </c>
      <c r="T30" s="78" t="s">
        <v>29</v>
      </c>
      <c r="U30" s="78" t="s">
        <v>29</v>
      </c>
      <c r="V30" s="78" t="s">
        <v>29</v>
      </c>
      <c r="W30" s="78" t="s">
        <v>29</v>
      </c>
      <c r="X30" s="28" t="s">
        <v>22</v>
      </c>
      <c r="Y30" s="28" t="s">
        <v>22</v>
      </c>
      <c r="Z30" s="74" t="s">
        <v>23</v>
      </c>
      <c r="AA30" s="74" t="s">
        <v>23</v>
      </c>
      <c r="AB30" s="74" t="s">
        <v>23</v>
      </c>
      <c r="AC30" s="74" t="s">
        <v>23</v>
      </c>
      <c r="AD30" s="28" t="s">
        <v>22</v>
      </c>
      <c r="AE30" s="28" t="s">
        <v>22</v>
      </c>
      <c r="AF30" s="60" t="s">
        <v>21</v>
      </c>
      <c r="AG30" s="60" t="s">
        <v>21</v>
      </c>
      <c r="AH30" s="60" t="s">
        <v>21</v>
      </c>
      <c r="AI30" s="90" t="s">
        <v>21</v>
      </c>
      <c r="AJ30" s="19"/>
      <c r="AK30" s="20"/>
      <c r="AL30" s="21">
        <f t="shared" si="0"/>
        <v>0</v>
      </c>
      <c r="AM30" s="20">
        <f t="shared" si="1"/>
        <v>0</v>
      </c>
      <c r="AN30" s="19"/>
      <c r="AO30" s="26"/>
      <c r="AP30" s="21">
        <f t="shared" si="2"/>
        <v>0</v>
      </c>
      <c r="AQ30" s="44">
        <f t="shared" si="3"/>
        <v>0</v>
      </c>
      <c r="AR30" s="19"/>
      <c r="AS30" s="21">
        <f t="shared" si="4"/>
        <v>21</v>
      </c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</row>
    <row r="31" spans="2:60">
      <c r="B31" s="276"/>
      <c r="C31" s="22" t="s">
        <v>87</v>
      </c>
      <c r="D31" s="20" t="s">
        <v>88</v>
      </c>
      <c r="E31" s="28" t="s">
        <v>22</v>
      </c>
      <c r="F31" s="74" t="s">
        <v>23</v>
      </c>
      <c r="G31" s="74" t="s">
        <v>23</v>
      </c>
      <c r="H31" s="74" t="s">
        <v>23</v>
      </c>
      <c r="I31" s="74" t="s">
        <v>23</v>
      </c>
      <c r="J31" s="28" t="s">
        <v>22</v>
      </c>
      <c r="K31" s="28" t="s">
        <v>22</v>
      </c>
      <c r="L31" s="60" t="s">
        <v>21</v>
      </c>
      <c r="M31" s="60" t="s">
        <v>21</v>
      </c>
      <c r="N31" s="60" t="s">
        <v>21</v>
      </c>
      <c r="O31" s="60" t="s">
        <v>21</v>
      </c>
      <c r="P31" s="28" t="s">
        <v>22</v>
      </c>
      <c r="Q31" s="28" t="s">
        <v>22</v>
      </c>
      <c r="R31" s="60" t="s">
        <v>21</v>
      </c>
      <c r="S31" s="60" t="s">
        <v>21</v>
      </c>
      <c r="T31" s="60" t="s">
        <v>21</v>
      </c>
      <c r="U31" s="60" t="s">
        <v>21</v>
      </c>
      <c r="V31" s="28" t="s">
        <v>22</v>
      </c>
      <c r="W31" s="28" t="s">
        <v>22</v>
      </c>
      <c r="X31" s="78" t="s">
        <v>29</v>
      </c>
      <c r="Y31" s="78" t="s">
        <v>29</v>
      </c>
      <c r="Z31" s="78" t="s">
        <v>29</v>
      </c>
      <c r="AA31" s="78" t="s">
        <v>29</v>
      </c>
      <c r="AB31" s="28" t="s">
        <v>22</v>
      </c>
      <c r="AC31" s="28" t="s">
        <v>22</v>
      </c>
      <c r="AD31" s="74" t="s">
        <v>23</v>
      </c>
      <c r="AE31" s="74" t="s">
        <v>23</v>
      </c>
      <c r="AF31" s="74" t="s">
        <v>23</v>
      </c>
      <c r="AG31" s="74" t="s">
        <v>23</v>
      </c>
      <c r="AH31" s="28" t="s">
        <v>22</v>
      </c>
      <c r="AI31" s="91" t="s">
        <v>22</v>
      </c>
      <c r="AJ31" s="19"/>
      <c r="AK31" s="20"/>
      <c r="AL31" s="21">
        <f t="shared" si="0"/>
        <v>0</v>
      </c>
      <c r="AM31" s="20">
        <f t="shared" si="1"/>
        <v>0</v>
      </c>
      <c r="AN31" s="19"/>
      <c r="AO31" s="20"/>
      <c r="AP31" s="21">
        <f t="shared" si="2"/>
        <v>0</v>
      </c>
      <c r="AQ31" s="20">
        <f t="shared" si="3"/>
        <v>0</v>
      </c>
      <c r="AR31" s="19"/>
      <c r="AS31" s="21">
        <f t="shared" si="4"/>
        <v>20</v>
      </c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</row>
    <row r="32" spans="2:60">
      <c r="B32" s="276"/>
      <c r="C32" s="20" t="s">
        <v>89</v>
      </c>
      <c r="D32" s="20" t="s">
        <v>90</v>
      </c>
      <c r="E32" s="60" t="s">
        <v>21</v>
      </c>
      <c r="F32" s="60" t="s">
        <v>21</v>
      </c>
      <c r="G32" s="60" t="s">
        <v>21</v>
      </c>
      <c r="H32" s="28" t="s">
        <v>22</v>
      </c>
      <c r="I32" s="28" t="s">
        <v>22</v>
      </c>
      <c r="J32" s="74" t="s">
        <v>23</v>
      </c>
      <c r="K32" s="74" t="s">
        <v>23</v>
      </c>
      <c r="L32" s="74" t="s">
        <v>23</v>
      </c>
      <c r="M32" s="74" t="s">
        <v>23</v>
      </c>
      <c r="N32" s="28" t="s">
        <v>22</v>
      </c>
      <c r="O32" s="28" t="s">
        <v>22</v>
      </c>
      <c r="P32" s="60" t="s">
        <v>21</v>
      </c>
      <c r="Q32" s="60" t="s">
        <v>21</v>
      </c>
      <c r="R32" s="60" t="s">
        <v>21</v>
      </c>
      <c r="S32" s="60" t="s">
        <v>21</v>
      </c>
      <c r="T32" s="28" t="s">
        <v>22</v>
      </c>
      <c r="U32" s="28" t="s">
        <v>22</v>
      </c>
      <c r="V32" s="60" t="s">
        <v>21</v>
      </c>
      <c r="W32" s="60" t="s">
        <v>21</v>
      </c>
      <c r="X32" s="60" t="s">
        <v>21</v>
      </c>
      <c r="Y32" s="60" t="s">
        <v>21</v>
      </c>
      <c r="Z32" s="28" t="s">
        <v>22</v>
      </c>
      <c r="AA32" s="28" t="s">
        <v>22</v>
      </c>
      <c r="AB32" s="78" t="s">
        <v>29</v>
      </c>
      <c r="AC32" s="78" t="s">
        <v>29</v>
      </c>
      <c r="AD32" s="78" t="s">
        <v>29</v>
      </c>
      <c r="AE32" s="78" t="s">
        <v>29</v>
      </c>
      <c r="AF32" s="28" t="s">
        <v>22</v>
      </c>
      <c r="AG32" s="28" t="s">
        <v>22</v>
      </c>
      <c r="AH32" s="74" t="s">
        <v>23</v>
      </c>
      <c r="AI32" s="89" t="s">
        <v>23</v>
      </c>
      <c r="AJ32" s="19"/>
      <c r="AK32" s="20"/>
      <c r="AL32" s="21">
        <f t="shared" si="0"/>
        <v>0</v>
      </c>
      <c r="AM32" s="20">
        <f t="shared" si="1"/>
        <v>0</v>
      </c>
      <c r="AN32" s="19"/>
      <c r="AO32" s="20"/>
      <c r="AP32" s="21">
        <f t="shared" si="2"/>
        <v>0</v>
      </c>
      <c r="AQ32" s="20">
        <f t="shared" si="3"/>
        <v>0</v>
      </c>
      <c r="AR32" s="19"/>
      <c r="AS32" s="21">
        <f t="shared" si="4"/>
        <v>21</v>
      </c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</row>
    <row r="33" spans="2:60">
      <c r="B33" s="276"/>
      <c r="C33" s="22" t="s">
        <v>91</v>
      </c>
      <c r="D33" s="20" t="s">
        <v>92</v>
      </c>
      <c r="E33" s="28" t="s">
        <v>22</v>
      </c>
      <c r="F33" s="28" t="s">
        <v>22</v>
      </c>
      <c r="G33" s="60" t="s">
        <v>21</v>
      </c>
      <c r="H33" s="60" t="s">
        <v>21</v>
      </c>
      <c r="I33" s="60" t="s">
        <v>21</v>
      </c>
      <c r="J33" s="60" t="s">
        <v>21</v>
      </c>
      <c r="K33" s="75" t="s">
        <v>26</v>
      </c>
      <c r="L33" s="28" t="s">
        <v>22</v>
      </c>
      <c r="M33" s="75" t="s">
        <v>176</v>
      </c>
      <c r="N33" s="74" t="s">
        <v>23</v>
      </c>
      <c r="O33" s="74" t="s">
        <v>23</v>
      </c>
      <c r="P33" s="74" t="s">
        <v>23</v>
      </c>
      <c r="Q33" s="28" t="s">
        <v>22</v>
      </c>
      <c r="R33" s="28" t="s">
        <v>22</v>
      </c>
      <c r="S33" s="60" t="s">
        <v>21</v>
      </c>
      <c r="T33" s="60" t="s">
        <v>21</v>
      </c>
      <c r="U33" s="60" t="s">
        <v>21</v>
      </c>
      <c r="V33" s="60" t="s">
        <v>21</v>
      </c>
      <c r="W33" s="28" t="s">
        <v>22</v>
      </c>
      <c r="X33" s="28" t="s">
        <v>22</v>
      </c>
      <c r="Y33" s="74" t="s">
        <v>23</v>
      </c>
      <c r="Z33" s="74" t="s">
        <v>23</v>
      </c>
      <c r="AA33" s="74" t="s">
        <v>23</v>
      </c>
      <c r="AB33" s="74" t="s">
        <v>23</v>
      </c>
      <c r="AC33" s="28" t="s">
        <v>22</v>
      </c>
      <c r="AD33" s="28" t="s">
        <v>22</v>
      </c>
      <c r="AE33" s="60" t="s">
        <v>21</v>
      </c>
      <c r="AF33" s="60" t="s">
        <v>21</v>
      </c>
      <c r="AG33" s="60" t="s">
        <v>21</v>
      </c>
      <c r="AH33" s="60" t="s">
        <v>21</v>
      </c>
      <c r="AI33" s="91" t="s">
        <v>22</v>
      </c>
      <c r="AJ33" s="19"/>
      <c r="AK33" s="20"/>
      <c r="AL33" s="21">
        <f t="shared" si="0"/>
        <v>0</v>
      </c>
      <c r="AM33" s="20">
        <f t="shared" si="1"/>
        <v>0</v>
      </c>
      <c r="AN33" s="19"/>
      <c r="AO33" s="20"/>
      <c r="AP33" s="21">
        <f t="shared" si="2"/>
        <v>0</v>
      </c>
      <c r="AQ33" s="20">
        <f t="shared" si="3"/>
        <v>0</v>
      </c>
      <c r="AR33" s="19"/>
      <c r="AS33" s="21">
        <f t="shared" si="4"/>
        <v>19</v>
      </c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</row>
    <row r="34" spans="2:60" ht="15" customHeight="1">
      <c r="B34" s="276"/>
      <c r="C34" s="20" t="s">
        <v>93</v>
      </c>
      <c r="D34" s="20" t="s">
        <v>94</v>
      </c>
      <c r="E34" s="74" t="s">
        <v>23</v>
      </c>
      <c r="F34" s="74" t="s">
        <v>23</v>
      </c>
      <c r="G34" s="74" t="s">
        <v>23</v>
      </c>
      <c r="H34" s="74" t="s">
        <v>23</v>
      </c>
      <c r="I34" s="28" t="s">
        <v>22</v>
      </c>
      <c r="J34" s="28" t="s">
        <v>22</v>
      </c>
      <c r="K34" s="74" t="s">
        <v>23</v>
      </c>
      <c r="L34" s="74" t="s">
        <v>23</v>
      </c>
      <c r="M34" s="74" t="s">
        <v>23</v>
      </c>
      <c r="N34" s="74" t="s">
        <v>23</v>
      </c>
      <c r="O34" s="28" t="s">
        <v>22</v>
      </c>
      <c r="P34" s="28" t="s">
        <v>22</v>
      </c>
      <c r="Q34" s="74" t="s">
        <v>23</v>
      </c>
      <c r="R34" s="74" t="s">
        <v>23</v>
      </c>
      <c r="S34" s="74" t="s">
        <v>23</v>
      </c>
      <c r="T34" s="74" t="s">
        <v>23</v>
      </c>
      <c r="U34" s="28" t="s">
        <v>22</v>
      </c>
      <c r="V34" s="28" t="s">
        <v>22</v>
      </c>
      <c r="W34" s="60" t="s">
        <v>21</v>
      </c>
      <c r="X34" s="60" t="s">
        <v>21</v>
      </c>
      <c r="Y34" s="60" t="s">
        <v>21</v>
      </c>
      <c r="Z34" s="60" t="s">
        <v>21</v>
      </c>
      <c r="AA34" s="28" t="s">
        <v>22</v>
      </c>
      <c r="AB34" s="28" t="s">
        <v>22</v>
      </c>
      <c r="AC34" s="74" t="s">
        <v>23</v>
      </c>
      <c r="AD34" s="74" t="s">
        <v>23</v>
      </c>
      <c r="AE34" s="74" t="s">
        <v>23</v>
      </c>
      <c r="AF34" s="74" t="s">
        <v>23</v>
      </c>
      <c r="AG34" s="28" t="s">
        <v>22</v>
      </c>
      <c r="AH34" s="28" t="s">
        <v>22</v>
      </c>
      <c r="AI34" s="90" t="s">
        <v>21</v>
      </c>
      <c r="AJ34" s="19"/>
      <c r="AK34" s="20"/>
      <c r="AL34" s="21">
        <f t="shared" si="0"/>
        <v>0</v>
      </c>
      <c r="AM34" s="20">
        <f t="shared" si="1"/>
        <v>0</v>
      </c>
      <c r="AN34" s="19"/>
      <c r="AO34" s="20"/>
      <c r="AP34" s="21">
        <f t="shared" si="2"/>
        <v>0</v>
      </c>
      <c r="AQ34" s="20">
        <f t="shared" si="3"/>
        <v>0</v>
      </c>
      <c r="AR34" s="19"/>
      <c r="AS34" s="21">
        <f t="shared" si="4"/>
        <v>21</v>
      </c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</row>
    <row r="35" spans="2:60">
      <c r="B35" s="276"/>
      <c r="C35" s="108" t="s">
        <v>95</v>
      </c>
      <c r="D35" s="109" t="s">
        <v>96</v>
      </c>
      <c r="E35" s="111" t="s">
        <v>21</v>
      </c>
      <c r="F35" s="111" t="s">
        <v>21</v>
      </c>
      <c r="G35" s="110" t="s">
        <v>22</v>
      </c>
      <c r="H35" s="110" t="s">
        <v>22</v>
      </c>
      <c r="I35" s="112" t="s">
        <v>23</v>
      </c>
      <c r="J35" s="112" t="s">
        <v>23</v>
      </c>
      <c r="K35" s="112" t="s">
        <v>23</v>
      </c>
      <c r="L35" s="112" t="s">
        <v>23</v>
      </c>
      <c r="M35" s="110" t="s">
        <v>22</v>
      </c>
      <c r="N35" s="110" t="s">
        <v>22</v>
      </c>
      <c r="O35" s="111" t="s">
        <v>21</v>
      </c>
      <c r="P35" s="111" t="s">
        <v>21</v>
      </c>
      <c r="Q35" s="111" t="s">
        <v>21</v>
      </c>
      <c r="R35" s="111" t="s">
        <v>21</v>
      </c>
      <c r="S35" s="110" t="s">
        <v>22</v>
      </c>
      <c r="T35" s="110" t="s">
        <v>22</v>
      </c>
      <c r="U35" s="112" t="s">
        <v>23</v>
      </c>
      <c r="V35" s="112" t="s">
        <v>23</v>
      </c>
      <c r="W35" s="112" t="s">
        <v>23</v>
      </c>
      <c r="X35" s="112" t="s">
        <v>23</v>
      </c>
      <c r="Y35" s="110" t="s">
        <v>22</v>
      </c>
      <c r="Z35" s="110" t="s">
        <v>22</v>
      </c>
      <c r="AA35" s="111" t="s">
        <v>21</v>
      </c>
      <c r="AB35" s="111" t="s">
        <v>21</v>
      </c>
      <c r="AC35" s="111" t="s">
        <v>21</v>
      </c>
      <c r="AD35" s="111" t="s">
        <v>21</v>
      </c>
      <c r="AE35" s="110" t="s">
        <v>22</v>
      </c>
      <c r="AF35" s="110" t="s">
        <v>22</v>
      </c>
      <c r="AG35" s="112" t="s">
        <v>23</v>
      </c>
      <c r="AH35" s="112" t="s">
        <v>23</v>
      </c>
      <c r="AI35" s="125" t="s">
        <v>23</v>
      </c>
      <c r="AJ35" s="19"/>
      <c r="AK35" s="20"/>
      <c r="AL35" s="21">
        <f t="shared" si="0"/>
        <v>0</v>
      </c>
      <c r="AM35" s="20">
        <f t="shared" si="1"/>
        <v>0</v>
      </c>
      <c r="AN35" s="19"/>
      <c r="AO35" s="20"/>
      <c r="AP35" s="21">
        <f t="shared" si="2"/>
        <v>0</v>
      </c>
      <c r="AQ35" s="20">
        <f t="shared" si="3"/>
        <v>0</v>
      </c>
      <c r="AR35" s="19"/>
      <c r="AS35" s="21">
        <f t="shared" si="4"/>
        <v>21</v>
      </c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</row>
    <row r="36" spans="2:60">
      <c r="B36" s="285" t="s">
        <v>97</v>
      </c>
      <c r="C36" s="88" t="s">
        <v>98</v>
      </c>
      <c r="D36" s="88" t="s">
        <v>99</v>
      </c>
      <c r="E36" s="119" t="s">
        <v>66</v>
      </c>
      <c r="F36" s="119" t="s">
        <v>66</v>
      </c>
      <c r="G36" s="103" t="s">
        <v>22</v>
      </c>
      <c r="H36" s="103" t="s">
        <v>22</v>
      </c>
      <c r="I36" s="118" t="s">
        <v>100</v>
      </c>
      <c r="J36" s="118" t="s">
        <v>100</v>
      </c>
      <c r="K36" s="118" t="s">
        <v>100</v>
      </c>
      <c r="L36" s="118" t="s">
        <v>100</v>
      </c>
      <c r="M36" s="103" t="s">
        <v>22</v>
      </c>
      <c r="N36" s="103" t="s">
        <v>22</v>
      </c>
      <c r="O36" s="119" t="s">
        <v>66</v>
      </c>
      <c r="P36" s="119" t="s">
        <v>66</v>
      </c>
      <c r="Q36" s="119" t="s">
        <v>66</v>
      </c>
      <c r="R36" s="119" t="s">
        <v>66</v>
      </c>
      <c r="S36" s="103" t="s">
        <v>22</v>
      </c>
      <c r="T36" s="103" t="s">
        <v>22</v>
      </c>
      <c r="U36" s="118" t="s">
        <v>100</v>
      </c>
      <c r="V36" s="118" t="s">
        <v>100</v>
      </c>
      <c r="W36" s="118" t="s">
        <v>100</v>
      </c>
      <c r="X36" s="118" t="s">
        <v>100</v>
      </c>
      <c r="Y36" s="103" t="s">
        <v>22</v>
      </c>
      <c r="Z36" s="103" t="s">
        <v>22</v>
      </c>
      <c r="AA36" s="119" t="s">
        <v>66</v>
      </c>
      <c r="AB36" s="119" t="s">
        <v>66</v>
      </c>
      <c r="AC36" s="119" t="s">
        <v>66</v>
      </c>
      <c r="AD36" s="119" t="s">
        <v>66</v>
      </c>
      <c r="AE36" s="103" t="s">
        <v>22</v>
      </c>
      <c r="AF36" s="103" t="s">
        <v>22</v>
      </c>
      <c r="AG36" s="118" t="s">
        <v>100</v>
      </c>
      <c r="AH36" s="118" t="s">
        <v>100</v>
      </c>
      <c r="AI36" s="204" t="s">
        <v>100</v>
      </c>
      <c r="AJ36" s="19"/>
      <c r="AK36" s="20"/>
      <c r="AL36" s="21">
        <f t="shared" si="0"/>
        <v>0</v>
      </c>
      <c r="AM36" s="20">
        <f t="shared" si="1"/>
        <v>0</v>
      </c>
      <c r="AN36" s="19"/>
      <c r="AO36" s="20"/>
      <c r="AP36" s="21">
        <f t="shared" si="2"/>
        <v>0</v>
      </c>
      <c r="AQ36" s="20">
        <f t="shared" si="3"/>
        <v>0</v>
      </c>
      <c r="AR36" s="19"/>
      <c r="AS36" s="21">
        <f t="shared" si="4"/>
        <v>21</v>
      </c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</row>
    <row r="37" spans="2:60">
      <c r="B37" s="278"/>
      <c r="C37" s="22" t="s">
        <v>101</v>
      </c>
      <c r="D37" s="20" t="s">
        <v>102</v>
      </c>
      <c r="E37" s="85" t="s">
        <v>100</v>
      </c>
      <c r="F37" s="85" t="s">
        <v>100</v>
      </c>
      <c r="G37" s="85" t="s">
        <v>100</v>
      </c>
      <c r="H37" s="85" t="s">
        <v>100</v>
      </c>
      <c r="I37" s="28" t="s">
        <v>22</v>
      </c>
      <c r="J37" s="28" t="s">
        <v>22</v>
      </c>
      <c r="K37" s="79" t="s">
        <v>66</v>
      </c>
      <c r="L37" s="79" t="s">
        <v>66</v>
      </c>
      <c r="M37" s="79" t="s">
        <v>66</v>
      </c>
      <c r="N37" s="79" t="s">
        <v>66</v>
      </c>
      <c r="O37" s="28" t="s">
        <v>22</v>
      </c>
      <c r="P37" s="28" t="s">
        <v>22</v>
      </c>
      <c r="Q37" s="85" t="s">
        <v>100</v>
      </c>
      <c r="R37" s="85" t="s">
        <v>100</v>
      </c>
      <c r="S37" s="85" t="s">
        <v>100</v>
      </c>
      <c r="T37" s="85" t="s">
        <v>100</v>
      </c>
      <c r="U37" s="28" t="s">
        <v>22</v>
      </c>
      <c r="V37" s="28" t="s">
        <v>22</v>
      </c>
      <c r="W37" s="79" t="s">
        <v>66</v>
      </c>
      <c r="X37" s="79" t="s">
        <v>66</v>
      </c>
      <c r="Y37" s="79" t="s">
        <v>66</v>
      </c>
      <c r="Z37" s="79" t="s">
        <v>66</v>
      </c>
      <c r="AA37" s="28" t="s">
        <v>22</v>
      </c>
      <c r="AB37" s="28" t="s">
        <v>22</v>
      </c>
      <c r="AC37" s="85" t="s">
        <v>100</v>
      </c>
      <c r="AD37" s="85" t="s">
        <v>100</v>
      </c>
      <c r="AE37" s="85" t="s">
        <v>100</v>
      </c>
      <c r="AF37" s="85" t="s">
        <v>100</v>
      </c>
      <c r="AG37" s="28" t="s">
        <v>22</v>
      </c>
      <c r="AH37" s="28" t="s">
        <v>22</v>
      </c>
      <c r="AI37" s="189" t="s">
        <v>66</v>
      </c>
      <c r="AJ37" s="19"/>
      <c r="AK37" s="20"/>
      <c r="AL37" s="21">
        <f t="shared" si="0"/>
        <v>0</v>
      </c>
      <c r="AM37" s="20">
        <f t="shared" si="1"/>
        <v>0</v>
      </c>
      <c r="AN37" s="19"/>
      <c r="AO37" s="20"/>
      <c r="AP37" s="21">
        <f t="shared" si="2"/>
        <v>0</v>
      </c>
      <c r="AQ37" s="20">
        <f t="shared" si="3"/>
        <v>0</v>
      </c>
      <c r="AR37" s="19"/>
      <c r="AS37" s="21">
        <f t="shared" si="4"/>
        <v>21</v>
      </c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</row>
    <row r="38" spans="2:60">
      <c r="B38" s="278"/>
      <c r="C38" s="20" t="s">
        <v>103</v>
      </c>
      <c r="D38" s="20" t="s">
        <v>104</v>
      </c>
      <c r="E38" s="28" t="s">
        <v>22</v>
      </c>
      <c r="F38" s="28" t="s">
        <v>22</v>
      </c>
      <c r="G38" s="79" t="s">
        <v>66</v>
      </c>
      <c r="H38" s="79" t="s">
        <v>66</v>
      </c>
      <c r="I38" s="79" t="s">
        <v>66</v>
      </c>
      <c r="J38" s="79" t="s">
        <v>66</v>
      </c>
      <c r="K38" s="28" t="s">
        <v>22</v>
      </c>
      <c r="L38" s="28" t="s">
        <v>22</v>
      </c>
      <c r="M38" s="85" t="s">
        <v>100</v>
      </c>
      <c r="N38" s="85" t="s">
        <v>100</v>
      </c>
      <c r="O38" s="85" t="s">
        <v>100</v>
      </c>
      <c r="P38" s="85" t="s">
        <v>100</v>
      </c>
      <c r="Q38" s="28" t="s">
        <v>22</v>
      </c>
      <c r="R38" s="28" t="s">
        <v>22</v>
      </c>
      <c r="S38" s="79" t="s">
        <v>66</v>
      </c>
      <c r="T38" s="79" t="s">
        <v>66</v>
      </c>
      <c r="U38" s="79" t="s">
        <v>66</v>
      </c>
      <c r="V38" s="79" t="s">
        <v>66</v>
      </c>
      <c r="W38" s="28" t="s">
        <v>22</v>
      </c>
      <c r="X38" s="28" t="s">
        <v>22</v>
      </c>
      <c r="Y38" s="85" t="s">
        <v>100</v>
      </c>
      <c r="Z38" s="85" t="s">
        <v>100</v>
      </c>
      <c r="AA38" s="85" t="s">
        <v>100</v>
      </c>
      <c r="AB38" s="85" t="s">
        <v>100</v>
      </c>
      <c r="AC38" s="28" t="s">
        <v>22</v>
      </c>
      <c r="AD38" s="28" t="s">
        <v>22</v>
      </c>
      <c r="AE38" s="79" t="s">
        <v>66</v>
      </c>
      <c r="AF38" s="79" t="s">
        <v>66</v>
      </c>
      <c r="AG38" s="79" t="s">
        <v>66</v>
      </c>
      <c r="AH38" s="79" t="s">
        <v>66</v>
      </c>
      <c r="AI38" s="91" t="s">
        <v>22</v>
      </c>
      <c r="AJ38" s="19"/>
      <c r="AK38" s="20"/>
      <c r="AL38" s="21">
        <f t="shared" si="0"/>
        <v>0</v>
      </c>
      <c r="AM38" s="20">
        <f t="shared" si="1"/>
        <v>0</v>
      </c>
      <c r="AN38" s="19"/>
      <c r="AO38" s="20"/>
      <c r="AP38" s="21">
        <f t="shared" si="2"/>
        <v>0</v>
      </c>
      <c r="AQ38" s="20">
        <f t="shared" si="3"/>
        <v>0</v>
      </c>
      <c r="AR38" s="19"/>
      <c r="AS38" s="21">
        <f t="shared" si="4"/>
        <v>20</v>
      </c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</row>
    <row r="39" spans="2:60">
      <c r="B39" s="279"/>
      <c r="C39" s="108" t="s">
        <v>105</v>
      </c>
      <c r="D39" s="109" t="s">
        <v>106</v>
      </c>
      <c r="E39" s="28" t="s">
        <v>22</v>
      </c>
      <c r="F39" s="28" t="s">
        <v>22</v>
      </c>
      <c r="G39" s="79" t="s">
        <v>66</v>
      </c>
      <c r="H39" s="79" t="s">
        <v>66</v>
      </c>
      <c r="I39" s="79" t="s">
        <v>66</v>
      </c>
      <c r="J39" s="79" t="s">
        <v>66</v>
      </c>
      <c r="K39" s="28" t="s">
        <v>22</v>
      </c>
      <c r="L39" s="28" t="s">
        <v>22</v>
      </c>
      <c r="M39" s="85" t="s">
        <v>100</v>
      </c>
      <c r="N39" s="85" t="s">
        <v>100</v>
      </c>
      <c r="O39" s="85" t="s">
        <v>100</v>
      </c>
      <c r="P39" s="85" t="s">
        <v>100</v>
      </c>
      <c r="Q39" s="28" t="s">
        <v>22</v>
      </c>
      <c r="R39" s="28" t="s">
        <v>22</v>
      </c>
      <c r="S39" s="79" t="s">
        <v>66</v>
      </c>
      <c r="T39" s="79" t="s">
        <v>66</v>
      </c>
      <c r="U39" s="79" t="s">
        <v>66</v>
      </c>
      <c r="V39" s="79" t="s">
        <v>66</v>
      </c>
      <c r="W39" s="28" t="s">
        <v>22</v>
      </c>
      <c r="X39" s="28" t="s">
        <v>22</v>
      </c>
      <c r="Y39" s="85" t="s">
        <v>100</v>
      </c>
      <c r="Z39" s="85" t="s">
        <v>100</v>
      </c>
      <c r="AA39" s="85" t="s">
        <v>100</v>
      </c>
      <c r="AB39" s="85" t="s">
        <v>100</v>
      </c>
      <c r="AC39" s="28" t="s">
        <v>22</v>
      </c>
      <c r="AD39" s="28" t="s">
        <v>22</v>
      </c>
      <c r="AE39" s="79" t="s">
        <v>66</v>
      </c>
      <c r="AF39" s="79" t="s">
        <v>66</v>
      </c>
      <c r="AG39" s="79" t="s">
        <v>66</v>
      </c>
      <c r="AH39" s="79" t="s">
        <v>66</v>
      </c>
      <c r="AI39" s="91" t="s">
        <v>22</v>
      </c>
      <c r="AJ39" s="19"/>
      <c r="AK39" s="20"/>
      <c r="AL39" s="21">
        <f t="shared" si="0"/>
        <v>0</v>
      </c>
      <c r="AM39" s="20">
        <f t="shared" si="1"/>
        <v>0</v>
      </c>
      <c r="AN39" s="19"/>
      <c r="AO39" s="20"/>
      <c r="AP39" s="21">
        <f t="shared" si="2"/>
        <v>0</v>
      </c>
      <c r="AQ39" s="20">
        <f t="shared" si="3"/>
        <v>0</v>
      </c>
      <c r="AR39" s="19"/>
      <c r="AS39" s="21">
        <f t="shared" si="4"/>
        <v>20</v>
      </c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</row>
    <row r="40" spans="2:60" ht="15" customHeight="1">
      <c r="B40" s="280" t="s">
        <v>108</v>
      </c>
      <c r="C40" s="88" t="s">
        <v>109</v>
      </c>
      <c r="D40" s="208" t="s">
        <v>110</v>
      </c>
      <c r="E40" s="205" t="s">
        <v>113</v>
      </c>
      <c r="F40" s="205" t="s">
        <v>113</v>
      </c>
      <c r="G40" s="103" t="s">
        <v>22</v>
      </c>
      <c r="H40" s="103" t="s">
        <v>22</v>
      </c>
      <c r="I40" s="205" t="s">
        <v>113</v>
      </c>
      <c r="J40" s="205" t="s">
        <v>113</v>
      </c>
      <c r="K40" s="205" t="s">
        <v>113</v>
      </c>
      <c r="L40" s="205" t="s">
        <v>113</v>
      </c>
      <c r="M40" s="205" t="s">
        <v>113</v>
      </c>
      <c r="N40" s="103" t="s">
        <v>22</v>
      </c>
      <c r="O40" s="103" t="s">
        <v>22</v>
      </c>
      <c r="P40" s="205" t="s">
        <v>113</v>
      </c>
      <c r="Q40" s="205" t="s">
        <v>113</v>
      </c>
      <c r="R40" s="205" t="s">
        <v>113</v>
      </c>
      <c r="S40" s="205" t="s">
        <v>113</v>
      </c>
      <c r="T40" s="205" t="s">
        <v>113</v>
      </c>
      <c r="U40" s="103" t="s">
        <v>22</v>
      </c>
      <c r="V40" s="103" t="s">
        <v>22</v>
      </c>
      <c r="W40" s="205" t="s">
        <v>113</v>
      </c>
      <c r="X40" s="205" t="s">
        <v>113</v>
      </c>
      <c r="Y40" s="205" t="s">
        <v>113</v>
      </c>
      <c r="Z40" s="205" t="s">
        <v>113</v>
      </c>
      <c r="AA40" s="205" t="s">
        <v>113</v>
      </c>
      <c r="AB40" s="103" t="s">
        <v>22</v>
      </c>
      <c r="AC40" s="103" t="s">
        <v>22</v>
      </c>
      <c r="AD40" s="205" t="s">
        <v>113</v>
      </c>
      <c r="AE40" s="205" t="s">
        <v>113</v>
      </c>
      <c r="AF40" s="205" t="s">
        <v>113</v>
      </c>
      <c r="AG40" s="205" t="s">
        <v>113</v>
      </c>
      <c r="AH40" s="205" t="s">
        <v>113</v>
      </c>
      <c r="AI40" s="120" t="s">
        <v>22</v>
      </c>
      <c r="AJ40" s="19"/>
      <c r="AK40" s="20"/>
      <c r="AL40" s="21">
        <f t="shared" si="0"/>
        <v>0</v>
      </c>
      <c r="AM40" s="20">
        <f t="shared" si="1"/>
        <v>0</v>
      </c>
      <c r="AN40" s="19"/>
      <c r="AO40" s="20"/>
      <c r="AP40" s="21">
        <f t="shared" si="2"/>
        <v>0</v>
      </c>
      <c r="AQ40" s="20">
        <f t="shared" si="3"/>
        <v>0</v>
      </c>
      <c r="AR40" s="19"/>
      <c r="AS40" s="21">
        <f t="shared" si="4"/>
        <v>22</v>
      </c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</row>
    <row r="41" spans="2:60">
      <c r="B41" s="276"/>
      <c r="C41" s="22" t="s">
        <v>111</v>
      </c>
      <c r="D41" s="20" t="s">
        <v>112</v>
      </c>
      <c r="E41" s="80" t="s">
        <v>113</v>
      </c>
      <c r="F41" s="80" t="s">
        <v>113</v>
      </c>
      <c r="G41" s="28" t="s">
        <v>22</v>
      </c>
      <c r="H41" s="28" t="s">
        <v>22</v>
      </c>
      <c r="I41" s="80" t="s">
        <v>113</v>
      </c>
      <c r="J41" s="80" t="s">
        <v>113</v>
      </c>
      <c r="K41" s="80" t="s">
        <v>113</v>
      </c>
      <c r="L41" s="80" t="s">
        <v>113</v>
      </c>
      <c r="M41" s="80" t="s">
        <v>113</v>
      </c>
      <c r="N41" s="28" t="s">
        <v>22</v>
      </c>
      <c r="O41" s="28" t="s">
        <v>22</v>
      </c>
      <c r="P41" s="80" t="s">
        <v>113</v>
      </c>
      <c r="Q41" s="80" t="s">
        <v>113</v>
      </c>
      <c r="R41" s="80" t="s">
        <v>113</v>
      </c>
      <c r="S41" s="80" t="s">
        <v>113</v>
      </c>
      <c r="T41" s="80" t="s">
        <v>113</v>
      </c>
      <c r="U41" s="28" t="s">
        <v>22</v>
      </c>
      <c r="V41" s="28" t="s">
        <v>22</v>
      </c>
      <c r="W41" s="80" t="s">
        <v>113</v>
      </c>
      <c r="X41" s="80" t="s">
        <v>113</v>
      </c>
      <c r="Y41" s="80" t="s">
        <v>113</v>
      </c>
      <c r="Z41" s="80" t="s">
        <v>113</v>
      </c>
      <c r="AA41" s="80" t="s">
        <v>113</v>
      </c>
      <c r="AB41" s="28" t="s">
        <v>22</v>
      </c>
      <c r="AC41" s="28" t="s">
        <v>22</v>
      </c>
      <c r="AD41" s="80" t="s">
        <v>113</v>
      </c>
      <c r="AE41" s="80" t="s">
        <v>113</v>
      </c>
      <c r="AF41" s="80" t="s">
        <v>113</v>
      </c>
      <c r="AG41" s="80" t="s">
        <v>113</v>
      </c>
      <c r="AH41" s="80" t="s">
        <v>113</v>
      </c>
      <c r="AI41" s="91" t="s">
        <v>22</v>
      </c>
      <c r="AJ41" s="19"/>
      <c r="AK41" s="20"/>
      <c r="AL41" s="21">
        <f t="shared" si="0"/>
        <v>0</v>
      </c>
      <c r="AM41" s="20">
        <f t="shared" si="1"/>
        <v>0</v>
      </c>
      <c r="AN41" s="19"/>
      <c r="AO41" s="20"/>
      <c r="AP41" s="21">
        <f t="shared" si="2"/>
        <v>0</v>
      </c>
      <c r="AQ41" s="20">
        <f t="shared" si="3"/>
        <v>0</v>
      </c>
      <c r="AR41" s="19"/>
      <c r="AS41" s="21">
        <f t="shared" si="4"/>
        <v>22</v>
      </c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</row>
    <row r="42" spans="2:60">
      <c r="B42" s="276"/>
      <c r="C42" s="20" t="s">
        <v>114</v>
      </c>
      <c r="D42" s="20" t="s">
        <v>115</v>
      </c>
      <c r="E42" s="81" t="s">
        <v>116</v>
      </c>
      <c r="F42" s="81" t="s">
        <v>116</v>
      </c>
      <c r="G42" s="28" t="s">
        <v>22</v>
      </c>
      <c r="H42" s="28" t="s">
        <v>22</v>
      </c>
      <c r="I42" s="81" t="s">
        <v>116</v>
      </c>
      <c r="J42" s="81" t="s">
        <v>116</v>
      </c>
      <c r="K42" s="81" t="s">
        <v>116</v>
      </c>
      <c r="L42" s="81" t="s">
        <v>116</v>
      </c>
      <c r="M42" s="81" t="s">
        <v>116</v>
      </c>
      <c r="N42" s="28" t="s">
        <v>22</v>
      </c>
      <c r="O42" s="28" t="s">
        <v>22</v>
      </c>
      <c r="P42" s="81" t="s">
        <v>116</v>
      </c>
      <c r="Q42" s="81" t="s">
        <v>116</v>
      </c>
      <c r="R42" s="81" t="s">
        <v>116</v>
      </c>
      <c r="S42" s="81" t="s">
        <v>116</v>
      </c>
      <c r="T42" s="81" t="s">
        <v>116</v>
      </c>
      <c r="U42" s="28" t="s">
        <v>22</v>
      </c>
      <c r="V42" s="28" t="s">
        <v>22</v>
      </c>
      <c r="W42" s="81" t="s">
        <v>116</v>
      </c>
      <c r="X42" s="81" t="s">
        <v>116</v>
      </c>
      <c r="Y42" s="81" t="s">
        <v>116</v>
      </c>
      <c r="Z42" s="81" t="s">
        <v>116</v>
      </c>
      <c r="AA42" s="81" t="s">
        <v>116</v>
      </c>
      <c r="AB42" s="28" t="s">
        <v>22</v>
      </c>
      <c r="AC42" s="28" t="s">
        <v>22</v>
      </c>
      <c r="AD42" s="81" t="s">
        <v>116</v>
      </c>
      <c r="AE42" s="81" t="s">
        <v>116</v>
      </c>
      <c r="AF42" s="81" t="s">
        <v>116</v>
      </c>
      <c r="AG42" s="81" t="s">
        <v>116</v>
      </c>
      <c r="AH42" s="81" t="s">
        <v>116</v>
      </c>
      <c r="AI42" s="91" t="s">
        <v>22</v>
      </c>
      <c r="AJ42" s="19"/>
      <c r="AK42" s="20"/>
      <c r="AL42" s="21">
        <f t="shared" si="0"/>
        <v>0</v>
      </c>
      <c r="AM42" s="20">
        <f t="shared" si="1"/>
        <v>0</v>
      </c>
      <c r="AN42" s="19"/>
      <c r="AO42" s="26"/>
      <c r="AP42" s="21">
        <f t="shared" si="2"/>
        <v>0</v>
      </c>
      <c r="AQ42" s="44">
        <f t="shared" si="3"/>
        <v>0</v>
      </c>
      <c r="AR42" s="19"/>
      <c r="AS42" s="21">
        <f t="shared" si="4"/>
        <v>22</v>
      </c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</row>
    <row r="43" spans="2:60">
      <c r="B43" s="276"/>
      <c r="C43" s="22" t="s">
        <v>117</v>
      </c>
      <c r="D43" s="20" t="s">
        <v>118</v>
      </c>
      <c r="E43" s="60" t="s">
        <v>21</v>
      </c>
      <c r="F43" s="60" t="s">
        <v>21</v>
      </c>
      <c r="G43" s="60" t="s">
        <v>21</v>
      </c>
      <c r="H43" s="60" t="s">
        <v>21</v>
      </c>
      <c r="I43" s="28" t="s">
        <v>22</v>
      </c>
      <c r="J43" s="28" t="s">
        <v>22</v>
      </c>
      <c r="K43" s="74" t="s">
        <v>23</v>
      </c>
      <c r="L43" s="74" t="s">
        <v>23</v>
      </c>
      <c r="M43" s="74" t="s">
        <v>23</v>
      </c>
      <c r="N43" s="74" t="s">
        <v>23</v>
      </c>
      <c r="O43" s="28" t="s">
        <v>22</v>
      </c>
      <c r="P43" s="28" t="s">
        <v>22</v>
      </c>
      <c r="Q43" s="60" t="s">
        <v>21</v>
      </c>
      <c r="R43" s="60" t="s">
        <v>21</v>
      </c>
      <c r="S43" s="60" t="s">
        <v>21</v>
      </c>
      <c r="T43" s="60" t="s">
        <v>21</v>
      </c>
      <c r="U43" s="28" t="s">
        <v>22</v>
      </c>
      <c r="V43" s="28" t="s">
        <v>22</v>
      </c>
      <c r="W43" s="74" t="s">
        <v>23</v>
      </c>
      <c r="X43" s="74" t="s">
        <v>23</v>
      </c>
      <c r="Y43" s="74" t="s">
        <v>23</v>
      </c>
      <c r="Z43" s="74" t="s">
        <v>23</v>
      </c>
      <c r="AA43" s="28" t="s">
        <v>22</v>
      </c>
      <c r="AB43" s="28" t="s">
        <v>22</v>
      </c>
      <c r="AC43" s="60" t="s">
        <v>21</v>
      </c>
      <c r="AD43" s="60" t="s">
        <v>21</v>
      </c>
      <c r="AE43" s="60" t="s">
        <v>21</v>
      </c>
      <c r="AF43" s="60" t="s">
        <v>21</v>
      </c>
      <c r="AG43" s="28" t="s">
        <v>22</v>
      </c>
      <c r="AH43" s="28" t="s">
        <v>22</v>
      </c>
      <c r="AI43" s="89" t="s">
        <v>23</v>
      </c>
      <c r="AJ43" s="19"/>
      <c r="AK43" s="20"/>
      <c r="AL43" s="21">
        <f t="shared" si="0"/>
        <v>0</v>
      </c>
      <c r="AM43" s="20">
        <f t="shared" si="1"/>
        <v>0</v>
      </c>
      <c r="AN43" s="19"/>
      <c r="AO43" s="20"/>
      <c r="AP43" s="21">
        <f t="shared" si="2"/>
        <v>0</v>
      </c>
      <c r="AQ43" s="20">
        <f t="shared" si="3"/>
        <v>0</v>
      </c>
      <c r="AR43" s="19"/>
      <c r="AS43" s="21">
        <f t="shared" si="4"/>
        <v>21</v>
      </c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</row>
    <row r="44" spans="2:60">
      <c r="B44" s="276"/>
      <c r="C44" s="20" t="s">
        <v>119</v>
      </c>
      <c r="D44" s="20" t="s">
        <v>120</v>
      </c>
      <c r="E44" s="60" t="s">
        <v>21</v>
      </c>
      <c r="F44" s="60" t="s">
        <v>21</v>
      </c>
      <c r="G44" s="60" t="s">
        <v>21</v>
      </c>
      <c r="H44" s="60" t="s">
        <v>21</v>
      </c>
      <c r="I44" s="28" t="s">
        <v>22</v>
      </c>
      <c r="J44" s="28" t="s">
        <v>22</v>
      </c>
      <c r="K44" s="74" t="s">
        <v>23</v>
      </c>
      <c r="L44" s="74" t="s">
        <v>23</v>
      </c>
      <c r="M44" s="74" t="s">
        <v>23</v>
      </c>
      <c r="N44" s="74" t="s">
        <v>23</v>
      </c>
      <c r="O44" s="28" t="s">
        <v>22</v>
      </c>
      <c r="P44" s="28" t="s">
        <v>22</v>
      </c>
      <c r="Q44" s="60" t="s">
        <v>21</v>
      </c>
      <c r="R44" s="60" t="s">
        <v>21</v>
      </c>
      <c r="S44" s="60" t="s">
        <v>21</v>
      </c>
      <c r="T44" s="60" t="s">
        <v>21</v>
      </c>
      <c r="U44" s="28" t="s">
        <v>22</v>
      </c>
      <c r="V44" s="28" t="s">
        <v>22</v>
      </c>
      <c r="W44" s="74" t="s">
        <v>23</v>
      </c>
      <c r="X44" s="74" t="s">
        <v>23</v>
      </c>
      <c r="Y44" s="74" t="s">
        <v>23</v>
      </c>
      <c r="Z44" s="74" t="s">
        <v>23</v>
      </c>
      <c r="AA44" s="28" t="s">
        <v>22</v>
      </c>
      <c r="AB44" s="28" t="s">
        <v>22</v>
      </c>
      <c r="AC44" s="60" t="s">
        <v>21</v>
      </c>
      <c r="AD44" s="60" t="s">
        <v>21</v>
      </c>
      <c r="AE44" s="60" t="s">
        <v>21</v>
      </c>
      <c r="AF44" s="60" t="s">
        <v>21</v>
      </c>
      <c r="AG44" s="28" t="s">
        <v>22</v>
      </c>
      <c r="AH44" s="28" t="s">
        <v>22</v>
      </c>
      <c r="AI44" s="89" t="s">
        <v>23</v>
      </c>
      <c r="AJ44" s="19"/>
      <c r="AK44" s="20"/>
      <c r="AL44" s="21">
        <f t="shared" si="0"/>
        <v>0</v>
      </c>
      <c r="AM44" s="20">
        <f t="shared" si="1"/>
        <v>0</v>
      </c>
      <c r="AN44" s="19"/>
      <c r="AO44" s="20"/>
      <c r="AP44" s="21">
        <f t="shared" si="2"/>
        <v>0</v>
      </c>
      <c r="AQ44" s="20">
        <f t="shared" si="3"/>
        <v>0</v>
      </c>
      <c r="AR44" s="19"/>
      <c r="AS44" s="21">
        <f t="shared" si="4"/>
        <v>21</v>
      </c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</row>
    <row r="45" spans="2:60">
      <c r="B45" s="276"/>
      <c r="C45" s="22" t="s">
        <v>121</v>
      </c>
      <c r="D45" s="20" t="s">
        <v>122</v>
      </c>
      <c r="E45" s="74" t="s">
        <v>23</v>
      </c>
      <c r="F45" s="74" t="s">
        <v>23</v>
      </c>
      <c r="G45" s="28" t="s">
        <v>22</v>
      </c>
      <c r="H45" s="28" t="s">
        <v>22</v>
      </c>
      <c r="I45" s="60" t="s">
        <v>21</v>
      </c>
      <c r="J45" s="60" t="s">
        <v>21</v>
      </c>
      <c r="K45" s="60" t="s">
        <v>21</v>
      </c>
      <c r="L45" s="60" t="s">
        <v>21</v>
      </c>
      <c r="M45" s="28" t="s">
        <v>22</v>
      </c>
      <c r="N45" s="28" t="s">
        <v>22</v>
      </c>
      <c r="O45" s="74" t="s">
        <v>23</v>
      </c>
      <c r="P45" s="74" t="s">
        <v>23</v>
      </c>
      <c r="Q45" s="74" t="s">
        <v>23</v>
      </c>
      <c r="R45" s="74" t="s">
        <v>23</v>
      </c>
      <c r="S45" s="28" t="s">
        <v>22</v>
      </c>
      <c r="T45" s="28" t="s">
        <v>22</v>
      </c>
      <c r="U45" s="60" t="s">
        <v>21</v>
      </c>
      <c r="V45" s="60" t="s">
        <v>21</v>
      </c>
      <c r="W45" s="60" t="s">
        <v>21</v>
      </c>
      <c r="X45" s="60" t="s">
        <v>21</v>
      </c>
      <c r="Y45" s="28" t="s">
        <v>22</v>
      </c>
      <c r="Z45" s="28" t="s">
        <v>22</v>
      </c>
      <c r="AA45" s="74" t="s">
        <v>23</v>
      </c>
      <c r="AB45" s="74" t="s">
        <v>23</v>
      </c>
      <c r="AC45" s="74" t="s">
        <v>23</v>
      </c>
      <c r="AD45" s="74" t="s">
        <v>23</v>
      </c>
      <c r="AE45" s="28" t="s">
        <v>22</v>
      </c>
      <c r="AF45" s="28" t="s">
        <v>22</v>
      </c>
      <c r="AG45" s="60" t="s">
        <v>21</v>
      </c>
      <c r="AH45" s="60" t="s">
        <v>21</v>
      </c>
      <c r="AI45" s="90" t="s">
        <v>21</v>
      </c>
      <c r="AJ45" s="19"/>
      <c r="AK45" s="20"/>
      <c r="AL45" s="21">
        <f t="shared" si="0"/>
        <v>0</v>
      </c>
      <c r="AM45" s="20">
        <f t="shared" si="1"/>
        <v>0</v>
      </c>
      <c r="AN45" s="19"/>
      <c r="AO45" s="20"/>
      <c r="AP45" s="21">
        <f t="shared" si="2"/>
        <v>0</v>
      </c>
      <c r="AQ45" s="20">
        <f t="shared" si="3"/>
        <v>0</v>
      </c>
      <c r="AR45" s="19"/>
      <c r="AS45" s="21">
        <f t="shared" si="4"/>
        <v>21</v>
      </c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</row>
    <row r="46" spans="2:60" ht="15" customHeight="1">
      <c r="B46" s="276"/>
      <c r="C46" s="20" t="s">
        <v>124</v>
      </c>
      <c r="D46" s="20" t="s">
        <v>125</v>
      </c>
      <c r="E46" s="74" t="s">
        <v>23</v>
      </c>
      <c r="F46" s="74" t="s">
        <v>23</v>
      </c>
      <c r="G46" s="28" t="s">
        <v>22</v>
      </c>
      <c r="H46" s="28" t="s">
        <v>22</v>
      </c>
      <c r="I46" s="60" t="s">
        <v>21</v>
      </c>
      <c r="J46" s="60" t="s">
        <v>21</v>
      </c>
      <c r="K46" s="60" t="s">
        <v>21</v>
      </c>
      <c r="L46" s="60" t="s">
        <v>21</v>
      </c>
      <c r="M46" s="28" t="s">
        <v>22</v>
      </c>
      <c r="N46" s="28" t="s">
        <v>22</v>
      </c>
      <c r="O46" s="74" t="s">
        <v>23</v>
      </c>
      <c r="P46" s="74" t="s">
        <v>23</v>
      </c>
      <c r="Q46" s="74" t="s">
        <v>23</v>
      </c>
      <c r="R46" s="74" t="s">
        <v>23</v>
      </c>
      <c r="S46" s="28" t="s">
        <v>22</v>
      </c>
      <c r="T46" s="28" t="s">
        <v>22</v>
      </c>
      <c r="U46" s="60" t="s">
        <v>21</v>
      </c>
      <c r="V46" s="60" t="s">
        <v>21</v>
      </c>
      <c r="W46" s="60" t="s">
        <v>21</v>
      </c>
      <c r="X46" s="60" t="s">
        <v>21</v>
      </c>
      <c r="Y46" s="28" t="s">
        <v>22</v>
      </c>
      <c r="Z46" s="28" t="s">
        <v>22</v>
      </c>
      <c r="AA46" s="74" t="s">
        <v>23</v>
      </c>
      <c r="AB46" s="74" t="s">
        <v>23</v>
      </c>
      <c r="AC46" s="74" t="s">
        <v>23</v>
      </c>
      <c r="AD46" s="74" t="s">
        <v>23</v>
      </c>
      <c r="AE46" s="28" t="s">
        <v>22</v>
      </c>
      <c r="AF46" s="28" t="s">
        <v>22</v>
      </c>
      <c r="AG46" s="60" t="s">
        <v>21</v>
      </c>
      <c r="AH46" s="60" t="s">
        <v>21</v>
      </c>
      <c r="AI46" s="90" t="s">
        <v>21</v>
      </c>
      <c r="AJ46" s="19"/>
      <c r="AK46" s="20"/>
      <c r="AL46" s="21">
        <f t="shared" si="0"/>
        <v>0</v>
      </c>
      <c r="AM46" s="20">
        <f t="shared" si="1"/>
        <v>0</v>
      </c>
      <c r="AN46" s="19"/>
      <c r="AO46" s="20"/>
      <c r="AP46" s="21">
        <f t="shared" si="2"/>
        <v>0</v>
      </c>
      <c r="AQ46" s="20">
        <f t="shared" si="3"/>
        <v>0</v>
      </c>
      <c r="AR46" s="19"/>
      <c r="AS46" s="21">
        <f t="shared" si="4"/>
        <v>21</v>
      </c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</row>
    <row r="47" spans="2:60">
      <c r="B47" s="281"/>
      <c r="C47" s="92" t="s">
        <v>126</v>
      </c>
      <c r="D47" s="93" t="s">
        <v>127</v>
      </c>
      <c r="E47" s="94" t="s">
        <v>22</v>
      </c>
      <c r="F47" s="94" t="s">
        <v>22</v>
      </c>
      <c r="G47" s="96" t="s">
        <v>23</v>
      </c>
      <c r="H47" s="96" t="s">
        <v>23</v>
      </c>
      <c r="I47" s="96" t="s">
        <v>23</v>
      </c>
      <c r="J47" s="96" t="s">
        <v>23</v>
      </c>
      <c r="K47" s="94" t="s">
        <v>22</v>
      </c>
      <c r="L47" s="94" t="s">
        <v>22</v>
      </c>
      <c r="M47" s="95" t="s">
        <v>21</v>
      </c>
      <c r="N47" s="95" t="s">
        <v>21</v>
      </c>
      <c r="O47" s="95" t="s">
        <v>21</v>
      </c>
      <c r="P47" s="95" t="s">
        <v>21</v>
      </c>
      <c r="Q47" s="94" t="s">
        <v>22</v>
      </c>
      <c r="R47" s="94" t="s">
        <v>22</v>
      </c>
      <c r="S47" s="96" t="s">
        <v>23</v>
      </c>
      <c r="T47" s="96" t="s">
        <v>23</v>
      </c>
      <c r="U47" s="96" t="s">
        <v>23</v>
      </c>
      <c r="V47" s="96" t="s">
        <v>23</v>
      </c>
      <c r="W47" s="94" t="s">
        <v>22</v>
      </c>
      <c r="X47" s="94" t="s">
        <v>22</v>
      </c>
      <c r="Y47" s="95" t="s">
        <v>21</v>
      </c>
      <c r="Z47" s="95" t="s">
        <v>21</v>
      </c>
      <c r="AA47" s="95" t="s">
        <v>21</v>
      </c>
      <c r="AB47" s="95" t="s">
        <v>21</v>
      </c>
      <c r="AC47" s="94" t="s">
        <v>22</v>
      </c>
      <c r="AD47" s="94" t="s">
        <v>22</v>
      </c>
      <c r="AE47" s="96" t="s">
        <v>23</v>
      </c>
      <c r="AF47" s="96" t="s">
        <v>23</v>
      </c>
      <c r="AG47" s="96" t="s">
        <v>23</v>
      </c>
      <c r="AH47" s="96" t="s">
        <v>23</v>
      </c>
      <c r="AI47" s="97" t="s">
        <v>22</v>
      </c>
      <c r="AJ47" s="19"/>
      <c r="AK47" s="20"/>
      <c r="AL47" s="21">
        <f t="shared" si="0"/>
        <v>0</v>
      </c>
      <c r="AM47" s="20">
        <f t="shared" si="1"/>
        <v>0</v>
      </c>
      <c r="AN47" s="19"/>
      <c r="AO47" s="20"/>
      <c r="AP47" s="21">
        <f t="shared" si="2"/>
        <v>0</v>
      </c>
      <c r="AQ47" s="20">
        <f t="shared" si="3"/>
        <v>0</v>
      </c>
      <c r="AR47" s="19"/>
      <c r="AS47" s="21">
        <f t="shared" si="4"/>
        <v>20</v>
      </c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</row>
    <row r="48" spans="2:60">
      <c r="B48" s="42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</row>
    <row r="49" spans="2:60">
      <c r="B49" s="282" t="s">
        <v>252</v>
      </c>
      <c r="C49" s="286" t="s">
        <v>253</v>
      </c>
      <c r="D49" s="286"/>
      <c r="E49" s="21">
        <f>COUNTIF(C5:C47,$C$49)</f>
        <v>0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</row>
    <row r="50" spans="2:60">
      <c r="B50" s="282"/>
      <c r="C50" s="286" t="s">
        <v>253</v>
      </c>
      <c r="D50" s="286"/>
      <c r="E50" s="21">
        <f>COUNTIF(C5:C47,$C$50)</f>
        <v>0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</row>
    <row r="51" spans="2:60">
      <c r="C51" s="286" t="s">
        <v>128</v>
      </c>
      <c r="D51" s="286"/>
      <c r="E51" s="21">
        <f>E49+E50</f>
        <v>0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</row>
    <row r="52" spans="2:60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</row>
    <row r="53" spans="2:60"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</row>
    <row r="54" spans="2:60">
      <c r="C54" s="19"/>
      <c r="D54" s="19"/>
      <c r="E54" s="28" t="s">
        <v>22</v>
      </c>
      <c r="F54" s="250" t="s">
        <v>129</v>
      </c>
      <c r="G54" s="251"/>
      <c r="H54" s="251"/>
      <c r="I54" s="252"/>
      <c r="J54" s="19"/>
      <c r="K54" s="29" t="s">
        <v>130</v>
      </c>
      <c r="L54" s="250" t="s">
        <v>131</v>
      </c>
      <c r="M54" s="251"/>
      <c r="N54" s="251"/>
      <c r="O54" s="252"/>
      <c r="P54" s="19"/>
      <c r="Q54" s="256" t="s">
        <v>132</v>
      </c>
      <c r="R54" s="256"/>
      <c r="S54" s="256"/>
      <c r="T54" s="25"/>
      <c r="V54" s="258" t="s">
        <v>133</v>
      </c>
      <c r="W54" s="258"/>
      <c r="X54" s="258"/>
      <c r="Y54" s="258" t="s">
        <v>134</v>
      </c>
      <c r="Z54" s="258"/>
      <c r="AA54" s="258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</row>
    <row r="55" spans="2:60">
      <c r="C55" s="19"/>
      <c r="D55" s="19"/>
      <c r="E55" s="28" t="s">
        <v>135</v>
      </c>
      <c r="F55" s="250" t="s">
        <v>136</v>
      </c>
      <c r="G55" s="251"/>
      <c r="H55" s="251"/>
      <c r="I55" s="252"/>
      <c r="J55" s="19"/>
      <c r="K55" s="29" t="s">
        <v>123</v>
      </c>
      <c r="L55" s="250" t="s">
        <v>137</v>
      </c>
      <c r="M55" s="251"/>
      <c r="N55" s="251"/>
      <c r="O55" s="252"/>
      <c r="P55" s="19"/>
      <c r="Q55" s="21" t="s">
        <v>20</v>
      </c>
      <c r="R55" s="283" t="s">
        <v>138</v>
      </c>
      <c r="S55" s="284"/>
      <c r="U55" s="57" t="s">
        <v>29</v>
      </c>
      <c r="V55" s="240" t="s">
        <v>139</v>
      </c>
      <c r="W55" s="240"/>
      <c r="X55" s="240"/>
      <c r="Y55" s="240" t="s">
        <v>140</v>
      </c>
      <c r="Z55" s="240"/>
      <c r="AA55" s="240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</row>
    <row r="56" spans="2:60">
      <c r="C56" s="19"/>
      <c r="D56" s="19"/>
      <c r="E56" s="30" t="s">
        <v>20</v>
      </c>
      <c r="F56" s="250" t="s">
        <v>141</v>
      </c>
      <c r="G56" s="251"/>
      <c r="H56" s="251"/>
      <c r="I56" s="252"/>
      <c r="J56" s="19"/>
      <c r="K56" s="28" t="s">
        <v>107</v>
      </c>
      <c r="L56" s="250" t="s">
        <v>142</v>
      </c>
      <c r="M56" s="251"/>
      <c r="N56" s="251"/>
      <c r="O56" s="252"/>
      <c r="P56" s="19"/>
      <c r="Q56" s="21" t="s">
        <v>143</v>
      </c>
      <c r="R56" s="283" t="s">
        <v>144</v>
      </c>
      <c r="S56" s="284"/>
      <c r="U56" s="46" t="s">
        <v>145</v>
      </c>
      <c r="V56" s="240" t="s">
        <v>146</v>
      </c>
      <c r="W56" s="240"/>
      <c r="X56" s="240"/>
      <c r="Y56" s="240" t="s">
        <v>147</v>
      </c>
      <c r="Z56" s="240"/>
      <c r="AA56" s="240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</row>
    <row r="57" spans="2:60">
      <c r="C57" s="19"/>
      <c r="D57" s="19"/>
      <c r="E57" s="31" t="s">
        <v>36</v>
      </c>
      <c r="F57" s="250" t="s">
        <v>148</v>
      </c>
      <c r="G57" s="251"/>
      <c r="H57" s="251"/>
      <c r="I57" s="252"/>
      <c r="J57" s="19"/>
      <c r="K57" s="28" t="s">
        <v>143</v>
      </c>
      <c r="L57" s="250" t="s">
        <v>142</v>
      </c>
      <c r="M57" s="251"/>
      <c r="N57" s="251"/>
      <c r="O57" s="252"/>
      <c r="P57" s="19"/>
      <c r="Q57" s="21" t="s">
        <v>149</v>
      </c>
      <c r="R57" s="259" t="s">
        <v>150</v>
      </c>
      <c r="S57" s="260"/>
      <c r="U57" s="47" t="s">
        <v>151</v>
      </c>
      <c r="V57" s="240" t="s">
        <v>152</v>
      </c>
      <c r="W57" s="240"/>
      <c r="X57" s="240"/>
      <c r="Y57" s="240" t="s">
        <v>153</v>
      </c>
      <c r="Z57" s="240"/>
      <c r="AA57" s="240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</row>
    <row r="58" spans="2:60">
      <c r="C58" s="19"/>
      <c r="D58" s="19"/>
      <c r="E58" s="31" t="s">
        <v>33</v>
      </c>
      <c r="F58" s="250" t="s">
        <v>154</v>
      </c>
      <c r="G58" s="251"/>
      <c r="H58" s="251"/>
      <c r="I58" s="252"/>
      <c r="J58" s="19"/>
      <c r="K58" s="28" t="s">
        <v>155</v>
      </c>
      <c r="L58" s="250" t="s">
        <v>142</v>
      </c>
      <c r="M58" s="251"/>
      <c r="N58" s="251"/>
      <c r="O58" s="252"/>
      <c r="P58" s="19"/>
      <c r="Q58" s="21" t="s">
        <v>156</v>
      </c>
      <c r="R58" s="282" t="s">
        <v>157</v>
      </c>
      <c r="S58" s="282"/>
      <c r="U58" s="58" t="s">
        <v>100</v>
      </c>
      <c r="V58" s="240" t="s">
        <v>158</v>
      </c>
      <c r="W58" s="240"/>
      <c r="X58" s="240"/>
      <c r="Y58" s="240" t="s">
        <v>159</v>
      </c>
      <c r="Z58" s="240"/>
      <c r="AA58" s="240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</row>
    <row r="59" spans="2:60">
      <c r="C59" s="19"/>
      <c r="D59" s="19"/>
      <c r="E59" s="32" t="s">
        <v>20</v>
      </c>
      <c r="F59" s="250" t="s">
        <v>160</v>
      </c>
      <c r="G59" s="251"/>
      <c r="H59" s="251"/>
      <c r="I59" s="252"/>
      <c r="J59" s="19"/>
      <c r="K59" s="33" t="s">
        <v>81</v>
      </c>
      <c r="L59" s="250" t="s">
        <v>161</v>
      </c>
      <c r="M59" s="251"/>
      <c r="N59" s="251"/>
      <c r="O59" s="252"/>
      <c r="P59" s="19"/>
      <c r="Q59" s="21" t="s">
        <v>162</v>
      </c>
      <c r="R59" s="282" t="s">
        <v>163</v>
      </c>
      <c r="S59" s="282"/>
      <c r="U59" s="59" t="s">
        <v>164</v>
      </c>
      <c r="V59" s="240" t="s">
        <v>165</v>
      </c>
      <c r="W59" s="240"/>
      <c r="X59" s="240"/>
      <c r="Y59" s="240" t="s">
        <v>166</v>
      </c>
      <c r="Z59" s="240"/>
      <c r="AA59" s="240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</row>
    <row r="60" spans="2:60">
      <c r="C60" s="19"/>
      <c r="D60" s="19"/>
      <c r="E60" s="32" t="s">
        <v>36</v>
      </c>
      <c r="F60" s="250" t="s">
        <v>167</v>
      </c>
      <c r="G60" s="251"/>
      <c r="H60" s="251"/>
      <c r="I60" s="252"/>
      <c r="J60" s="19"/>
      <c r="K60" s="28" t="s">
        <v>168</v>
      </c>
      <c r="L60" s="250" t="s">
        <v>161</v>
      </c>
      <c r="M60" s="251"/>
      <c r="N60" s="251"/>
      <c r="O60" s="252"/>
      <c r="T60" s="19"/>
      <c r="U60" s="72" t="s">
        <v>169</v>
      </c>
      <c r="V60" s="240" t="s">
        <v>170</v>
      </c>
      <c r="W60" s="240"/>
      <c r="X60" s="240"/>
      <c r="Y60" s="240" t="s">
        <v>171</v>
      </c>
      <c r="Z60" s="240"/>
      <c r="AA60" s="240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</row>
    <row r="61" spans="2:60">
      <c r="C61" s="19"/>
      <c r="D61" s="19"/>
      <c r="E61" s="34" t="s">
        <v>26</v>
      </c>
      <c r="F61" s="250" t="s">
        <v>172</v>
      </c>
      <c r="G61" s="251"/>
      <c r="H61" s="251"/>
      <c r="I61" s="252"/>
      <c r="J61" s="19"/>
      <c r="K61" s="28" t="s">
        <v>173</v>
      </c>
      <c r="L61" s="250" t="s">
        <v>161</v>
      </c>
      <c r="M61" s="251"/>
      <c r="N61" s="251"/>
      <c r="O61" s="252"/>
      <c r="T61" s="19"/>
      <c r="U61" s="60" t="s">
        <v>21</v>
      </c>
      <c r="V61" s="240" t="s">
        <v>174</v>
      </c>
      <c r="W61" s="240"/>
      <c r="X61" s="240"/>
      <c r="Y61" s="240" t="s">
        <v>175</v>
      </c>
      <c r="Z61" s="240"/>
      <c r="AA61" s="240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</row>
    <row r="62" spans="2:60">
      <c r="C62" s="19"/>
      <c r="D62" s="19"/>
      <c r="E62" s="34" t="s">
        <v>176</v>
      </c>
      <c r="F62" s="250" t="s">
        <v>177</v>
      </c>
      <c r="G62" s="251"/>
      <c r="H62" s="251"/>
      <c r="I62" s="252"/>
      <c r="J62" s="19"/>
      <c r="K62" s="28" t="s">
        <v>178</v>
      </c>
      <c r="L62" s="250" t="s">
        <v>161</v>
      </c>
      <c r="M62" s="251"/>
      <c r="N62" s="251"/>
      <c r="O62" s="252"/>
      <c r="T62" s="19"/>
      <c r="U62" s="61" t="s">
        <v>179</v>
      </c>
      <c r="V62" s="240" t="s">
        <v>180</v>
      </c>
      <c r="W62" s="240"/>
      <c r="X62" s="240"/>
      <c r="Y62" s="240" t="s">
        <v>181</v>
      </c>
      <c r="Z62" s="240"/>
      <c r="AA62" s="240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</row>
    <row r="63" spans="2:60">
      <c r="C63" s="19"/>
      <c r="D63" s="19"/>
      <c r="E63" s="32" t="s">
        <v>182</v>
      </c>
      <c r="F63" s="250" t="s">
        <v>183</v>
      </c>
      <c r="G63" s="251"/>
      <c r="H63" s="251"/>
      <c r="I63" s="252"/>
      <c r="J63" s="19"/>
      <c r="K63" s="27" t="s">
        <v>67</v>
      </c>
      <c r="L63" s="250" t="s">
        <v>161</v>
      </c>
      <c r="M63" s="251"/>
      <c r="N63" s="251"/>
      <c r="O63" s="252"/>
      <c r="P63" s="19"/>
      <c r="Q63" s="19"/>
      <c r="R63" s="19"/>
      <c r="S63" s="19"/>
      <c r="T63" s="19"/>
      <c r="U63" s="62" t="s">
        <v>184</v>
      </c>
      <c r="V63" s="240" t="s">
        <v>185</v>
      </c>
      <c r="W63" s="240"/>
      <c r="X63" s="240"/>
      <c r="Y63" s="240" t="s">
        <v>186</v>
      </c>
      <c r="Z63" s="240"/>
      <c r="AA63" s="240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</row>
    <row r="64" spans="2:60">
      <c r="C64" s="19"/>
      <c r="D64" s="19"/>
      <c r="E64" s="33" t="s">
        <v>30</v>
      </c>
      <c r="F64" s="250" t="s">
        <v>187</v>
      </c>
      <c r="G64" s="251"/>
      <c r="H64" s="251"/>
      <c r="I64" s="252"/>
      <c r="J64" s="19"/>
      <c r="K64" s="28" t="s">
        <v>188</v>
      </c>
      <c r="L64" s="250" t="s">
        <v>161</v>
      </c>
      <c r="M64" s="251"/>
      <c r="N64" s="251"/>
      <c r="O64" s="252"/>
      <c r="P64" s="19"/>
      <c r="Q64" s="19"/>
      <c r="R64" s="19"/>
      <c r="S64" s="19"/>
      <c r="T64" s="19"/>
      <c r="U64" s="50" t="s">
        <v>42</v>
      </c>
      <c r="V64" s="240" t="s">
        <v>189</v>
      </c>
      <c r="W64" s="240"/>
      <c r="X64" s="240"/>
      <c r="Y64" s="240" t="s">
        <v>190</v>
      </c>
      <c r="Z64" s="240"/>
      <c r="AA64" s="240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</row>
    <row r="65" spans="3:60">
      <c r="C65" s="19"/>
      <c r="D65" s="19"/>
      <c r="E65" s="35" t="s">
        <v>191</v>
      </c>
      <c r="F65" s="250" t="s">
        <v>192</v>
      </c>
      <c r="G65" s="251"/>
      <c r="H65" s="251"/>
      <c r="I65" s="252"/>
      <c r="J65" s="19"/>
      <c r="K65" s="28" t="s">
        <v>193</v>
      </c>
      <c r="L65" s="250" t="s">
        <v>161</v>
      </c>
      <c r="M65" s="251"/>
      <c r="N65" s="251"/>
      <c r="O65" s="252"/>
      <c r="P65" s="19"/>
      <c r="Q65" s="19"/>
      <c r="R65" s="19"/>
      <c r="S65" s="19"/>
      <c r="T65" s="19"/>
      <c r="U65" s="51" t="s">
        <v>194</v>
      </c>
      <c r="V65" s="240" t="s">
        <v>195</v>
      </c>
      <c r="W65" s="240"/>
      <c r="X65" s="240"/>
      <c r="Y65" s="240" t="s">
        <v>196</v>
      </c>
      <c r="Z65" s="240"/>
      <c r="AA65" s="240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</row>
    <row r="66" spans="3:60">
      <c r="C66" s="19"/>
      <c r="D66" s="19"/>
      <c r="E66" s="36" t="s">
        <v>197</v>
      </c>
      <c r="F66" s="250" t="s">
        <v>198</v>
      </c>
      <c r="G66" s="251"/>
      <c r="H66" s="251"/>
      <c r="I66" s="252"/>
      <c r="J66" s="19"/>
      <c r="K66" s="37" t="s">
        <v>199</v>
      </c>
      <c r="L66" s="250" t="s">
        <v>161</v>
      </c>
      <c r="M66" s="251"/>
      <c r="N66" s="251"/>
      <c r="O66" s="252"/>
      <c r="P66" s="19"/>
      <c r="Q66" s="19"/>
      <c r="R66" s="19"/>
      <c r="S66" s="19"/>
      <c r="T66" s="19"/>
      <c r="U66" s="49" t="s">
        <v>200</v>
      </c>
      <c r="V66" s="240" t="s">
        <v>201</v>
      </c>
      <c r="W66" s="240"/>
      <c r="X66" s="240"/>
      <c r="Y66" s="240" t="s">
        <v>202</v>
      </c>
      <c r="Z66" s="240"/>
      <c r="AA66" s="240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</row>
    <row r="67" spans="3:60">
      <c r="C67" s="19"/>
      <c r="D67" s="19"/>
      <c r="E67" s="27" t="s">
        <v>203</v>
      </c>
      <c r="F67" s="250" t="s">
        <v>204</v>
      </c>
      <c r="G67" s="251"/>
      <c r="H67" s="251"/>
      <c r="I67" s="252"/>
      <c r="J67" s="19"/>
      <c r="K67" s="28" t="s">
        <v>205</v>
      </c>
      <c r="L67" s="250" t="s">
        <v>161</v>
      </c>
      <c r="M67" s="251"/>
      <c r="N67" s="251"/>
      <c r="O67" s="252"/>
      <c r="P67" s="19"/>
      <c r="Q67" s="19"/>
      <c r="R67" s="19"/>
      <c r="S67" s="19"/>
      <c r="T67" s="19"/>
      <c r="U67" s="63" t="s">
        <v>206</v>
      </c>
      <c r="V67" s="240" t="s">
        <v>207</v>
      </c>
      <c r="W67" s="240"/>
      <c r="X67" s="240"/>
      <c r="Y67" s="240" t="s">
        <v>208</v>
      </c>
      <c r="Z67" s="240"/>
      <c r="AA67" s="240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</row>
    <row r="68" spans="3:60">
      <c r="C68" s="19"/>
      <c r="D68" s="19"/>
      <c r="E68" s="36" t="s">
        <v>209</v>
      </c>
      <c r="F68" s="250" t="s">
        <v>210</v>
      </c>
      <c r="G68" s="251"/>
      <c r="H68" s="251"/>
      <c r="I68" s="252"/>
      <c r="J68" s="19"/>
      <c r="K68" s="38" t="s">
        <v>211</v>
      </c>
      <c r="L68" s="250" t="s">
        <v>212</v>
      </c>
      <c r="M68" s="251"/>
      <c r="N68" s="251"/>
      <c r="O68" s="252"/>
      <c r="P68" s="19"/>
      <c r="Q68" s="19"/>
      <c r="R68" s="19"/>
      <c r="S68" s="19"/>
      <c r="T68" s="19"/>
      <c r="U68" s="56" t="s">
        <v>116</v>
      </c>
      <c r="V68" s="240" t="s">
        <v>213</v>
      </c>
      <c r="W68" s="240"/>
      <c r="X68" s="240"/>
      <c r="Y68" s="240" t="s">
        <v>214</v>
      </c>
      <c r="Z68" s="240"/>
      <c r="AA68" s="240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</row>
    <row r="69" spans="3:60">
      <c r="C69" s="19"/>
      <c r="D69" s="19"/>
      <c r="U69" s="54" t="s">
        <v>215</v>
      </c>
      <c r="V69" s="240" t="s">
        <v>216</v>
      </c>
      <c r="W69" s="240"/>
      <c r="X69" s="240"/>
      <c r="Y69" s="240" t="s">
        <v>217</v>
      </c>
      <c r="Z69" s="240"/>
      <c r="AA69" s="240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</row>
    <row r="70" spans="3:60"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55" t="s">
        <v>113</v>
      </c>
      <c r="V70" s="240" t="s">
        <v>218</v>
      </c>
      <c r="W70" s="240"/>
      <c r="X70" s="240"/>
      <c r="Y70" s="240" t="s">
        <v>219</v>
      </c>
      <c r="Z70" s="240"/>
      <c r="AA70" s="240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</row>
    <row r="71" spans="3:60"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64" t="s">
        <v>220</v>
      </c>
      <c r="V71" s="240" t="s">
        <v>221</v>
      </c>
      <c r="W71" s="240"/>
      <c r="X71" s="240"/>
      <c r="Y71" s="240" t="s">
        <v>222</v>
      </c>
      <c r="Z71" s="240"/>
      <c r="AA71" s="240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</row>
    <row r="72" spans="3:60"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65" t="s">
        <v>223</v>
      </c>
      <c r="V72" s="240" t="s">
        <v>224</v>
      </c>
      <c r="W72" s="240"/>
      <c r="X72" s="240"/>
      <c r="Y72" s="240" t="s">
        <v>225</v>
      </c>
      <c r="Z72" s="240"/>
      <c r="AA72" s="240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</row>
    <row r="73" spans="3:60"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66" t="s">
        <v>226</v>
      </c>
      <c r="V73" s="240" t="s">
        <v>227</v>
      </c>
      <c r="W73" s="240"/>
      <c r="X73" s="240"/>
      <c r="Y73" s="240" t="s">
        <v>228</v>
      </c>
      <c r="Z73" s="240"/>
      <c r="AA73" s="240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</row>
    <row r="74" spans="3:60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67" t="s">
        <v>84</v>
      </c>
      <c r="V74" s="240" t="s">
        <v>229</v>
      </c>
      <c r="W74" s="240"/>
      <c r="X74" s="240"/>
      <c r="Y74" s="240" t="s">
        <v>230</v>
      </c>
      <c r="Z74" s="240"/>
      <c r="AA74" s="240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</row>
    <row r="75" spans="3:60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68" t="s">
        <v>41</v>
      </c>
      <c r="V75" s="240" t="s">
        <v>231</v>
      </c>
      <c r="W75" s="240"/>
      <c r="X75" s="240"/>
      <c r="Y75" s="240" t="s">
        <v>232</v>
      </c>
      <c r="Z75" s="240"/>
      <c r="AA75" s="240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</row>
    <row r="76" spans="3:60"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69" t="s">
        <v>233</v>
      </c>
      <c r="V76" s="240" t="s">
        <v>234</v>
      </c>
      <c r="W76" s="240"/>
      <c r="X76" s="240"/>
      <c r="Y76" s="240" t="s">
        <v>235</v>
      </c>
      <c r="Z76" s="240"/>
      <c r="AA76" s="240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</row>
    <row r="77" spans="3:60"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70" t="s">
        <v>66</v>
      </c>
      <c r="V77" s="240" t="s">
        <v>236</v>
      </c>
      <c r="W77" s="240"/>
      <c r="X77" s="240"/>
      <c r="Y77" s="240" t="s">
        <v>237</v>
      </c>
      <c r="Z77" s="240"/>
      <c r="AA77" s="240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</row>
    <row r="78" spans="3:60"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52" t="s">
        <v>23</v>
      </c>
      <c r="V78" s="240" t="s">
        <v>238</v>
      </c>
      <c r="W78" s="240"/>
      <c r="X78" s="240"/>
      <c r="Y78" s="240" t="s">
        <v>239</v>
      </c>
      <c r="Z78" s="240"/>
      <c r="AA78" s="240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</row>
    <row r="79" spans="3:60"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53" t="s">
        <v>240</v>
      </c>
      <c r="V79" s="240" t="s">
        <v>241</v>
      </c>
      <c r="W79" s="240"/>
      <c r="X79" s="240"/>
      <c r="Y79" s="240" t="s">
        <v>242</v>
      </c>
      <c r="Z79" s="240"/>
      <c r="AA79" s="240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</row>
    <row r="80" spans="3:60"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71" t="s">
        <v>243</v>
      </c>
      <c r="V80" s="240" t="s">
        <v>244</v>
      </c>
      <c r="W80" s="240"/>
      <c r="X80" s="240"/>
      <c r="Y80" s="240" t="s">
        <v>245</v>
      </c>
      <c r="Z80" s="240"/>
      <c r="AA80" s="240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</row>
    <row r="81" spans="3:60"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48" t="s">
        <v>246</v>
      </c>
      <c r="V81" s="240" t="s">
        <v>247</v>
      </c>
      <c r="W81" s="240"/>
      <c r="X81" s="240"/>
      <c r="Y81" s="240" t="s">
        <v>248</v>
      </c>
      <c r="Z81" s="240"/>
      <c r="AA81" s="240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</row>
    <row r="82" spans="3:60"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</row>
    <row r="83" spans="3:60"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</row>
    <row r="84" spans="3:60"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</row>
    <row r="85" spans="3:60"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</row>
    <row r="86" spans="3:60"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</row>
    <row r="87" spans="3:60"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</row>
    <row r="88" spans="3:60"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</row>
    <row r="89" spans="3:60"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</row>
    <row r="90" spans="3:60"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</row>
    <row r="91" spans="3:60"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</row>
    <row r="92" spans="3:60"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</row>
    <row r="93" spans="3:60"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</row>
    <row r="94" spans="3:60"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</row>
    <row r="95" spans="3:60"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</row>
    <row r="96" spans="3:60"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</row>
    <row r="97" spans="3:60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</row>
    <row r="98" spans="3:60"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</row>
    <row r="99" spans="3:60"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</row>
    <row r="100" spans="3:60"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</row>
    <row r="101" spans="3:60"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</row>
    <row r="102" spans="3:60"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</row>
    <row r="103" spans="3:60"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</row>
    <row r="104" spans="3:60"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</row>
    <row r="105" spans="3:60"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</row>
    <row r="106" spans="3:60"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</row>
    <row r="107" spans="3:60"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</row>
    <row r="108" spans="3:60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</row>
    <row r="109" spans="3:60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</row>
    <row r="110" spans="3:60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</row>
    <row r="111" spans="3:60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</row>
    <row r="112" spans="3:60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</row>
    <row r="113" spans="3:60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</row>
    <row r="114" spans="3:60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</row>
    <row r="115" spans="3:60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</row>
    <row r="116" spans="3:60"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</row>
    <row r="117" spans="3:60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</row>
    <row r="118" spans="3:60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</row>
    <row r="119" spans="3:60"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</row>
    <row r="120" spans="3:60"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</row>
    <row r="121" spans="3:60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</row>
    <row r="122" spans="3:60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</row>
    <row r="123" spans="3:60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</row>
    <row r="124" spans="3:60"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</row>
    <row r="125" spans="3:60"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</row>
    <row r="126" spans="3:60"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</row>
    <row r="127" spans="3:60"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</row>
    <row r="128" spans="3:60"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</row>
    <row r="129" spans="3:60"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</row>
    <row r="130" spans="3:60"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</row>
    <row r="131" spans="3:60"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</row>
    <row r="132" spans="3:60"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</row>
    <row r="133" spans="3:60"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</row>
    <row r="134" spans="3:60"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</row>
    <row r="135" spans="3:60"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</row>
    <row r="136" spans="3:60"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</row>
    <row r="137" spans="3:60"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</row>
    <row r="138" spans="3:60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</row>
    <row r="139" spans="3:60"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</row>
    <row r="140" spans="3:60"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</row>
    <row r="141" spans="3:60"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</row>
    <row r="142" spans="3:60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</row>
    <row r="143" spans="3:60"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</row>
    <row r="144" spans="3:60"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</row>
    <row r="145" spans="3:60"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</row>
    <row r="146" spans="3:60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</row>
    <row r="147" spans="3:60"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</row>
    <row r="148" spans="3:60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</row>
    <row r="149" spans="3:60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</row>
    <row r="150" spans="3:60"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</row>
    <row r="151" spans="3:60"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</row>
    <row r="152" spans="3:60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</row>
    <row r="153" spans="3:60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</row>
    <row r="154" spans="3:60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</row>
    <row r="155" spans="3:60"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</row>
    <row r="156" spans="3:60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</row>
    <row r="157" spans="3:60"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</row>
    <row r="158" spans="3:60"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</row>
    <row r="159" spans="3:60"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</row>
    <row r="160" spans="3:60"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</row>
    <row r="161" spans="3:60"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</row>
    <row r="162" spans="3:60"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</row>
    <row r="163" spans="3:60"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</row>
    <row r="164" spans="3:60"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</row>
    <row r="165" spans="3:60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</row>
    <row r="166" spans="3:60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</row>
    <row r="167" spans="3:60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</row>
    <row r="168" spans="3:60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</row>
    <row r="169" spans="3:60"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</row>
    <row r="170" spans="3:60"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</row>
    <row r="171" spans="3:60"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</row>
    <row r="172" spans="3:60"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</row>
    <row r="173" spans="3:60"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</row>
    <row r="174" spans="3:60"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</row>
    <row r="175" spans="3:60"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</row>
    <row r="176" spans="3:60"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</row>
    <row r="177" spans="3:60"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</row>
    <row r="178" spans="3:60"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</row>
    <row r="179" spans="3:60"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</row>
    <row r="180" spans="3:60"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</row>
    <row r="181" spans="3:60"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</row>
    <row r="182" spans="3:60"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</row>
    <row r="183" spans="3:60"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</row>
    <row r="184" spans="3:60"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</row>
    <row r="185" spans="3:60"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</row>
    <row r="186" spans="3:60"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</row>
    <row r="187" spans="3:60"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</row>
    <row r="188" spans="3:60"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</row>
    <row r="189" spans="3:60"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</row>
    <row r="190" spans="3:60"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</row>
    <row r="191" spans="3:60"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</row>
    <row r="192" spans="3:60"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</row>
    <row r="193" spans="3:60"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</row>
    <row r="194" spans="3:60"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</row>
    <row r="195" spans="3:60"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</row>
    <row r="196" spans="3:60"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</row>
    <row r="197" spans="3:60"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</row>
    <row r="198" spans="3:60"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</row>
    <row r="199" spans="3:60"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</row>
    <row r="200" spans="3:60"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</row>
    <row r="201" spans="3:60"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</row>
    <row r="202" spans="3:60"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</row>
    <row r="203" spans="3:60"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</row>
    <row r="204" spans="3:60"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</row>
    <row r="205" spans="3:60"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</row>
    <row r="206" spans="3:60"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</row>
    <row r="207" spans="3:60"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</row>
    <row r="208" spans="3:60"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</row>
    <row r="209" spans="3:60"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</row>
    <row r="210" spans="3:60"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</row>
    <row r="211" spans="3:60"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</row>
    <row r="212" spans="3:60"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</row>
    <row r="213" spans="3:60"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</row>
    <row r="214" spans="3:60"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</row>
    <row r="215" spans="3:60"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</row>
    <row r="216" spans="3:60"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</row>
    <row r="217" spans="3:60"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</row>
    <row r="218" spans="3:60"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</row>
    <row r="219" spans="3:60"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</row>
    <row r="220" spans="3:60"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</row>
    <row r="221" spans="3:60"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</row>
    <row r="222" spans="3:60"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</row>
    <row r="223" spans="3:60"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</row>
    <row r="224" spans="3:60"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</row>
    <row r="225" spans="3:60"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</row>
    <row r="226" spans="3:60"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</row>
    <row r="227" spans="3:60"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</row>
    <row r="228" spans="3:60"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</row>
    <row r="229" spans="3:60"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</row>
    <row r="230" spans="3:60"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</row>
    <row r="231" spans="3:60"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</row>
    <row r="232" spans="3:60"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</row>
    <row r="233" spans="3:60"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</row>
    <row r="234" spans="3:60"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</row>
    <row r="235" spans="3:60"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</row>
    <row r="236" spans="3:60"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</row>
    <row r="237" spans="3:60"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</row>
    <row r="238" spans="3:60"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</row>
    <row r="239" spans="3:60"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</row>
    <row r="240" spans="3:60"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</row>
    <row r="241" spans="3:60"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</row>
    <row r="242" spans="3:60"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</row>
    <row r="243" spans="3:60"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</row>
    <row r="244" spans="3:60"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</row>
    <row r="245" spans="3:60"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</row>
    <row r="246" spans="3:60"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</row>
    <row r="247" spans="3:60"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</row>
    <row r="248" spans="3:60"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</row>
    <row r="249" spans="3:60"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</row>
    <row r="250" spans="3:60"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</row>
    <row r="251" spans="3:60"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</row>
    <row r="252" spans="3:60"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</row>
    <row r="253" spans="3:60"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</row>
    <row r="254" spans="3:60"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</row>
    <row r="255" spans="3:60"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</row>
    <row r="256" spans="3:60"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</row>
    <row r="257" spans="3:60"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</row>
    <row r="258" spans="3:60"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</row>
    <row r="259" spans="3:60"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</row>
    <row r="260" spans="3:60"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</row>
    <row r="261" spans="3:60"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</row>
    <row r="262" spans="3:60"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</row>
    <row r="263" spans="3:60"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</row>
    <row r="264" spans="3:60"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</row>
    <row r="265" spans="3:60"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</row>
    <row r="266" spans="3:60"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</row>
    <row r="267" spans="3:60"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</row>
    <row r="268" spans="3:60"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</row>
    <row r="269" spans="3:60"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</row>
    <row r="270" spans="3:60"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</row>
    <row r="271" spans="3:60"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</row>
    <row r="272" spans="3:60"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</row>
    <row r="273" spans="3:60"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</row>
    <row r="274" spans="3:60"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</row>
    <row r="275" spans="3:60"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</row>
    <row r="276" spans="3:60"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</row>
    <row r="277" spans="3:60"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</row>
    <row r="278" spans="3:60"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</row>
    <row r="279" spans="3:60"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</row>
    <row r="280" spans="3:60"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</row>
    <row r="281" spans="3:60"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</row>
    <row r="282" spans="3:60"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</row>
    <row r="283" spans="3:60"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</row>
    <row r="284" spans="3:60"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</row>
    <row r="285" spans="3:60"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</row>
    <row r="286" spans="3:60"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</row>
    <row r="287" spans="3:60"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</row>
    <row r="288" spans="3:60"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</row>
    <row r="289" spans="3:60"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</row>
    <row r="290" spans="3:60"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</row>
    <row r="291" spans="3:60"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</row>
    <row r="292" spans="3:60"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</row>
    <row r="293" spans="3:60"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</row>
    <row r="294" spans="3:60"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</row>
    <row r="295" spans="3:60"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</row>
    <row r="296" spans="3:60"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</row>
    <row r="297" spans="3:60"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</row>
    <row r="298" spans="3:60"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</row>
    <row r="299" spans="3:60"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</row>
    <row r="300" spans="3:60"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</row>
    <row r="301" spans="3:60"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</row>
    <row r="302" spans="3:60"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</row>
    <row r="303" spans="3:60"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</row>
    <row r="304" spans="3:60"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</row>
    <row r="305" spans="3:60"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</row>
    <row r="306" spans="3:60"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</row>
    <row r="307" spans="3:60"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</row>
    <row r="308" spans="3:60"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</row>
    <row r="309" spans="3:60"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</row>
    <row r="310" spans="3:60"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</row>
    <row r="311" spans="3:60"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</row>
    <row r="312" spans="3:60"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</row>
    <row r="313" spans="3:60"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</row>
    <row r="314" spans="3:60"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</row>
    <row r="315" spans="3:60"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</row>
    <row r="316" spans="3:60"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</row>
    <row r="317" spans="3:60"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</row>
    <row r="318" spans="3:60"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</row>
    <row r="319" spans="3:60"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</row>
    <row r="320" spans="3:60"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</row>
    <row r="321" spans="3:60"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</row>
    <row r="322" spans="3:60"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</row>
    <row r="323" spans="3:60"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</row>
    <row r="324" spans="3:60"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</row>
    <row r="325" spans="3:60"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</row>
    <row r="326" spans="3:60"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</row>
    <row r="327" spans="3:60"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</row>
    <row r="328" spans="3:60"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</row>
    <row r="329" spans="3:60"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</row>
  </sheetData>
  <mergeCells count="108">
    <mergeCell ref="V80:X80"/>
    <mergeCell ref="Y80:AA80"/>
    <mergeCell ref="V76:X76"/>
    <mergeCell ref="Y76:AA76"/>
    <mergeCell ref="V77:X77"/>
    <mergeCell ref="Y77:AA77"/>
    <mergeCell ref="V78:X78"/>
    <mergeCell ref="Y78:AA78"/>
    <mergeCell ref="F61:I61"/>
    <mergeCell ref="L61:O61"/>
    <mergeCell ref="F62:I62"/>
    <mergeCell ref="L62:O62"/>
    <mergeCell ref="F63:I63"/>
    <mergeCell ref="L63:O63"/>
    <mergeCell ref="F67:I67"/>
    <mergeCell ref="L67:O67"/>
    <mergeCell ref="Y62:AA62"/>
    <mergeCell ref="V62:X62"/>
    <mergeCell ref="V66:X66"/>
    <mergeCell ref="Y61:AA61"/>
    <mergeCell ref="V61:X61"/>
    <mergeCell ref="V63:X63"/>
    <mergeCell ref="Y63:AA63"/>
    <mergeCell ref="V64:X64"/>
    <mergeCell ref="R59:S59"/>
    <mergeCell ref="V57:X57"/>
    <mergeCell ref="Y57:AA57"/>
    <mergeCell ref="V58:X58"/>
    <mergeCell ref="Y58:AA58"/>
    <mergeCell ref="V59:X59"/>
    <mergeCell ref="Y59:AA59"/>
    <mergeCell ref="V79:X79"/>
    <mergeCell ref="Y79:AA79"/>
    <mergeCell ref="Y64:AA64"/>
    <mergeCell ref="V65:X65"/>
    <mergeCell ref="Y65:AA65"/>
    <mergeCell ref="Y74:AA74"/>
    <mergeCell ref="V75:X75"/>
    <mergeCell ref="Y75:AA75"/>
    <mergeCell ref="V70:X70"/>
    <mergeCell ref="Y70:AA70"/>
    <mergeCell ref="V71:X71"/>
    <mergeCell ref="Y71:AA71"/>
    <mergeCell ref="Y66:AA66"/>
    <mergeCell ref="V67:X67"/>
    <mergeCell ref="Y67:AA67"/>
    <mergeCell ref="V72:X72"/>
    <mergeCell ref="Y72:AA72"/>
    <mergeCell ref="V56:X56"/>
    <mergeCell ref="Y56:AA56"/>
    <mergeCell ref="V60:X60"/>
    <mergeCell ref="AK2:AM3"/>
    <mergeCell ref="B2:B4"/>
    <mergeCell ref="C2:D2"/>
    <mergeCell ref="E2:AI2"/>
    <mergeCell ref="C3:D4"/>
    <mergeCell ref="Y60:AA60"/>
    <mergeCell ref="F54:I54"/>
    <mergeCell ref="L54:O54"/>
    <mergeCell ref="Q54:S54"/>
    <mergeCell ref="V54:X54"/>
    <mergeCell ref="Y54:AA54"/>
    <mergeCell ref="V55:X55"/>
    <mergeCell ref="B49:B50"/>
    <mergeCell ref="B25:B35"/>
    <mergeCell ref="C49:D49"/>
    <mergeCell ref="C50:D50"/>
    <mergeCell ref="C51:D51"/>
    <mergeCell ref="F59:I59"/>
    <mergeCell ref="L59:O59"/>
    <mergeCell ref="F60:I60"/>
    <mergeCell ref="L60:O60"/>
    <mergeCell ref="F57:I57"/>
    <mergeCell ref="L57:O57"/>
    <mergeCell ref="F58:I58"/>
    <mergeCell ref="L58:O58"/>
    <mergeCell ref="F55:I55"/>
    <mergeCell ref="L55:O55"/>
    <mergeCell ref="F56:I56"/>
    <mergeCell ref="L56:O56"/>
    <mergeCell ref="R55:S55"/>
    <mergeCell ref="R56:S56"/>
    <mergeCell ref="R57:S57"/>
    <mergeCell ref="R58:S58"/>
    <mergeCell ref="B5:B12"/>
    <mergeCell ref="B13:B24"/>
    <mergeCell ref="B36:B39"/>
    <mergeCell ref="B40:B47"/>
    <mergeCell ref="AO2:AQ3"/>
    <mergeCell ref="AS2:AS4"/>
    <mergeCell ref="V81:X81"/>
    <mergeCell ref="Y81:AA81"/>
    <mergeCell ref="F68:I68"/>
    <mergeCell ref="L68:O68"/>
    <mergeCell ref="F64:I64"/>
    <mergeCell ref="L64:O64"/>
    <mergeCell ref="F65:I65"/>
    <mergeCell ref="L65:O65"/>
    <mergeCell ref="F66:I66"/>
    <mergeCell ref="L66:O66"/>
    <mergeCell ref="V69:X69"/>
    <mergeCell ref="Y69:AA69"/>
    <mergeCell ref="V68:X68"/>
    <mergeCell ref="Y68:AA68"/>
    <mergeCell ref="V73:X73"/>
    <mergeCell ref="Y73:AA73"/>
    <mergeCell ref="V74:X74"/>
    <mergeCell ref="Y55:AA55"/>
  </mergeCells>
  <conditionalFormatting sqref="AM5:AM47">
    <cfRule type="cellIs" dxfId="17" priority="2" operator="greaterThan">
      <formula>1</formula>
    </cfRule>
    <cfRule type="cellIs" dxfId="16" priority="3" operator="equal">
      <formula>1</formula>
    </cfRule>
    <cfRule type="cellIs" dxfId="15" priority="4" operator="greaterThan">
      <formula>0</formula>
    </cfRule>
  </conditionalFormatting>
  <conditionalFormatting sqref="AQ5:AQ47">
    <cfRule type="cellIs" dxfId="14" priority="1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" operator="equal" id="{ECCB2D0B-9B19-4C5A-A57D-E63836501F34}">
            <xm:f>Sheet1!$B$3</xm:f>
            <x14:dxf>
              <fill>
                <patternFill>
                  <bgColor theme="6" tint="0.79998168889431442"/>
                </patternFill>
              </fill>
            </x14:dxf>
          </x14:cfRule>
          <x14:cfRule type="cellIs" priority="7" operator="equal" id="{18A781C1-52A5-4A91-B3CB-62BD847279AE}">
            <xm:f>Sheet1!$B$2</xm:f>
            <x14:dxf>
              <fill>
                <patternFill>
                  <bgColor rgb="FFFFFF99"/>
                </patternFill>
              </fill>
            </x14:dxf>
          </x14:cfRule>
          <xm:sqref>B2:B4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433DF0-6493-426D-B452-87E8FCDFD6C5}">
          <x14:formula1>
            <xm:f>Sheet1!$B$2:$B$3</xm:f>
          </x14:formula1>
          <xm:sqref>B2:B4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D13D2-BEEE-4F23-A926-758BF4B9A844}">
  <dimension ref="B2:BH328"/>
  <sheetViews>
    <sheetView showGridLines="0" zoomScaleNormal="100" workbookViewId="0">
      <pane xSplit="4" ySplit="4" topLeftCell="E15" activePane="bottomRight" state="frozen"/>
      <selection pane="bottomRight" activeCell="Q37" sqref="Q37"/>
      <selection pane="bottomLeft"/>
      <selection pane="topRight"/>
    </sheetView>
  </sheetViews>
  <sheetFormatPr defaultRowHeight="15"/>
  <cols>
    <col min="1" max="2" width="9.140625" style="18"/>
    <col min="3" max="3" width="20.7109375" style="18" customWidth="1"/>
    <col min="4" max="4" width="30.28515625" style="18" bestFit="1" customWidth="1"/>
    <col min="5" max="34" width="6" style="18" customWidth="1"/>
    <col min="35" max="39" width="9.140625" style="18"/>
    <col min="40" max="40" width="10.7109375" style="18" customWidth="1"/>
    <col min="41" max="43" width="9.140625" style="18"/>
    <col min="44" max="44" width="10.42578125" style="18" customWidth="1"/>
    <col min="45" max="16384" width="9.140625" style="18"/>
  </cols>
  <sheetData>
    <row r="2" spans="2:59" ht="15.75" customHeight="1">
      <c r="B2" s="270" t="s">
        <v>0</v>
      </c>
      <c r="C2" s="267" t="s">
        <v>2</v>
      </c>
      <c r="D2" s="267"/>
      <c r="E2" s="253" t="s">
        <v>3</v>
      </c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5"/>
      <c r="AJ2" s="241" t="s">
        <v>4</v>
      </c>
      <c r="AK2" s="242"/>
      <c r="AL2" s="243"/>
      <c r="AN2" s="241" t="s">
        <v>5</v>
      </c>
      <c r="AO2" s="242"/>
      <c r="AP2" s="243"/>
      <c r="AR2" s="247" t="s">
        <v>6</v>
      </c>
    </row>
    <row r="3" spans="2:59" ht="15.75" customHeight="1">
      <c r="B3" s="271"/>
      <c r="C3" s="268" t="s">
        <v>261</v>
      </c>
      <c r="D3" s="268"/>
      <c r="E3" s="13" t="s">
        <v>11</v>
      </c>
      <c r="F3" s="1" t="s">
        <v>12</v>
      </c>
      <c r="G3" s="1" t="s">
        <v>13</v>
      </c>
      <c r="H3" s="1" t="s">
        <v>14</v>
      </c>
      <c r="I3" s="1" t="s">
        <v>8</v>
      </c>
      <c r="J3" s="12" t="s">
        <v>9</v>
      </c>
      <c r="K3" s="2" t="s">
        <v>10</v>
      </c>
      <c r="L3" s="2" t="s">
        <v>11</v>
      </c>
      <c r="M3" s="1" t="s">
        <v>12</v>
      </c>
      <c r="N3" s="1" t="s">
        <v>13</v>
      </c>
      <c r="O3" s="1" t="s">
        <v>14</v>
      </c>
      <c r="P3" s="1" t="s">
        <v>8</v>
      </c>
      <c r="Q3" s="12" t="s">
        <v>9</v>
      </c>
      <c r="R3" s="2" t="s">
        <v>10</v>
      </c>
      <c r="S3" s="2" t="s">
        <v>11</v>
      </c>
      <c r="T3" s="1" t="s">
        <v>12</v>
      </c>
      <c r="U3" s="1" t="s">
        <v>13</v>
      </c>
      <c r="V3" s="1" t="s">
        <v>14</v>
      </c>
      <c r="W3" s="1" t="s">
        <v>8</v>
      </c>
      <c r="X3" s="12" t="s">
        <v>9</v>
      </c>
      <c r="Y3" s="2" t="s">
        <v>10</v>
      </c>
      <c r="Z3" s="2" t="s">
        <v>11</v>
      </c>
      <c r="AA3" s="1" t="s">
        <v>12</v>
      </c>
      <c r="AB3" s="1" t="s">
        <v>13</v>
      </c>
      <c r="AC3" s="1" t="s">
        <v>14</v>
      </c>
      <c r="AD3" s="1" t="s">
        <v>8</v>
      </c>
      <c r="AE3" s="12" t="s">
        <v>9</v>
      </c>
      <c r="AF3" s="2" t="s">
        <v>10</v>
      </c>
      <c r="AG3" s="2" t="s">
        <v>11</v>
      </c>
      <c r="AH3" s="6" t="s">
        <v>12</v>
      </c>
      <c r="AJ3" s="244"/>
      <c r="AK3" s="245"/>
      <c r="AL3" s="246"/>
      <c r="AN3" s="244"/>
      <c r="AO3" s="245"/>
      <c r="AP3" s="246"/>
      <c r="AR3" s="248"/>
    </row>
    <row r="4" spans="2:59" ht="15.75" customHeight="1">
      <c r="B4" s="291"/>
      <c r="C4" s="292"/>
      <c r="D4" s="292"/>
      <c r="E4" s="14">
        <v>1</v>
      </c>
      <c r="F4" s="4">
        <v>2</v>
      </c>
      <c r="G4" s="4">
        <v>3</v>
      </c>
      <c r="H4" s="4">
        <v>4</v>
      </c>
      <c r="I4" s="4">
        <v>5</v>
      </c>
      <c r="J4" s="4">
        <v>6</v>
      </c>
      <c r="K4" s="16">
        <v>7</v>
      </c>
      <c r="L4" s="16">
        <v>8</v>
      </c>
      <c r="M4" s="4">
        <v>9</v>
      </c>
      <c r="N4" s="4">
        <v>10</v>
      </c>
      <c r="O4" s="4">
        <v>11</v>
      </c>
      <c r="P4" s="4">
        <v>12</v>
      </c>
      <c r="Q4" s="4">
        <v>13</v>
      </c>
      <c r="R4" s="16">
        <v>14</v>
      </c>
      <c r="S4" s="16">
        <v>15</v>
      </c>
      <c r="T4" s="4">
        <v>16</v>
      </c>
      <c r="U4" s="4">
        <v>17</v>
      </c>
      <c r="V4" s="4">
        <v>18</v>
      </c>
      <c r="W4" s="4">
        <v>19</v>
      </c>
      <c r="X4" s="4">
        <v>20</v>
      </c>
      <c r="Y4" s="16">
        <v>21</v>
      </c>
      <c r="Z4" s="16">
        <v>22</v>
      </c>
      <c r="AA4" s="4">
        <v>23</v>
      </c>
      <c r="AB4" s="4">
        <v>24</v>
      </c>
      <c r="AC4" s="4">
        <v>25</v>
      </c>
      <c r="AD4" s="4">
        <v>26</v>
      </c>
      <c r="AE4" s="4">
        <v>27</v>
      </c>
      <c r="AF4" s="16">
        <v>28</v>
      </c>
      <c r="AG4" s="16">
        <v>29</v>
      </c>
      <c r="AH4" s="7">
        <v>30</v>
      </c>
      <c r="AJ4" s="23">
        <v>2025</v>
      </c>
      <c r="AK4" s="24" t="s">
        <v>15</v>
      </c>
      <c r="AL4" s="23" t="s">
        <v>16</v>
      </c>
      <c r="AM4" s="25"/>
      <c r="AN4" s="23">
        <v>2026</v>
      </c>
      <c r="AO4" s="24" t="s">
        <v>15</v>
      </c>
      <c r="AP4" s="23" t="s">
        <v>16</v>
      </c>
      <c r="AR4" s="249"/>
    </row>
    <row r="5" spans="2:59" ht="15" customHeight="1">
      <c r="B5" s="288" t="s">
        <v>17</v>
      </c>
      <c r="C5" s="129" t="s">
        <v>18</v>
      </c>
      <c r="D5" s="20" t="s">
        <v>19</v>
      </c>
      <c r="E5" s="74" t="s">
        <v>23</v>
      </c>
      <c r="F5" s="74" t="s">
        <v>23</v>
      </c>
      <c r="G5" s="74" t="s">
        <v>23</v>
      </c>
      <c r="H5" s="28" t="s">
        <v>22</v>
      </c>
      <c r="I5" s="28" t="s">
        <v>22</v>
      </c>
      <c r="J5" s="60" t="s">
        <v>21</v>
      </c>
      <c r="K5" s="60" t="s">
        <v>21</v>
      </c>
      <c r="L5" s="60" t="s">
        <v>21</v>
      </c>
      <c r="M5" s="60" t="s">
        <v>21</v>
      </c>
      <c r="N5" s="28" t="s">
        <v>22</v>
      </c>
      <c r="O5" s="28" t="s">
        <v>22</v>
      </c>
      <c r="P5" s="74" t="s">
        <v>23</v>
      </c>
      <c r="Q5" s="74" t="s">
        <v>23</v>
      </c>
      <c r="R5" s="74" t="s">
        <v>23</v>
      </c>
      <c r="S5" s="74" t="s">
        <v>23</v>
      </c>
      <c r="T5" s="28" t="s">
        <v>22</v>
      </c>
      <c r="U5" s="28" t="s">
        <v>22</v>
      </c>
      <c r="V5" s="60" t="s">
        <v>21</v>
      </c>
      <c r="W5" s="60" t="s">
        <v>21</v>
      </c>
      <c r="X5" s="60" t="s">
        <v>21</v>
      </c>
      <c r="Y5" s="60" t="s">
        <v>21</v>
      </c>
      <c r="Z5" s="28" t="s">
        <v>22</v>
      </c>
      <c r="AA5" s="28" t="s">
        <v>22</v>
      </c>
      <c r="AB5" s="74" t="s">
        <v>23</v>
      </c>
      <c r="AC5" s="74" t="s">
        <v>23</v>
      </c>
      <c r="AD5" s="74" t="s">
        <v>23</v>
      </c>
      <c r="AE5" s="74" t="s">
        <v>23</v>
      </c>
      <c r="AF5" s="28" t="s">
        <v>22</v>
      </c>
      <c r="AG5" s="28" t="s">
        <v>22</v>
      </c>
      <c r="AH5" s="60" t="s">
        <v>21</v>
      </c>
      <c r="AI5" s="19"/>
      <c r="AJ5" s="20"/>
      <c r="AK5" s="21">
        <f t="shared" ref="AK5:AK47" si="0">COUNTIF(E5:AH5, "UA")</f>
        <v>0</v>
      </c>
      <c r="AL5" s="20">
        <f t="shared" ref="AL5:AL47" si="1">AJ5-AK5</f>
        <v>0</v>
      </c>
      <c r="AM5" s="19"/>
      <c r="AN5" s="20"/>
      <c r="AO5" s="21">
        <f t="shared" ref="AO5:AO47" si="2">COUNTIF(E5:AH5, "U")</f>
        <v>0</v>
      </c>
      <c r="AP5" s="20">
        <f t="shared" ref="AP5:AP47" si="3">AN5-AO5</f>
        <v>0</v>
      </c>
      <c r="AQ5" s="19"/>
      <c r="AR5" s="21">
        <f t="shared" ref="AR5:AR47" si="4">COUNTIF(E5:AH5,"P*")+COUNTIF(E5:AH5,"H*")+COUNTIF(E5:AH5,"T*")-COUNTIF(E5:AH5,"H")-COUNTIF(E5:AH5,"P")</f>
        <v>20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spans="2:59" ht="15" customHeight="1">
      <c r="B6" s="288"/>
      <c r="C6" s="130" t="s">
        <v>24</v>
      </c>
      <c r="D6" s="20" t="s">
        <v>25</v>
      </c>
      <c r="E6" s="28" t="s">
        <v>22</v>
      </c>
      <c r="F6" s="60" t="s">
        <v>21</v>
      </c>
      <c r="G6" s="60" t="s">
        <v>21</v>
      </c>
      <c r="H6" s="60" t="s">
        <v>21</v>
      </c>
      <c r="I6" s="60" t="s">
        <v>21</v>
      </c>
      <c r="J6" s="28" t="s">
        <v>22</v>
      </c>
      <c r="K6" s="28" t="s">
        <v>22</v>
      </c>
      <c r="L6" s="74" t="s">
        <v>23</v>
      </c>
      <c r="M6" s="74" t="s">
        <v>23</v>
      </c>
      <c r="N6" s="74" t="s">
        <v>23</v>
      </c>
      <c r="O6" s="74" t="s">
        <v>23</v>
      </c>
      <c r="P6" s="28" t="s">
        <v>22</v>
      </c>
      <c r="Q6" s="28" t="s">
        <v>22</v>
      </c>
      <c r="R6" s="60" t="s">
        <v>21</v>
      </c>
      <c r="S6" s="60" t="s">
        <v>21</v>
      </c>
      <c r="T6" s="60" t="s">
        <v>21</v>
      </c>
      <c r="U6" s="60" t="s">
        <v>21</v>
      </c>
      <c r="V6" s="28" t="s">
        <v>22</v>
      </c>
      <c r="W6" s="28" t="s">
        <v>22</v>
      </c>
      <c r="X6" s="74" t="s">
        <v>23</v>
      </c>
      <c r="Y6" s="74" t="s">
        <v>23</v>
      </c>
      <c r="Z6" s="74" t="s">
        <v>23</v>
      </c>
      <c r="AA6" s="74" t="s">
        <v>23</v>
      </c>
      <c r="AB6" s="28" t="s">
        <v>22</v>
      </c>
      <c r="AC6" s="28" t="s">
        <v>22</v>
      </c>
      <c r="AD6" s="60" t="s">
        <v>21</v>
      </c>
      <c r="AE6" s="60" t="s">
        <v>21</v>
      </c>
      <c r="AF6" s="60" t="s">
        <v>21</v>
      </c>
      <c r="AG6" s="60" t="s">
        <v>21</v>
      </c>
      <c r="AH6" s="28" t="s">
        <v>22</v>
      </c>
      <c r="AI6" s="19"/>
      <c r="AJ6" s="20"/>
      <c r="AK6" s="21">
        <f t="shared" si="0"/>
        <v>0</v>
      </c>
      <c r="AL6" s="20">
        <f t="shared" si="1"/>
        <v>0</v>
      </c>
      <c r="AM6" s="19"/>
      <c r="AN6" s="20"/>
      <c r="AO6" s="21">
        <f t="shared" si="2"/>
        <v>0</v>
      </c>
      <c r="AP6" s="20">
        <f t="shared" si="3"/>
        <v>0</v>
      </c>
      <c r="AQ6" s="19"/>
      <c r="AR6" s="21">
        <f t="shared" si="4"/>
        <v>20</v>
      </c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</row>
    <row r="7" spans="2:59" ht="15" customHeight="1">
      <c r="B7" s="288"/>
      <c r="C7" s="20" t="s">
        <v>27</v>
      </c>
      <c r="D7" s="20" t="s">
        <v>28</v>
      </c>
      <c r="E7" s="74" t="s">
        <v>23</v>
      </c>
      <c r="F7" s="74" t="s">
        <v>23</v>
      </c>
      <c r="G7" s="28" t="s">
        <v>22</v>
      </c>
      <c r="H7" s="28" t="s">
        <v>22</v>
      </c>
      <c r="I7" s="60" t="s">
        <v>21</v>
      </c>
      <c r="J7" s="60" t="s">
        <v>21</v>
      </c>
      <c r="K7" s="60" t="s">
        <v>21</v>
      </c>
      <c r="L7" s="60" t="s">
        <v>21</v>
      </c>
      <c r="M7" s="28" t="s">
        <v>22</v>
      </c>
      <c r="N7" s="28" t="s">
        <v>22</v>
      </c>
      <c r="O7" s="74" t="s">
        <v>23</v>
      </c>
      <c r="P7" s="74" t="s">
        <v>23</v>
      </c>
      <c r="Q7" s="74" t="s">
        <v>23</v>
      </c>
      <c r="R7" s="74" t="s">
        <v>23</v>
      </c>
      <c r="S7" s="28" t="s">
        <v>22</v>
      </c>
      <c r="T7" s="28" t="s">
        <v>22</v>
      </c>
      <c r="U7" s="60" t="s">
        <v>21</v>
      </c>
      <c r="V7" s="60" t="s">
        <v>21</v>
      </c>
      <c r="W7" s="60" t="s">
        <v>21</v>
      </c>
      <c r="X7" s="60" t="s">
        <v>21</v>
      </c>
      <c r="Y7" s="28" t="s">
        <v>22</v>
      </c>
      <c r="Z7" s="28" t="s">
        <v>22</v>
      </c>
      <c r="AA7" s="74" t="s">
        <v>23</v>
      </c>
      <c r="AB7" s="74" t="s">
        <v>23</v>
      </c>
      <c r="AC7" s="74" t="s">
        <v>23</v>
      </c>
      <c r="AD7" s="74" t="s">
        <v>23</v>
      </c>
      <c r="AE7" s="28" t="s">
        <v>22</v>
      </c>
      <c r="AF7" s="28" t="s">
        <v>22</v>
      </c>
      <c r="AG7" s="60" t="s">
        <v>21</v>
      </c>
      <c r="AH7" s="60" t="s">
        <v>21</v>
      </c>
      <c r="AI7" s="19"/>
      <c r="AJ7" s="20"/>
      <c r="AK7" s="21">
        <f t="shared" si="0"/>
        <v>0</v>
      </c>
      <c r="AL7" s="20">
        <f t="shared" si="1"/>
        <v>0</v>
      </c>
      <c r="AM7" s="19"/>
      <c r="AN7" s="26"/>
      <c r="AO7" s="21">
        <f t="shared" si="2"/>
        <v>0</v>
      </c>
      <c r="AP7" s="44">
        <f t="shared" si="3"/>
        <v>0</v>
      </c>
      <c r="AQ7" s="19"/>
      <c r="AR7" s="21">
        <f t="shared" si="4"/>
        <v>20</v>
      </c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</row>
    <row r="8" spans="2:59" ht="15" customHeight="1">
      <c r="B8" s="288"/>
      <c r="C8" s="22" t="s">
        <v>31</v>
      </c>
      <c r="D8" s="20" t="s">
        <v>32</v>
      </c>
      <c r="E8" s="74" t="s">
        <v>23</v>
      </c>
      <c r="F8" s="74" t="s">
        <v>23</v>
      </c>
      <c r="G8" s="74" t="s">
        <v>23</v>
      </c>
      <c r="H8" s="74" t="s">
        <v>23</v>
      </c>
      <c r="I8" s="28" t="s">
        <v>22</v>
      </c>
      <c r="J8" s="28" t="s">
        <v>22</v>
      </c>
      <c r="K8" s="60" t="s">
        <v>21</v>
      </c>
      <c r="L8" s="60" t="s">
        <v>21</v>
      </c>
      <c r="M8" s="60" t="s">
        <v>21</v>
      </c>
      <c r="N8" s="60" t="s">
        <v>21</v>
      </c>
      <c r="O8" s="28" t="s">
        <v>22</v>
      </c>
      <c r="P8" s="28" t="s">
        <v>22</v>
      </c>
      <c r="Q8" s="74" t="s">
        <v>23</v>
      </c>
      <c r="R8" s="74" t="s">
        <v>23</v>
      </c>
      <c r="S8" s="74" t="s">
        <v>23</v>
      </c>
      <c r="T8" s="74" t="s">
        <v>23</v>
      </c>
      <c r="U8" s="28" t="s">
        <v>22</v>
      </c>
      <c r="V8" s="28" t="s">
        <v>22</v>
      </c>
      <c r="W8" s="60" t="s">
        <v>21</v>
      </c>
      <c r="X8" s="60" t="s">
        <v>21</v>
      </c>
      <c r="Y8" s="60" t="s">
        <v>21</v>
      </c>
      <c r="Z8" s="60" t="s">
        <v>21</v>
      </c>
      <c r="AA8" s="28" t="s">
        <v>22</v>
      </c>
      <c r="AB8" s="28" t="s">
        <v>22</v>
      </c>
      <c r="AC8" s="74" t="s">
        <v>23</v>
      </c>
      <c r="AD8" s="74" t="s">
        <v>23</v>
      </c>
      <c r="AE8" s="74" t="s">
        <v>23</v>
      </c>
      <c r="AF8" s="74" t="s">
        <v>23</v>
      </c>
      <c r="AG8" s="28" t="s">
        <v>22</v>
      </c>
      <c r="AH8" s="28" t="s">
        <v>22</v>
      </c>
      <c r="AI8" s="19"/>
      <c r="AJ8" s="20"/>
      <c r="AK8" s="21">
        <f t="shared" si="0"/>
        <v>0</v>
      </c>
      <c r="AL8" s="20">
        <f t="shared" si="1"/>
        <v>0</v>
      </c>
      <c r="AM8" s="19"/>
      <c r="AN8" s="20"/>
      <c r="AO8" s="21">
        <f t="shared" si="2"/>
        <v>0</v>
      </c>
      <c r="AP8" s="20">
        <f t="shared" si="3"/>
        <v>0</v>
      </c>
      <c r="AQ8" s="19"/>
      <c r="AR8" s="21">
        <f t="shared" si="4"/>
        <v>20</v>
      </c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</row>
    <row r="9" spans="2:59" ht="15" customHeight="1">
      <c r="B9" s="288"/>
      <c r="C9" s="20" t="s">
        <v>34</v>
      </c>
      <c r="D9" s="20" t="s">
        <v>35</v>
      </c>
      <c r="E9" s="28" t="s">
        <v>22</v>
      </c>
      <c r="F9" s="28" t="s">
        <v>22</v>
      </c>
      <c r="G9" s="60" t="s">
        <v>21</v>
      </c>
      <c r="H9" s="60" t="s">
        <v>21</v>
      </c>
      <c r="I9" s="60" t="s">
        <v>21</v>
      </c>
      <c r="J9" s="60" t="s">
        <v>21</v>
      </c>
      <c r="K9" s="28" t="s">
        <v>22</v>
      </c>
      <c r="L9" s="28" t="s">
        <v>22</v>
      </c>
      <c r="M9" s="74" t="s">
        <v>23</v>
      </c>
      <c r="N9" s="74" t="s">
        <v>23</v>
      </c>
      <c r="O9" s="74" t="s">
        <v>23</v>
      </c>
      <c r="P9" s="74" t="s">
        <v>23</v>
      </c>
      <c r="Q9" s="28" t="s">
        <v>22</v>
      </c>
      <c r="R9" s="28" t="s">
        <v>22</v>
      </c>
      <c r="S9" s="60" t="s">
        <v>21</v>
      </c>
      <c r="T9" s="60" t="s">
        <v>21</v>
      </c>
      <c r="U9" s="60" t="s">
        <v>21</v>
      </c>
      <c r="V9" s="60" t="s">
        <v>21</v>
      </c>
      <c r="W9" s="28" t="s">
        <v>22</v>
      </c>
      <c r="X9" s="28" t="s">
        <v>22</v>
      </c>
      <c r="Y9" s="74" t="s">
        <v>23</v>
      </c>
      <c r="Z9" s="74" t="s">
        <v>23</v>
      </c>
      <c r="AA9" s="74" t="s">
        <v>23</v>
      </c>
      <c r="AB9" s="74" t="s">
        <v>23</v>
      </c>
      <c r="AC9" s="28" t="s">
        <v>22</v>
      </c>
      <c r="AD9" s="28" t="s">
        <v>22</v>
      </c>
      <c r="AE9" s="60" t="s">
        <v>21</v>
      </c>
      <c r="AF9" s="60" t="s">
        <v>21</v>
      </c>
      <c r="AG9" s="60" t="s">
        <v>21</v>
      </c>
      <c r="AH9" s="60" t="s">
        <v>21</v>
      </c>
      <c r="AI9" s="19"/>
      <c r="AJ9" s="20"/>
      <c r="AK9" s="21">
        <f t="shared" si="0"/>
        <v>0</v>
      </c>
      <c r="AL9" s="20">
        <f t="shared" si="1"/>
        <v>0</v>
      </c>
      <c r="AM9" s="19"/>
      <c r="AN9" s="20"/>
      <c r="AO9" s="21">
        <f t="shared" si="2"/>
        <v>0</v>
      </c>
      <c r="AP9" s="20">
        <f t="shared" si="3"/>
        <v>0</v>
      </c>
      <c r="AQ9" s="19"/>
      <c r="AR9" s="21">
        <f t="shared" si="4"/>
        <v>20</v>
      </c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</row>
    <row r="10" spans="2:59" ht="15" customHeight="1">
      <c r="B10" s="288"/>
      <c r="C10" s="22" t="s">
        <v>37</v>
      </c>
      <c r="D10" s="20" t="s">
        <v>38</v>
      </c>
      <c r="E10" s="60" t="s">
        <v>21</v>
      </c>
      <c r="F10" s="60" t="s">
        <v>21</v>
      </c>
      <c r="G10" s="60" t="s">
        <v>21</v>
      </c>
      <c r="H10" s="60" t="s">
        <v>21</v>
      </c>
      <c r="I10" s="28" t="s">
        <v>22</v>
      </c>
      <c r="J10" s="28" t="s">
        <v>22</v>
      </c>
      <c r="K10" s="74" t="s">
        <v>23</v>
      </c>
      <c r="L10" s="74" t="s">
        <v>23</v>
      </c>
      <c r="M10" s="74" t="s">
        <v>23</v>
      </c>
      <c r="N10" s="74" t="s">
        <v>23</v>
      </c>
      <c r="O10" s="28" t="s">
        <v>22</v>
      </c>
      <c r="P10" s="28" t="s">
        <v>22</v>
      </c>
      <c r="Q10" s="60" t="s">
        <v>21</v>
      </c>
      <c r="R10" s="60" t="s">
        <v>21</v>
      </c>
      <c r="S10" s="60" t="s">
        <v>21</v>
      </c>
      <c r="T10" s="60" t="s">
        <v>21</v>
      </c>
      <c r="U10" s="28" t="s">
        <v>22</v>
      </c>
      <c r="V10" s="28" t="s">
        <v>22</v>
      </c>
      <c r="W10" s="74" t="s">
        <v>23</v>
      </c>
      <c r="X10" s="74" t="s">
        <v>23</v>
      </c>
      <c r="Y10" s="74" t="s">
        <v>23</v>
      </c>
      <c r="Z10" s="74" t="s">
        <v>23</v>
      </c>
      <c r="AA10" s="28" t="s">
        <v>22</v>
      </c>
      <c r="AB10" s="28" t="s">
        <v>22</v>
      </c>
      <c r="AC10" s="60" t="s">
        <v>21</v>
      </c>
      <c r="AD10" s="60" t="s">
        <v>21</v>
      </c>
      <c r="AE10" s="60" t="s">
        <v>21</v>
      </c>
      <c r="AF10" s="60" t="s">
        <v>21</v>
      </c>
      <c r="AG10" s="28" t="s">
        <v>22</v>
      </c>
      <c r="AH10" s="28" t="s">
        <v>22</v>
      </c>
      <c r="AI10" s="19"/>
      <c r="AJ10" s="20"/>
      <c r="AK10" s="21">
        <f t="shared" si="0"/>
        <v>0</v>
      </c>
      <c r="AL10" s="20">
        <f t="shared" si="1"/>
        <v>0</v>
      </c>
      <c r="AM10" s="19"/>
      <c r="AN10" s="20"/>
      <c r="AO10" s="21">
        <f t="shared" si="2"/>
        <v>0</v>
      </c>
      <c r="AP10" s="20">
        <f t="shared" si="3"/>
        <v>0</v>
      </c>
      <c r="AQ10" s="19"/>
      <c r="AR10" s="21">
        <f t="shared" si="4"/>
        <v>20</v>
      </c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</row>
    <row r="11" spans="2:59" ht="15" customHeight="1">
      <c r="B11" s="288"/>
      <c r="C11" s="20" t="s">
        <v>39</v>
      </c>
      <c r="D11" s="20" t="s">
        <v>40</v>
      </c>
      <c r="E11" s="28" t="s">
        <v>22</v>
      </c>
      <c r="F11" s="28" t="s">
        <v>22</v>
      </c>
      <c r="G11" s="74" t="s">
        <v>23</v>
      </c>
      <c r="H11" s="74" t="s">
        <v>23</v>
      </c>
      <c r="I11" s="74" t="s">
        <v>23</v>
      </c>
      <c r="J11" s="74" t="s">
        <v>23</v>
      </c>
      <c r="K11" s="28" t="s">
        <v>22</v>
      </c>
      <c r="L11" s="28" t="s">
        <v>22</v>
      </c>
      <c r="M11" s="75" t="s">
        <v>26</v>
      </c>
      <c r="N11" s="60" t="s">
        <v>21</v>
      </c>
      <c r="O11" s="60" t="s">
        <v>21</v>
      </c>
      <c r="P11" s="60" t="s">
        <v>21</v>
      </c>
      <c r="Q11" s="28" t="s">
        <v>22</v>
      </c>
      <c r="R11" s="28" t="s">
        <v>22</v>
      </c>
      <c r="S11" s="74" t="s">
        <v>23</v>
      </c>
      <c r="T11" s="74" t="s">
        <v>23</v>
      </c>
      <c r="U11" s="74" t="s">
        <v>23</v>
      </c>
      <c r="V11" s="74" t="s">
        <v>23</v>
      </c>
      <c r="W11" s="28" t="s">
        <v>22</v>
      </c>
      <c r="X11" s="28" t="s">
        <v>22</v>
      </c>
      <c r="Y11" s="60" t="s">
        <v>21</v>
      </c>
      <c r="Z11" s="60" t="s">
        <v>21</v>
      </c>
      <c r="AA11" s="60" t="s">
        <v>21</v>
      </c>
      <c r="AB11" s="60" t="s">
        <v>21</v>
      </c>
      <c r="AC11" s="28" t="s">
        <v>22</v>
      </c>
      <c r="AD11" s="28" t="s">
        <v>22</v>
      </c>
      <c r="AE11" s="74" t="s">
        <v>23</v>
      </c>
      <c r="AF11" s="74" t="s">
        <v>23</v>
      </c>
      <c r="AG11" s="74" t="s">
        <v>23</v>
      </c>
      <c r="AH11" s="74" t="s">
        <v>23</v>
      </c>
      <c r="AI11" s="19"/>
      <c r="AJ11" s="20"/>
      <c r="AK11" s="21">
        <f t="shared" si="0"/>
        <v>0</v>
      </c>
      <c r="AL11" s="20">
        <f t="shared" si="1"/>
        <v>0</v>
      </c>
      <c r="AM11" s="19"/>
      <c r="AN11" s="20"/>
      <c r="AO11" s="21">
        <f t="shared" si="2"/>
        <v>0</v>
      </c>
      <c r="AP11" s="20">
        <f t="shared" si="3"/>
        <v>0</v>
      </c>
      <c r="AQ11" s="19"/>
      <c r="AR11" s="21">
        <f t="shared" si="4"/>
        <v>19</v>
      </c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</row>
    <row r="12" spans="2:59" ht="15" customHeight="1">
      <c r="B12" s="288"/>
      <c r="C12" s="108" t="s">
        <v>43</v>
      </c>
      <c r="D12" s="109" t="s">
        <v>44</v>
      </c>
      <c r="E12" s="111" t="s">
        <v>21</v>
      </c>
      <c r="F12" s="111" t="s">
        <v>21</v>
      </c>
      <c r="G12" s="110" t="s">
        <v>22</v>
      </c>
      <c r="H12" s="110" t="s">
        <v>22</v>
      </c>
      <c r="I12" s="112" t="s">
        <v>23</v>
      </c>
      <c r="J12" s="112" t="s">
        <v>23</v>
      </c>
      <c r="K12" s="112" t="s">
        <v>23</v>
      </c>
      <c r="L12" s="112" t="s">
        <v>23</v>
      </c>
      <c r="M12" s="110" t="s">
        <v>22</v>
      </c>
      <c r="N12" s="110" t="s">
        <v>22</v>
      </c>
      <c r="O12" s="111" t="s">
        <v>21</v>
      </c>
      <c r="P12" s="111" t="s">
        <v>21</v>
      </c>
      <c r="Q12" s="111" t="s">
        <v>21</v>
      </c>
      <c r="R12" s="111" t="s">
        <v>21</v>
      </c>
      <c r="S12" s="110" t="s">
        <v>22</v>
      </c>
      <c r="T12" s="110" t="s">
        <v>22</v>
      </c>
      <c r="U12" s="112" t="s">
        <v>23</v>
      </c>
      <c r="V12" s="112" t="s">
        <v>23</v>
      </c>
      <c r="W12" s="112" t="s">
        <v>23</v>
      </c>
      <c r="X12" s="112" t="s">
        <v>23</v>
      </c>
      <c r="Y12" s="110" t="s">
        <v>22</v>
      </c>
      <c r="Z12" s="110" t="s">
        <v>22</v>
      </c>
      <c r="AA12" s="111" t="s">
        <v>21</v>
      </c>
      <c r="AB12" s="111" t="s">
        <v>21</v>
      </c>
      <c r="AC12" s="111" t="s">
        <v>21</v>
      </c>
      <c r="AD12" s="111" t="s">
        <v>21</v>
      </c>
      <c r="AE12" s="110" t="s">
        <v>22</v>
      </c>
      <c r="AF12" s="110" t="s">
        <v>22</v>
      </c>
      <c r="AG12" s="112" t="s">
        <v>23</v>
      </c>
      <c r="AH12" s="112" t="s">
        <v>23</v>
      </c>
      <c r="AI12" s="19"/>
      <c r="AJ12" s="20"/>
      <c r="AK12" s="21">
        <f t="shared" si="0"/>
        <v>0</v>
      </c>
      <c r="AL12" s="20">
        <f t="shared" si="1"/>
        <v>0</v>
      </c>
      <c r="AM12" s="19"/>
      <c r="AN12" s="20"/>
      <c r="AO12" s="21">
        <f t="shared" si="2"/>
        <v>0</v>
      </c>
      <c r="AP12" s="20">
        <f t="shared" si="3"/>
        <v>0</v>
      </c>
      <c r="AQ12" s="19"/>
      <c r="AR12" s="21">
        <f t="shared" si="4"/>
        <v>20</v>
      </c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</row>
    <row r="13" spans="2:59" ht="15" customHeight="1">
      <c r="B13" s="280" t="s">
        <v>45</v>
      </c>
      <c r="C13" s="88" t="s">
        <v>46</v>
      </c>
      <c r="D13" s="88" t="s">
        <v>47</v>
      </c>
      <c r="E13" s="103" t="s">
        <v>22</v>
      </c>
      <c r="F13" s="103" t="s">
        <v>22</v>
      </c>
      <c r="G13" s="102" t="s">
        <v>23</v>
      </c>
      <c r="H13" s="102" t="s">
        <v>23</v>
      </c>
      <c r="I13" s="102" t="s">
        <v>23</v>
      </c>
      <c r="J13" s="102" t="s">
        <v>23</v>
      </c>
      <c r="K13" s="103" t="s">
        <v>22</v>
      </c>
      <c r="L13" s="103" t="s">
        <v>22</v>
      </c>
      <c r="M13" s="104" t="s">
        <v>21</v>
      </c>
      <c r="N13" s="104" t="s">
        <v>21</v>
      </c>
      <c r="O13" s="104" t="s">
        <v>21</v>
      </c>
      <c r="P13" s="104" t="s">
        <v>21</v>
      </c>
      <c r="Q13" s="103" t="s">
        <v>22</v>
      </c>
      <c r="R13" s="103" t="s">
        <v>22</v>
      </c>
      <c r="S13" s="102" t="s">
        <v>23</v>
      </c>
      <c r="T13" s="102" t="s">
        <v>23</v>
      </c>
      <c r="U13" s="102" t="s">
        <v>23</v>
      </c>
      <c r="V13" s="102" t="s">
        <v>23</v>
      </c>
      <c r="W13" s="103" t="s">
        <v>22</v>
      </c>
      <c r="X13" s="103" t="s">
        <v>22</v>
      </c>
      <c r="Y13" s="104" t="s">
        <v>21</v>
      </c>
      <c r="Z13" s="104" t="s">
        <v>21</v>
      </c>
      <c r="AA13" s="104" t="s">
        <v>21</v>
      </c>
      <c r="AB13" s="104" t="s">
        <v>21</v>
      </c>
      <c r="AC13" s="103" t="s">
        <v>22</v>
      </c>
      <c r="AD13" s="103" t="s">
        <v>22</v>
      </c>
      <c r="AE13" s="104" t="s">
        <v>21</v>
      </c>
      <c r="AF13" s="104" t="s">
        <v>21</v>
      </c>
      <c r="AG13" s="104" t="s">
        <v>21</v>
      </c>
      <c r="AH13" s="179" t="s">
        <v>21</v>
      </c>
      <c r="AI13" s="19"/>
      <c r="AJ13" s="20"/>
      <c r="AK13" s="21">
        <f t="shared" si="0"/>
        <v>0</v>
      </c>
      <c r="AL13" s="20">
        <f t="shared" si="1"/>
        <v>0</v>
      </c>
      <c r="AM13" s="19"/>
      <c r="AN13" s="20"/>
      <c r="AO13" s="21">
        <f t="shared" si="2"/>
        <v>0</v>
      </c>
      <c r="AP13" s="20">
        <f t="shared" si="3"/>
        <v>0</v>
      </c>
      <c r="AQ13" s="19"/>
      <c r="AR13" s="21">
        <f t="shared" si="4"/>
        <v>20</v>
      </c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</row>
    <row r="14" spans="2:59" ht="15" customHeight="1">
      <c r="B14" s="276"/>
      <c r="C14" s="22" t="s">
        <v>48</v>
      </c>
      <c r="D14" s="20" t="s">
        <v>49</v>
      </c>
      <c r="E14" s="74" t="s">
        <v>23</v>
      </c>
      <c r="F14" s="74" t="s">
        <v>23</v>
      </c>
      <c r="G14" s="74" t="s">
        <v>23</v>
      </c>
      <c r="H14" s="74" t="s">
        <v>23</v>
      </c>
      <c r="I14" s="28" t="s">
        <v>22</v>
      </c>
      <c r="J14" s="28" t="s">
        <v>22</v>
      </c>
      <c r="K14" s="74" t="s">
        <v>23</v>
      </c>
      <c r="L14" s="74" t="s">
        <v>23</v>
      </c>
      <c r="M14" s="74" t="s">
        <v>23</v>
      </c>
      <c r="N14" s="74" t="s">
        <v>23</v>
      </c>
      <c r="O14" s="28" t="s">
        <v>22</v>
      </c>
      <c r="P14" s="28" t="s">
        <v>22</v>
      </c>
      <c r="Q14" s="60" t="s">
        <v>21</v>
      </c>
      <c r="R14" s="60" t="s">
        <v>21</v>
      </c>
      <c r="S14" s="60" t="s">
        <v>21</v>
      </c>
      <c r="T14" s="60" t="s">
        <v>21</v>
      </c>
      <c r="U14" s="28" t="s">
        <v>22</v>
      </c>
      <c r="V14" s="28" t="s">
        <v>22</v>
      </c>
      <c r="W14" s="74" t="s">
        <v>23</v>
      </c>
      <c r="X14" s="74" t="s">
        <v>23</v>
      </c>
      <c r="Y14" s="74" t="s">
        <v>23</v>
      </c>
      <c r="Z14" s="74" t="s">
        <v>23</v>
      </c>
      <c r="AA14" s="28" t="s">
        <v>22</v>
      </c>
      <c r="AB14" s="28" t="s">
        <v>22</v>
      </c>
      <c r="AC14" s="60" t="s">
        <v>21</v>
      </c>
      <c r="AD14" s="60" t="s">
        <v>21</v>
      </c>
      <c r="AE14" s="60" t="s">
        <v>21</v>
      </c>
      <c r="AF14" s="60" t="s">
        <v>21</v>
      </c>
      <c r="AG14" s="28" t="s">
        <v>22</v>
      </c>
      <c r="AH14" s="91" t="s">
        <v>22</v>
      </c>
      <c r="AI14" s="19"/>
      <c r="AJ14" s="20"/>
      <c r="AK14" s="21">
        <f t="shared" si="0"/>
        <v>0</v>
      </c>
      <c r="AL14" s="20">
        <f t="shared" si="1"/>
        <v>0</v>
      </c>
      <c r="AM14" s="19"/>
      <c r="AN14" s="20"/>
      <c r="AO14" s="21">
        <f t="shared" si="2"/>
        <v>0</v>
      </c>
      <c r="AP14" s="20">
        <f t="shared" si="3"/>
        <v>0</v>
      </c>
      <c r="AQ14" s="19"/>
      <c r="AR14" s="21">
        <f t="shared" si="4"/>
        <v>20</v>
      </c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</row>
    <row r="15" spans="2:59" ht="15" customHeight="1">
      <c r="B15" s="276"/>
      <c r="C15" s="20" t="s">
        <v>50</v>
      </c>
      <c r="D15" s="20" t="s">
        <v>51</v>
      </c>
      <c r="E15" s="74" t="s">
        <v>23</v>
      </c>
      <c r="F15" s="74" t="s">
        <v>23</v>
      </c>
      <c r="G15" s="28" t="s">
        <v>22</v>
      </c>
      <c r="H15" s="28" t="s">
        <v>22</v>
      </c>
      <c r="I15" s="60" t="s">
        <v>21</v>
      </c>
      <c r="J15" s="60" t="s">
        <v>21</v>
      </c>
      <c r="K15" s="60" t="s">
        <v>21</v>
      </c>
      <c r="L15" s="60" t="s">
        <v>21</v>
      </c>
      <c r="M15" s="28" t="s">
        <v>22</v>
      </c>
      <c r="N15" s="28" t="s">
        <v>22</v>
      </c>
      <c r="O15" s="74" t="s">
        <v>23</v>
      </c>
      <c r="P15" s="74" t="s">
        <v>23</v>
      </c>
      <c r="Q15" s="74" t="s">
        <v>23</v>
      </c>
      <c r="R15" s="74" t="s">
        <v>23</v>
      </c>
      <c r="S15" s="28" t="s">
        <v>22</v>
      </c>
      <c r="T15" s="28" t="s">
        <v>22</v>
      </c>
      <c r="U15" s="60" t="s">
        <v>21</v>
      </c>
      <c r="V15" s="60" t="s">
        <v>21</v>
      </c>
      <c r="W15" s="60" t="s">
        <v>21</v>
      </c>
      <c r="X15" s="60" t="s">
        <v>21</v>
      </c>
      <c r="Y15" s="28" t="s">
        <v>22</v>
      </c>
      <c r="Z15" s="28" t="s">
        <v>22</v>
      </c>
      <c r="AA15" s="74" t="s">
        <v>23</v>
      </c>
      <c r="AB15" s="74" t="s">
        <v>23</v>
      </c>
      <c r="AC15" s="74" t="s">
        <v>23</v>
      </c>
      <c r="AD15" s="74" t="s">
        <v>23</v>
      </c>
      <c r="AE15" s="28" t="s">
        <v>22</v>
      </c>
      <c r="AF15" s="28" t="s">
        <v>22</v>
      </c>
      <c r="AG15" s="60" t="s">
        <v>21</v>
      </c>
      <c r="AH15" s="90" t="s">
        <v>21</v>
      </c>
      <c r="AI15" s="19"/>
      <c r="AJ15" s="20"/>
      <c r="AK15" s="21">
        <f t="shared" si="0"/>
        <v>0</v>
      </c>
      <c r="AL15" s="20">
        <f t="shared" si="1"/>
        <v>0</v>
      </c>
      <c r="AM15" s="19"/>
      <c r="AN15" s="20"/>
      <c r="AO15" s="21">
        <f t="shared" si="2"/>
        <v>0</v>
      </c>
      <c r="AP15" s="20">
        <f t="shared" si="3"/>
        <v>0</v>
      </c>
      <c r="AQ15" s="19"/>
      <c r="AR15" s="21">
        <f t="shared" si="4"/>
        <v>20</v>
      </c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</row>
    <row r="16" spans="2:59" ht="15" customHeight="1">
      <c r="B16" s="276"/>
      <c r="C16" s="22" t="s">
        <v>52</v>
      </c>
      <c r="D16" s="20" t="s">
        <v>53</v>
      </c>
      <c r="E16" s="28" t="s">
        <v>22</v>
      </c>
      <c r="F16" s="28" t="s">
        <v>22</v>
      </c>
      <c r="G16" s="74" t="s">
        <v>23</v>
      </c>
      <c r="H16" s="74" t="s">
        <v>23</v>
      </c>
      <c r="I16" s="74" t="s">
        <v>23</v>
      </c>
      <c r="J16" s="74" t="s">
        <v>23</v>
      </c>
      <c r="K16" s="28" t="s">
        <v>22</v>
      </c>
      <c r="L16" s="28" t="s">
        <v>22</v>
      </c>
      <c r="M16" s="60" t="s">
        <v>21</v>
      </c>
      <c r="N16" s="60" t="s">
        <v>21</v>
      </c>
      <c r="O16" s="60" t="s">
        <v>21</v>
      </c>
      <c r="P16" s="60" t="s">
        <v>21</v>
      </c>
      <c r="Q16" s="28" t="s">
        <v>22</v>
      </c>
      <c r="R16" s="28" t="s">
        <v>22</v>
      </c>
      <c r="S16" s="74" t="s">
        <v>23</v>
      </c>
      <c r="T16" s="74" t="s">
        <v>23</v>
      </c>
      <c r="U16" s="74" t="s">
        <v>23</v>
      </c>
      <c r="V16" s="74" t="s">
        <v>23</v>
      </c>
      <c r="W16" s="28" t="s">
        <v>22</v>
      </c>
      <c r="X16" s="28" t="s">
        <v>22</v>
      </c>
      <c r="Y16" s="60" t="s">
        <v>21</v>
      </c>
      <c r="Z16" s="60" t="s">
        <v>21</v>
      </c>
      <c r="AA16" s="60" t="s">
        <v>21</v>
      </c>
      <c r="AB16" s="60" t="s">
        <v>21</v>
      </c>
      <c r="AC16" s="28" t="s">
        <v>22</v>
      </c>
      <c r="AD16" s="28" t="s">
        <v>22</v>
      </c>
      <c r="AE16" s="74" t="s">
        <v>23</v>
      </c>
      <c r="AF16" s="74" t="s">
        <v>23</v>
      </c>
      <c r="AG16" s="74" t="s">
        <v>23</v>
      </c>
      <c r="AH16" s="89" t="s">
        <v>23</v>
      </c>
      <c r="AI16" s="19"/>
      <c r="AJ16" s="20"/>
      <c r="AK16" s="21">
        <f t="shared" si="0"/>
        <v>0</v>
      </c>
      <c r="AL16" s="20">
        <f t="shared" si="1"/>
        <v>0</v>
      </c>
      <c r="AM16" s="19"/>
      <c r="AN16" s="20"/>
      <c r="AO16" s="21">
        <f t="shared" si="2"/>
        <v>0</v>
      </c>
      <c r="AP16" s="20">
        <f t="shared" si="3"/>
        <v>0</v>
      </c>
      <c r="AQ16" s="19"/>
      <c r="AR16" s="21">
        <f t="shared" si="4"/>
        <v>20</v>
      </c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</row>
    <row r="17" spans="2:59" ht="15" customHeight="1">
      <c r="B17" s="276"/>
      <c r="C17" s="22" t="s">
        <v>54</v>
      </c>
      <c r="D17" s="20" t="s">
        <v>55</v>
      </c>
      <c r="E17" s="78" t="s">
        <v>29</v>
      </c>
      <c r="F17" s="78" t="s">
        <v>29</v>
      </c>
      <c r="G17" s="78" t="s">
        <v>29</v>
      </c>
      <c r="H17" s="78" t="s">
        <v>29</v>
      </c>
      <c r="I17" s="28" t="s">
        <v>22</v>
      </c>
      <c r="J17" s="28" t="s">
        <v>22</v>
      </c>
      <c r="K17" s="74" t="s">
        <v>23</v>
      </c>
      <c r="L17" s="74" t="s">
        <v>23</v>
      </c>
      <c r="M17" s="74" t="s">
        <v>23</v>
      </c>
      <c r="N17" s="74" t="s">
        <v>23</v>
      </c>
      <c r="O17" s="28" t="s">
        <v>22</v>
      </c>
      <c r="P17" s="28" t="s">
        <v>22</v>
      </c>
      <c r="Q17" s="60" t="s">
        <v>21</v>
      </c>
      <c r="R17" s="60" t="s">
        <v>21</v>
      </c>
      <c r="S17" s="60" t="s">
        <v>21</v>
      </c>
      <c r="T17" s="60" t="s">
        <v>21</v>
      </c>
      <c r="U17" s="28" t="s">
        <v>22</v>
      </c>
      <c r="V17" s="28" t="s">
        <v>22</v>
      </c>
      <c r="W17" s="74" t="s">
        <v>23</v>
      </c>
      <c r="X17" s="74" t="s">
        <v>23</v>
      </c>
      <c r="Y17" s="74" t="s">
        <v>23</v>
      </c>
      <c r="Z17" s="74" t="s">
        <v>23</v>
      </c>
      <c r="AA17" s="28" t="s">
        <v>22</v>
      </c>
      <c r="AB17" s="28" t="s">
        <v>22</v>
      </c>
      <c r="AC17" s="60" t="s">
        <v>21</v>
      </c>
      <c r="AD17" s="60" t="s">
        <v>21</v>
      </c>
      <c r="AE17" s="60" t="s">
        <v>21</v>
      </c>
      <c r="AF17" s="60" t="s">
        <v>21</v>
      </c>
      <c r="AG17" s="28" t="s">
        <v>22</v>
      </c>
      <c r="AH17" s="91" t="s">
        <v>22</v>
      </c>
      <c r="AI17" s="19"/>
      <c r="AJ17" s="20"/>
      <c r="AK17" s="21">
        <f t="shared" si="0"/>
        <v>0</v>
      </c>
      <c r="AL17" s="20">
        <f t="shared" si="1"/>
        <v>0</v>
      </c>
      <c r="AM17" s="19"/>
      <c r="AN17" s="20"/>
      <c r="AO17" s="21">
        <f t="shared" si="2"/>
        <v>0</v>
      </c>
      <c r="AP17" s="20">
        <f t="shared" si="3"/>
        <v>0</v>
      </c>
      <c r="AQ17" s="19"/>
      <c r="AR17" s="21">
        <f t="shared" si="4"/>
        <v>20</v>
      </c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</row>
    <row r="18" spans="2:59" ht="15" customHeight="1">
      <c r="B18" s="276"/>
      <c r="C18" s="22" t="s">
        <v>56</v>
      </c>
      <c r="D18" s="20" t="s">
        <v>57</v>
      </c>
      <c r="E18" s="60" t="s">
        <v>21</v>
      </c>
      <c r="F18" s="60" t="s">
        <v>21</v>
      </c>
      <c r="G18" s="28" t="s">
        <v>22</v>
      </c>
      <c r="H18" s="28" t="s">
        <v>22</v>
      </c>
      <c r="I18" s="78" t="s">
        <v>29</v>
      </c>
      <c r="J18" s="78" t="s">
        <v>29</v>
      </c>
      <c r="K18" s="78" t="s">
        <v>29</v>
      </c>
      <c r="L18" s="78" t="s">
        <v>29</v>
      </c>
      <c r="M18" s="28" t="s">
        <v>22</v>
      </c>
      <c r="N18" s="28" t="s">
        <v>22</v>
      </c>
      <c r="O18" s="74" t="s">
        <v>23</v>
      </c>
      <c r="P18" s="74" t="s">
        <v>23</v>
      </c>
      <c r="Q18" s="74" t="s">
        <v>23</v>
      </c>
      <c r="R18" s="74" t="s">
        <v>23</v>
      </c>
      <c r="S18" s="28" t="s">
        <v>22</v>
      </c>
      <c r="T18" s="28" t="s">
        <v>22</v>
      </c>
      <c r="U18" s="60" t="s">
        <v>21</v>
      </c>
      <c r="V18" s="60" t="s">
        <v>21</v>
      </c>
      <c r="W18" s="60" t="s">
        <v>21</v>
      </c>
      <c r="X18" s="60" t="s">
        <v>21</v>
      </c>
      <c r="Y18" s="28" t="s">
        <v>22</v>
      </c>
      <c r="Z18" s="28" t="s">
        <v>22</v>
      </c>
      <c r="AA18" s="74" t="s">
        <v>23</v>
      </c>
      <c r="AB18" s="74" t="s">
        <v>23</v>
      </c>
      <c r="AC18" s="74" t="s">
        <v>23</v>
      </c>
      <c r="AD18" s="74" t="s">
        <v>23</v>
      </c>
      <c r="AE18" s="28" t="s">
        <v>22</v>
      </c>
      <c r="AF18" s="28" t="s">
        <v>22</v>
      </c>
      <c r="AG18" s="60" t="s">
        <v>21</v>
      </c>
      <c r="AH18" s="90" t="s">
        <v>21</v>
      </c>
      <c r="AI18" s="19"/>
      <c r="AJ18" s="20"/>
      <c r="AK18" s="21">
        <f t="shared" si="0"/>
        <v>0</v>
      </c>
      <c r="AL18" s="20">
        <f t="shared" si="1"/>
        <v>0</v>
      </c>
      <c r="AM18" s="19"/>
      <c r="AN18" s="20"/>
      <c r="AO18" s="21">
        <f t="shared" si="2"/>
        <v>0</v>
      </c>
      <c r="AP18" s="20">
        <f t="shared" si="3"/>
        <v>0</v>
      </c>
      <c r="AQ18" s="19"/>
      <c r="AR18" s="21">
        <f t="shared" si="4"/>
        <v>20</v>
      </c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</row>
    <row r="19" spans="2:59" ht="15" customHeight="1">
      <c r="B19" s="276"/>
      <c r="C19" s="20" t="s">
        <v>58</v>
      </c>
      <c r="D19" s="20" t="s">
        <v>59</v>
      </c>
      <c r="E19" s="28" t="s">
        <v>22</v>
      </c>
      <c r="F19" s="28" t="s">
        <v>22</v>
      </c>
      <c r="G19" s="60" t="s">
        <v>21</v>
      </c>
      <c r="H19" s="60" t="s">
        <v>21</v>
      </c>
      <c r="I19" s="60" t="s">
        <v>21</v>
      </c>
      <c r="J19" s="60" t="s">
        <v>21</v>
      </c>
      <c r="K19" s="28" t="s">
        <v>22</v>
      </c>
      <c r="L19" s="28" t="s">
        <v>22</v>
      </c>
      <c r="M19" s="78" t="s">
        <v>29</v>
      </c>
      <c r="N19" s="78" t="s">
        <v>29</v>
      </c>
      <c r="O19" s="78" t="s">
        <v>29</v>
      </c>
      <c r="P19" s="78" t="s">
        <v>29</v>
      </c>
      <c r="Q19" s="28" t="s">
        <v>22</v>
      </c>
      <c r="R19" s="28" t="s">
        <v>22</v>
      </c>
      <c r="S19" s="74" t="s">
        <v>23</v>
      </c>
      <c r="T19" s="74" t="s">
        <v>23</v>
      </c>
      <c r="U19" s="74" t="s">
        <v>23</v>
      </c>
      <c r="V19" s="74" t="s">
        <v>23</v>
      </c>
      <c r="W19" s="28" t="s">
        <v>22</v>
      </c>
      <c r="X19" s="28" t="s">
        <v>22</v>
      </c>
      <c r="Y19" s="60" t="s">
        <v>21</v>
      </c>
      <c r="Z19" s="60" t="s">
        <v>21</v>
      </c>
      <c r="AA19" s="60" t="s">
        <v>21</v>
      </c>
      <c r="AB19" s="60" t="s">
        <v>21</v>
      </c>
      <c r="AC19" s="28" t="s">
        <v>22</v>
      </c>
      <c r="AD19" s="28" t="s">
        <v>22</v>
      </c>
      <c r="AE19" s="74" t="s">
        <v>23</v>
      </c>
      <c r="AF19" s="74" t="s">
        <v>23</v>
      </c>
      <c r="AG19" s="74" t="s">
        <v>23</v>
      </c>
      <c r="AH19" s="89" t="s">
        <v>23</v>
      </c>
      <c r="AI19" s="19"/>
      <c r="AJ19" s="20"/>
      <c r="AK19" s="21">
        <f t="shared" si="0"/>
        <v>0</v>
      </c>
      <c r="AL19" s="20">
        <f t="shared" si="1"/>
        <v>0</v>
      </c>
      <c r="AM19" s="19"/>
      <c r="AN19" s="26"/>
      <c r="AO19" s="21">
        <f t="shared" si="2"/>
        <v>0</v>
      </c>
      <c r="AP19" s="44">
        <f t="shared" si="3"/>
        <v>0</v>
      </c>
      <c r="AQ19" s="19"/>
      <c r="AR19" s="21">
        <f t="shared" si="4"/>
        <v>20</v>
      </c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</row>
    <row r="20" spans="2:59" ht="15" customHeight="1">
      <c r="B20" s="276"/>
      <c r="C20" s="22" t="s">
        <v>60</v>
      </c>
      <c r="D20" s="20" t="s">
        <v>61</v>
      </c>
      <c r="E20" s="60" t="s">
        <v>21</v>
      </c>
      <c r="F20" s="60" t="s">
        <v>21</v>
      </c>
      <c r="G20" s="60" t="s">
        <v>21</v>
      </c>
      <c r="H20" s="60" t="s">
        <v>21</v>
      </c>
      <c r="I20" s="28" t="s">
        <v>22</v>
      </c>
      <c r="J20" s="28" t="s">
        <v>22</v>
      </c>
      <c r="K20" s="60" t="s">
        <v>21</v>
      </c>
      <c r="L20" s="60" t="s">
        <v>21</v>
      </c>
      <c r="M20" s="60" t="s">
        <v>21</v>
      </c>
      <c r="N20" s="60" t="s">
        <v>21</v>
      </c>
      <c r="O20" s="28" t="s">
        <v>22</v>
      </c>
      <c r="P20" s="28" t="s">
        <v>22</v>
      </c>
      <c r="Q20" s="78" t="s">
        <v>29</v>
      </c>
      <c r="R20" s="78" t="s">
        <v>29</v>
      </c>
      <c r="S20" s="78" t="s">
        <v>29</v>
      </c>
      <c r="T20" s="78" t="s">
        <v>29</v>
      </c>
      <c r="U20" s="28" t="s">
        <v>22</v>
      </c>
      <c r="V20" s="28" t="s">
        <v>22</v>
      </c>
      <c r="W20" s="74" t="s">
        <v>23</v>
      </c>
      <c r="X20" s="74" t="s">
        <v>23</v>
      </c>
      <c r="Y20" s="74" t="s">
        <v>23</v>
      </c>
      <c r="Z20" s="74" t="s">
        <v>23</v>
      </c>
      <c r="AA20" s="28" t="s">
        <v>22</v>
      </c>
      <c r="AB20" s="28" t="s">
        <v>22</v>
      </c>
      <c r="AC20" s="60" t="s">
        <v>21</v>
      </c>
      <c r="AD20" s="60" t="s">
        <v>21</v>
      </c>
      <c r="AE20" s="60" t="s">
        <v>21</v>
      </c>
      <c r="AF20" s="60" t="s">
        <v>21</v>
      </c>
      <c r="AG20" s="28" t="s">
        <v>22</v>
      </c>
      <c r="AH20" s="91" t="s">
        <v>22</v>
      </c>
      <c r="AI20" s="19"/>
      <c r="AJ20" s="20"/>
      <c r="AK20" s="21">
        <f t="shared" si="0"/>
        <v>0</v>
      </c>
      <c r="AL20" s="20">
        <f t="shared" si="1"/>
        <v>0</v>
      </c>
      <c r="AM20" s="19"/>
      <c r="AN20" s="20"/>
      <c r="AO20" s="21">
        <f t="shared" si="2"/>
        <v>0</v>
      </c>
      <c r="AP20" s="20">
        <f t="shared" si="3"/>
        <v>0</v>
      </c>
      <c r="AQ20" s="19"/>
      <c r="AR20" s="21">
        <f t="shared" si="4"/>
        <v>20</v>
      </c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</row>
    <row r="21" spans="2:59" ht="15" customHeight="1">
      <c r="B21" s="276"/>
      <c r="C21" s="20" t="s">
        <v>62</v>
      </c>
      <c r="D21" s="20" t="s">
        <v>63</v>
      </c>
      <c r="E21" s="74" t="s">
        <v>23</v>
      </c>
      <c r="F21" s="74" t="s">
        <v>23</v>
      </c>
      <c r="G21" s="28" t="s">
        <v>22</v>
      </c>
      <c r="H21" s="28" t="s">
        <v>22</v>
      </c>
      <c r="I21" s="60" t="s">
        <v>21</v>
      </c>
      <c r="J21" s="60" t="s">
        <v>21</v>
      </c>
      <c r="K21" s="60" t="s">
        <v>21</v>
      </c>
      <c r="L21" s="60" t="s">
        <v>21</v>
      </c>
      <c r="M21" s="28" t="s">
        <v>22</v>
      </c>
      <c r="N21" s="28" t="s">
        <v>22</v>
      </c>
      <c r="O21" s="60" t="s">
        <v>21</v>
      </c>
      <c r="P21" s="60" t="s">
        <v>21</v>
      </c>
      <c r="Q21" s="60" t="s">
        <v>21</v>
      </c>
      <c r="R21" s="60" t="s">
        <v>21</v>
      </c>
      <c r="S21" s="28" t="s">
        <v>22</v>
      </c>
      <c r="T21" s="28" t="s">
        <v>22</v>
      </c>
      <c r="U21" s="78" t="s">
        <v>29</v>
      </c>
      <c r="V21" s="78" t="s">
        <v>29</v>
      </c>
      <c r="W21" s="78" t="s">
        <v>29</v>
      </c>
      <c r="X21" s="78" t="s">
        <v>29</v>
      </c>
      <c r="Y21" s="28" t="s">
        <v>22</v>
      </c>
      <c r="Z21" s="28" t="s">
        <v>22</v>
      </c>
      <c r="AA21" s="74" t="s">
        <v>23</v>
      </c>
      <c r="AB21" s="74" t="s">
        <v>23</v>
      </c>
      <c r="AC21" s="74" t="s">
        <v>23</v>
      </c>
      <c r="AD21" s="74" t="s">
        <v>23</v>
      </c>
      <c r="AE21" s="28" t="s">
        <v>22</v>
      </c>
      <c r="AF21" s="28" t="s">
        <v>22</v>
      </c>
      <c r="AG21" s="60" t="s">
        <v>21</v>
      </c>
      <c r="AH21" s="90" t="s">
        <v>21</v>
      </c>
      <c r="AI21" s="19"/>
      <c r="AJ21" s="20"/>
      <c r="AK21" s="21">
        <f t="shared" si="0"/>
        <v>0</v>
      </c>
      <c r="AL21" s="20">
        <f t="shared" si="1"/>
        <v>0</v>
      </c>
      <c r="AM21" s="19"/>
      <c r="AN21" s="20"/>
      <c r="AO21" s="21">
        <f t="shared" si="2"/>
        <v>0</v>
      </c>
      <c r="AP21" s="20">
        <f t="shared" si="3"/>
        <v>0</v>
      </c>
      <c r="AQ21" s="19"/>
      <c r="AR21" s="21">
        <f t="shared" si="4"/>
        <v>20</v>
      </c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</row>
    <row r="22" spans="2:59" ht="15" customHeight="1">
      <c r="B22" s="276"/>
      <c r="C22" s="86" t="s">
        <v>64</v>
      </c>
      <c r="D22" s="87" t="s">
        <v>65</v>
      </c>
      <c r="E22" s="28" t="s">
        <v>22</v>
      </c>
      <c r="F22" s="28" t="s">
        <v>22</v>
      </c>
      <c r="G22" s="74" t="s">
        <v>23</v>
      </c>
      <c r="H22" s="74" t="s">
        <v>23</v>
      </c>
      <c r="I22" s="74" t="s">
        <v>23</v>
      </c>
      <c r="J22" s="74" t="s">
        <v>23</v>
      </c>
      <c r="K22" s="28" t="s">
        <v>22</v>
      </c>
      <c r="L22" s="28" t="s">
        <v>22</v>
      </c>
      <c r="M22" s="60" t="s">
        <v>21</v>
      </c>
      <c r="N22" s="60" t="s">
        <v>21</v>
      </c>
      <c r="O22" s="60" t="s">
        <v>21</v>
      </c>
      <c r="P22" s="60" t="s">
        <v>21</v>
      </c>
      <c r="Q22" s="28" t="s">
        <v>22</v>
      </c>
      <c r="R22" s="28" t="s">
        <v>22</v>
      </c>
      <c r="S22" s="60" t="s">
        <v>21</v>
      </c>
      <c r="T22" s="60" t="s">
        <v>21</v>
      </c>
      <c r="U22" s="60" t="s">
        <v>21</v>
      </c>
      <c r="V22" s="60" t="s">
        <v>21</v>
      </c>
      <c r="W22" s="28" t="s">
        <v>22</v>
      </c>
      <c r="X22" s="28" t="s">
        <v>22</v>
      </c>
      <c r="Y22" s="78" t="s">
        <v>29</v>
      </c>
      <c r="Z22" s="78" t="s">
        <v>29</v>
      </c>
      <c r="AA22" s="78" t="s">
        <v>29</v>
      </c>
      <c r="AB22" s="78" t="s">
        <v>29</v>
      </c>
      <c r="AC22" s="28" t="s">
        <v>22</v>
      </c>
      <c r="AD22" s="28" t="s">
        <v>22</v>
      </c>
      <c r="AE22" s="74" t="s">
        <v>23</v>
      </c>
      <c r="AF22" s="74" t="s">
        <v>23</v>
      </c>
      <c r="AG22" s="74" t="s">
        <v>23</v>
      </c>
      <c r="AH22" s="89" t="s">
        <v>23</v>
      </c>
      <c r="AI22" s="19"/>
      <c r="AJ22" s="20"/>
      <c r="AK22" s="21">
        <f t="shared" si="0"/>
        <v>0</v>
      </c>
      <c r="AL22" s="20">
        <f t="shared" si="1"/>
        <v>0</v>
      </c>
      <c r="AM22" s="19"/>
      <c r="AN22" s="20"/>
      <c r="AO22" s="21">
        <f t="shared" si="2"/>
        <v>0</v>
      </c>
      <c r="AP22" s="20">
        <f t="shared" si="3"/>
        <v>0</v>
      </c>
      <c r="AQ22" s="19"/>
      <c r="AR22" s="21">
        <f t="shared" si="4"/>
        <v>20</v>
      </c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</row>
    <row r="23" spans="2:59" ht="15" customHeight="1">
      <c r="B23" s="276"/>
      <c r="C23" s="20" t="s">
        <v>68</v>
      </c>
      <c r="D23" s="20" t="s">
        <v>69</v>
      </c>
      <c r="E23" s="60" t="s">
        <v>21</v>
      </c>
      <c r="F23" s="60" t="s">
        <v>21</v>
      </c>
      <c r="G23" s="60" t="s">
        <v>21</v>
      </c>
      <c r="H23" s="60" t="s">
        <v>21</v>
      </c>
      <c r="I23" s="28" t="s">
        <v>22</v>
      </c>
      <c r="J23" s="28" t="s">
        <v>22</v>
      </c>
      <c r="K23" s="74" t="s">
        <v>23</v>
      </c>
      <c r="L23" s="74" t="s">
        <v>23</v>
      </c>
      <c r="M23" s="74" t="s">
        <v>23</v>
      </c>
      <c r="N23" s="74" t="s">
        <v>23</v>
      </c>
      <c r="O23" s="28" t="s">
        <v>22</v>
      </c>
      <c r="P23" s="28" t="s">
        <v>22</v>
      </c>
      <c r="Q23" s="60" t="s">
        <v>21</v>
      </c>
      <c r="R23" s="60" t="s">
        <v>21</v>
      </c>
      <c r="S23" s="60" t="s">
        <v>21</v>
      </c>
      <c r="T23" s="60" t="s">
        <v>21</v>
      </c>
      <c r="U23" s="28" t="s">
        <v>22</v>
      </c>
      <c r="V23" s="28" t="s">
        <v>22</v>
      </c>
      <c r="W23" s="60" t="s">
        <v>21</v>
      </c>
      <c r="X23" s="60" t="s">
        <v>21</v>
      </c>
      <c r="Y23" s="60" t="s">
        <v>21</v>
      </c>
      <c r="Z23" s="60" t="s">
        <v>21</v>
      </c>
      <c r="AA23" s="28" t="s">
        <v>22</v>
      </c>
      <c r="AB23" s="28" t="s">
        <v>22</v>
      </c>
      <c r="AC23" s="78" t="s">
        <v>29</v>
      </c>
      <c r="AD23" s="78" t="s">
        <v>29</v>
      </c>
      <c r="AE23" s="78" t="s">
        <v>29</v>
      </c>
      <c r="AF23" s="78" t="s">
        <v>29</v>
      </c>
      <c r="AG23" s="28" t="s">
        <v>22</v>
      </c>
      <c r="AH23" s="91" t="s">
        <v>22</v>
      </c>
      <c r="AI23" s="19"/>
      <c r="AJ23" s="20"/>
      <c r="AK23" s="21">
        <f t="shared" si="0"/>
        <v>0</v>
      </c>
      <c r="AL23" s="20">
        <f t="shared" si="1"/>
        <v>0</v>
      </c>
      <c r="AM23" s="19"/>
      <c r="AN23" s="20"/>
      <c r="AO23" s="21">
        <f t="shared" si="2"/>
        <v>0</v>
      </c>
      <c r="AP23" s="20">
        <f t="shared" si="3"/>
        <v>0</v>
      </c>
      <c r="AQ23" s="19"/>
      <c r="AR23" s="21">
        <f t="shared" si="4"/>
        <v>20</v>
      </c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</row>
    <row r="24" spans="2:59" ht="15" customHeight="1">
      <c r="B24" s="276"/>
      <c r="C24" s="108" t="s">
        <v>70</v>
      </c>
      <c r="D24" s="109" t="s">
        <v>71</v>
      </c>
      <c r="E24" s="112" t="s">
        <v>23</v>
      </c>
      <c r="F24" s="112" t="s">
        <v>23</v>
      </c>
      <c r="G24" s="110" t="s">
        <v>22</v>
      </c>
      <c r="H24" s="110" t="s">
        <v>22</v>
      </c>
      <c r="I24" s="111" t="s">
        <v>21</v>
      </c>
      <c r="J24" s="111" t="s">
        <v>21</v>
      </c>
      <c r="K24" s="111" t="s">
        <v>21</v>
      </c>
      <c r="L24" s="111" t="s">
        <v>21</v>
      </c>
      <c r="M24" s="110" t="s">
        <v>22</v>
      </c>
      <c r="N24" s="110" t="s">
        <v>22</v>
      </c>
      <c r="O24" s="112" t="s">
        <v>23</v>
      </c>
      <c r="P24" s="112" t="s">
        <v>23</v>
      </c>
      <c r="Q24" s="112" t="s">
        <v>23</v>
      </c>
      <c r="R24" s="112" t="s">
        <v>23</v>
      </c>
      <c r="S24" s="110" t="s">
        <v>22</v>
      </c>
      <c r="T24" s="110" t="s">
        <v>22</v>
      </c>
      <c r="U24" s="111" t="s">
        <v>21</v>
      </c>
      <c r="V24" s="111" t="s">
        <v>21</v>
      </c>
      <c r="W24" s="111" t="s">
        <v>21</v>
      </c>
      <c r="X24" s="111" t="s">
        <v>21</v>
      </c>
      <c r="Y24" s="110" t="s">
        <v>22</v>
      </c>
      <c r="Z24" s="110" t="s">
        <v>22</v>
      </c>
      <c r="AA24" s="111" t="s">
        <v>21</v>
      </c>
      <c r="AB24" s="111" t="s">
        <v>21</v>
      </c>
      <c r="AC24" s="111" t="s">
        <v>21</v>
      </c>
      <c r="AD24" s="111" t="s">
        <v>21</v>
      </c>
      <c r="AE24" s="110" t="s">
        <v>22</v>
      </c>
      <c r="AF24" s="110" t="s">
        <v>22</v>
      </c>
      <c r="AG24" s="116" t="s">
        <v>29</v>
      </c>
      <c r="AH24" s="209" t="s">
        <v>29</v>
      </c>
      <c r="AI24" s="19"/>
      <c r="AJ24" s="20"/>
      <c r="AK24" s="21">
        <f t="shared" si="0"/>
        <v>0</v>
      </c>
      <c r="AL24" s="20">
        <f t="shared" si="1"/>
        <v>0</v>
      </c>
      <c r="AM24" s="19"/>
      <c r="AN24" s="20"/>
      <c r="AO24" s="21">
        <f t="shared" si="2"/>
        <v>0</v>
      </c>
      <c r="AP24" s="20">
        <f t="shared" si="3"/>
        <v>0</v>
      </c>
      <c r="AQ24" s="19"/>
      <c r="AR24" s="21">
        <f t="shared" si="4"/>
        <v>20</v>
      </c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</row>
    <row r="25" spans="2:59" ht="15" customHeight="1">
      <c r="B25" s="280" t="s">
        <v>72</v>
      </c>
      <c r="C25" s="88" t="s">
        <v>73</v>
      </c>
      <c r="D25" s="88" t="s">
        <v>74</v>
      </c>
      <c r="E25" s="103" t="s">
        <v>22</v>
      </c>
      <c r="F25" s="103" t="s">
        <v>22</v>
      </c>
      <c r="G25" s="102" t="s">
        <v>23</v>
      </c>
      <c r="H25" s="102" t="s">
        <v>23</v>
      </c>
      <c r="I25" s="102" t="s">
        <v>23</v>
      </c>
      <c r="J25" s="102" t="s">
        <v>23</v>
      </c>
      <c r="K25" s="103" t="s">
        <v>22</v>
      </c>
      <c r="L25" s="103" t="s">
        <v>22</v>
      </c>
      <c r="M25" s="104" t="s">
        <v>21</v>
      </c>
      <c r="N25" s="104" t="s">
        <v>21</v>
      </c>
      <c r="O25" s="104" t="s">
        <v>21</v>
      </c>
      <c r="P25" s="104" t="s">
        <v>21</v>
      </c>
      <c r="Q25" s="103" t="s">
        <v>22</v>
      </c>
      <c r="R25" s="103" t="s">
        <v>22</v>
      </c>
      <c r="S25" s="102" t="s">
        <v>23</v>
      </c>
      <c r="T25" s="102" t="s">
        <v>23</v>
      </c>
      <c r="U25" s="102" t="s">
        <v>23</v>
      </c>
      <c r="V25" s="102" t="s">
        <v>23</v>
      </c>
      <c r="W25" s="103" t="s">
        <v>22</v>
      </c>
      <c r="X25" s="103" t="s">
        <v>22</v>
      </c>
      <c r="Y25" s="104" t="s">
        <v>21</v>
      </c>
      <c r="Z25" s="104" t="s">
        <v>21</v>
      </c>
      <c r="AA25" s="104" t="s">
        <v>21</v>
      </c>
      <c r="AB25" s="104" t="s">
        <v>21</v>
      </c>
      <c r="AC25" s="103" t="s">
        <v>22</v>
      </c>
      <c r="AD25" s="103" t="s">
        <v>22</v>
      </c>
      <c r="AE25" s="102" t="s">
        <v>23</v>
      </c>
      <c r="AF25" s="102" t="s">
        <v>23</v>
      </c>
      <c r="AG25" s="102" t="s">
        <v>23</v>
      </c>
      <c r="AH25" s="105" t="s">
        <v>23</v>
      </c>
      <c r="AI25" s="19"/>
      <c r="AJ25" s="20"/>
      <c r="AK25" s="21">
        <f t="shared" si="0"/>
        <v>0</v>
      </c>
      <c r="AL25" s="20">
        <f t="shared" si="1"/>
        <v>0</v>
      </c>
      <c r="AM25" s="19"/>
      <c r="AN25" s="20"/>
      <c r="AO25" s="21">
        <f t="shared" si="2"/>
        <v>0</v>
      </c>
      <c r="AP25" s="20">
        <f t="shared" si="3"/>
        <v>0</v>
      </c>
      <c r="AQ25" s="19"/>
      <c r="AR25" s="21">
        <f t="shared" si="4"/>
        <v>20</v>
      </c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</row>
    <row r="26" spans="2:59" ht="15" customHeight="1">
      <c r="B26" s="276"/>
      <c r="C26" s="22" t="s">
        <v>75</v>
      </c>
      <c r="D26" s="20" t="s">
        <v>76</v>
      </c>
      <c r="E26" s="78" t="s">
        <v>29</v>
      </c>
      <c r="F26" s="78" t="s">
        <v>29</v>
      </c>
      <c r="G26" s="78" t="s">
        <v>29</v>
      </c>
      <c r="H26" s="78" t="s">
        <v>29</v>
      </c>
      <c r="I26" s="28" t="s">
        <v>22</v>
      </c>
      <c r="J26" s="28" t="s">
        <v>22</v>
      </c>
      <c r="K26" s="74" t="s">
        <v>23</v>
      </c>
      <c r="L26" s="74" t="s">
        <v>23</v>
      </c>
      <c r="M26" s="74" t="s">
        <v>23</v>
      </c>
      <c r="N26" s="74" t="s">
        <v>23</v>
      </c>
      <c r="O26" s="28" t="s">
        <v>22</v>
      </c>
      <c r="P26" s="28" t="s">
        <v>22</v>
      </c>
      <c r="Q26" s="60" t="s">
        <v>21</v>
      </c>
      <c r="R26" s="60" t="s">
        <v>21</v>
      </c>
      <c r="S26" s="60" t="s">
        <v>21</v>
      </c>
      <c r="T26" s="60" t="s">
        <v>21</v>
      </c>
      <c r="U26" s="28" t="s">
        <v>22</v>
      </c>
      <c r="V26" s="28" t="s">
        <v>22</v>
      </c>
      <c r="W26" s="74" t="s">
        <v>23</v>
      </c>
      <c r="X26" s="74" t="s">
        <v>23</v>
      </c>
      <c r="Y26" s="74" t="s">
        <v>23</v>
      </c>
      <c r="Z26" s="74" t="s">
        <v>23</v>
      </c>
      <c r="AA26" s="28" t="s">
        <v>22</v>
      </c>
      <c r="AB26" s="28" t="s">
        <v>22</v>
      </c>
      <c r="AC26" s="60" t="s">
        <v>21</v>
      </c>
      <c r="AD26" s="60" t="s">
        <v>21</v>
      </c>
      <c r="AE26" s="60" t="s">
        <v>21</v>
      </c>
      <c r="AF26" s="60" t="s">
        <v>21</v>
      </c>
      <c r="AG26" s="28" t="s">
        <v>22</v>
      </c>
      <c r="AH26" s="91" t="s">
        <v>22</v>
      </c>
      <c r="AI26" s="19"/>
      <c r="AJ26" s="20"/>
      <c r="AK26" s="21">
        <f t="shared" si="0"/>
        <v>0</v>
      </c>
      <c r="AL26" s="20">
        <f t="shared" si="1"/>
        <v>0</v>
      </c>
      <c r="AM26" s="19"/>
      <c r="AN26" s="20"/>
      <c r="AO26" s="21">
        <f t="shared" si="2"/>
        <v>0</v>
      </c>
      <c r="AP26" s="20">
        <f t="shared" si="3"/>
        <v>0</v>
      </c>
      <c r="AQ26" s="19"/>
      <c r="AR26" s="21">
        <f t="shared" si="4"/>
        <v>20</v>
      </c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</row>
    <row r="27" spans="2:59" ht="15" customHeight="1">
      <c r="B27" s="276"/>
      <c r="C27" s="22" t="s">
        <v>77</v>
      </c>
      <c r="D27" s="20" t="s">
        <v>78</v>
      </c>
      <c r="E27" s="28" t="s">
        <v>22</v>
      </c>
      <c r="F27" s="28" t="s">
        <v>22</v>
      </c>
      <c r="G27" s="60" t="s">
        <v>21</v>
      </c>
      <c r="H27" s="60" t="s">
        <v>21</v>
      </c>
      <c r="I27" s="60" t="s">
        <v>21</v>
      </c>
      <c r="J27" s="60" t="s">
        <v>21</v>
      </c>
      <c r="K27" s="28" t="s">
        <v>22</v>
      </c>
      <c r="L27" s="28" t="s">
        <v>22</v>
      </c>
      <c r="M27" s="78" t="s">
        <v>29</v>
      </c>
      <c r="N27" s="78" t="s">
        <v>29</v>
      </c>
      <c r="O27" s="78" t="s">
        <v>29</v>
      </c>
      <c r="P27" s="78" t="s">
        <v>29</v>
      </c>
      <c r="Q27" s="28" t="s">
        <v>22</v>
      </c>
      <c r="R27" s="28" t="s">
        <v>22</v>
      </c>
      <c r="S27" s="74" t="s">
        <v>23</v>
      </c>
      <c r="T27" s="74" t="s">
        <v>23</v>
      </c>
      <c r="U27" s="74" t="s">
        <v>23</v>
      </c>
      <c r="V27" s="74" t="s">
        <v>23</v>
      </c>
      <c r="W27" s="28" t="s">
        <v>22</v>
      </c>
      <c r="X27" s="28" t="s">
        <v>22</v>
      </c>
      <c r="Y27" s="60" t="s">
        <v>21</v>
      </c>
      <c r="Z27" s="60" t="s">
        <v>21</v>
      </c>
      <c r="AA27" s="60" t="s">
        <v>21</v>
      </c>
      <c r="AB27" s="60" t="s">
        <v>21</v>
      </c>
      <c r="AC27" s="28" t="s">
        <v>22</v>
      </c>
      <c r="AD27" s="28" t="s">
        <v>22</v>
      </c>
      <c r="AE27" s="74" t="s">
        <v>23</v>
      </c>
      <c r="AF27" s="74" t="s">
        <v>23</v>
      </c>
      <c r="AG27" s="74" t="s">
        <v>23</v>
      </c>
      <c r="AH27" s="89" t="s">
        <v>23</v>
      </c>
      <c r="AI27" s="19"/>
      <c r="AJ27" s="20"/>
      <c r="AK27" s="21">
        <f t="shared" si="0"/>
        <v>0</v>
      </c>
      <c r="AL27" s="20">
        <f t="shared" si="1"/>
        <v>0</v>
      </c>
      <c r="AM27" s="19"/>
      <c r="AN27" s="20"/>
      <c r="AO27" s="21">
        <f t="shared" si="2"/>
        <v>0</v>
      </c>
      <c r="AP27" s="20">
        <f t="shared" si="3"/>
        <v>0</v>
      </c>
      <c r="AQ27" s="19"/>
      <c r="AR27" s="21">
        <f t="shared" si="4"/>
        <v>20</v>
      </c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</row>
    <row r="28" spans="2:59" ht="15" customHeight="1">
      <c r="B28" s="276"/>
      <c r="C28" s="20" t="s">
        <v>79</v>
      </c>
      <c r="D28" s="20" t="s">
        <v>80</v>
      </c>
      <c r="E28" s="74" t="s">
        <v>23</v>
      </c>
      <c r="F28" s="74" t="s">
        <v>23</v>
      </c>
      <c r="G28" s="74" t="s">
        <v>23</v>
      </c>
      <c r="H28" s="74" t="s">
        <v>23</v>
      </c>
      <c r="I28" s="28" t="s">
        <v>22</v>
      </c>
      <c r="J28" s="28" t="s">
        <v>22</v>
      </c>
      <c r="K28" s="60" t="s">
        <v>21</v>
      </c>
      <c r="L28" s="60" t="s">
        <v>21</v>
      </c>
      <c r="M28" s="60" t="s">
        <v>21</v>
      </c>
      <c r="N28" s="60" t="s">
        <v>21</v>
      </c>
      <c r="O28" s="28" t="s">
        <v>22</v>
      </c>
      <c r="P28" s="28" t="s">
        <v>22</v>
      </c>
      <c r="Q28" s="78" t="s">
        <v>29</v>
      </c>
      <c r="R28" s="78" t="s">
        <v>29</v>
      </c>
      <c r="S28" s="78" t="s">
        <v>29</v>
      </c>
      <c r="T28" s="78" t="s">
        <v>29</v>
      </c>
      <c r="U28" s="28" t="s">
        <v>22</v>
      </c>
      <c r="V28" s="28" t="s">
        <v>22</v>
      </c>
      <c r="W28" s="74" t="s">
        <v>23</v>
      </c>
      <c r="X28" s="74" t="s">
        <v>23</v>
      </c>
      <c r="Y28" s="74" t="s">
        <v>23</v>
      </c>
      <c r="Z28" s="74" t="s">
        <v>23</v>
      </c>
      <c r="AA28" s="28" t="s">
        <v>22</v>
      </c>
      <c r="AB28" s="28" t="s">
        <v>22</v>
      </c>
      <c r="AC28" s="60" t="s">
        <v>21</v>
      </c>
      <c r="AD28" s="60" t="s">
        <v>21</v>
      </c>
      <c r="AE28" s="60" t="s">
        <v>21</v>
      </c>
      <c r="AF28" s="60" t="s">
        <v>21</v>
      </c>
      <c r="AG28" s="28" t="s">
        <v>22</v>
      </c>
      <c r="AH28" s="91" t="s">
        <v>22</v>
      </c>
      <c r="AI28" s="19"/>
      <c r="AJ28" s="20"/>
      <c r="AK28" s="21">
        <f t="shared" si="0"/>
        <v>0</v>
      </c>
      <c r="AL28" s="20">
        <f t="shared" si="1"/>
        <v>0</v>
      </c>
      <c r="AM28" s="19"/>
      <c r="AN28" s="20"/>
      <c r="AO28" s="21">
        <f t="shared" si="2"/>
        <v>0</v>
      </c>
      <c r="AP28" s="20">
        <f t="shared" si="3"/>
        <v>0</v>
      </c>
      <c r="AQ28" s="19"/>
      <c r="AR28" s="21">
        <f t="shared" si="4"/>
        <v>20</v>
      </c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</row>
    <row r="29" spans="2:59" ht="15" customHeight="1">
      <c r="B29" s="276"/>
      <c r="C29" s="22" t="s">
        <v>82</v>
      </c>
      <c r="D29" s="20" t="s">
        <v>83</v>
      </c>
      <c r="E29" s="74" t="s">
        <v>23</v>
      </c>
      <c r="F29" s="74" t="s">
        <v>23</v>
      </c>
      <c r="G29" s="28" t="s">
        <v>22</v>
      </c>
      <c r="H29" s="28" t="s">
        <v>22</v>
      </c>
      <c r="I29" s="60" t="s">
        <v>21</v>
      </c>
      <c r="J29" s="60" t="s">
        <v>21</v>
      </c>
      <c r="K29" s="60" t="s">
        <v>21</v>
      </c>
      <c r="L29" s="60" t="s">
        <v>21</v>
      </c>
      <c r="M29" s="28" t="s">
        <v>22</v>
      </c>
      <c r="N29" s="28" t="s">
        <v>22</v>
      </c>
      <c r="O29" s="60" t="s">
        <v>21</v>
      </c>
      <c r="P29" s="60" t="s">
        <v>21</v>
      </c>
      <c r="Q29" s="60" t="s">
        <v>21</v>
      </c>
      <c r="R29" s="60" t="s">
        <v>21</v>
      </c>
      <c r="S29" s="28" t="s">
        <v>22</v>
      </c>
      <c r="T29" s="28" t="s">
        <v>22</v>
      </c>
      <c r="U29" s="78" t="s">
        <v>29</v>
      </c>
      <c r="V29" s="78" t="s">
        <v>29</v>
      </c>
      <c r="W29" s="78" t="s">
        <v>29</v>
      </c>
      <c r="X29" s="78" t="s">
        <v>29</v>
      </c>
      <c r="Y29" s="28" t="s">
        <v>22</v>
      </c>
      <c r="Z29" s="28" t="s">
        <v>22</v>
      </c>
      <c r="AA29" s="74" t="s">
        <v>23</v>
      </c>
      <c r="AB29" s="74" t="s">
        <v>23</v>
      </c>
      <c r="AC29" s="74" t="s">
        <v>23</v>
      </c>
      <c r="AD29" s="74" t="s">
        <v>23</v>
      </c>
      <c r="AE29" s="28" t="s">
        <v>22</v>
      </c>
      <c r="AF29" s="28" t="s">
        <v>22</v>
      </c>
      <c r="AG29" s="60" t="s">
        <v>21</v>
      </c>
      <c r="AH29" s="90" t="s">
        <v>21</v>
      </c>
      <c r="AI29" s="19"/>
      <c r="AJ29" s="20"/>
      <c r="AK29" s="21">
        <f t="shared" si="0"/>
        <v>0</v>
      </c>
      <c r="AL29" s="20">
        <f t="shared" si="1"/>
        <v>0</v>
      </c>
      <c r="AM29" s="19"/>
      <c r="AN29" s="20"/>
      <c r="AO29" s="21">
        <f t="shared" si="2"/>
        <v>0</v>
      </c>
      <c r="AP29" s="20">
        <f t="shared" si="3"/>
        <v>0</v>
      </c>
      <c r="AQ29" s="19"/>
      <c r="AR29" s="21">
        <f t="shared" si="4"/>
        <v>20</v>
      </c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</row>
    <row r="30" spans="2:59" ht="15" customHeight="1">
      <c r="B30" s="276"/>
      <c r="C30" s="20" t="s">
        <v>85</v>
      </c>
      <c r="D30" s="20" t="s">
        <v>86</v>
      </c>
      <c r="E30" s="28" t="s">
        <v>22</v>
      </c>
      <c r="F30" s="28" t="s">
        <v>22</v>
      </c>
      <c r="G30" s="74" t="s">
        <v>23</v>
      </c>
      <c r="H30" s="74" t="s">
        <v>23</v>
      </c>
      <c r="I30" s="74" t="s">
        <v>23</v>
      </c>
      <c r="J30" s="74" t="s">
        <v>23</v>
      </c>
      <c r="K30" s="28" t="s">
        <v>22</v>
      </c>
      <c r="L30" s="28" t="s">
        <v>22</v>
      </c>
      <c r="M30" s="60" t="s">
        <v>21</v>
      </c>
      <c r="N30" s="60" t="s">
        <v>21</v>
      </c>
      <c r="O30" s="60" t="s">
        <v>21</v>
      </c>
      <c r="P30" s="60" t="s">
        <v>21</v>
      </c>
      <c r="Q30" s="28" t="s">
        <v>22</v>
      </c>
      <c r="R30" s="28" t="s">
        <v>22</v>
      </c>
      <c r="S30" s="60" t="s">
        <v>21</v>
      </c>
      <c r="T30" s="60" t="s">
        <v>21</v>
      </c>
      <c r="U30" s="60" t="s">
        <v>21</v>
      </c>
      <c r="V30" s="60" t="s">
        <v>21</v>
      </c>
      <c r="W30" s="28" t="s">
        <v>22</v>
      </c>
      <c r="X30" s="28" t="s">
        <v>22</v>
      </c>
      <c r="Y30" s="78" t="s">
        <v>29</v>
      </c>
      <c r="Z30" s="78" t="s">
        <v>29</v>
      </c>
      <c r="AA30" s="78" t="s">
        <v>29</v>
      </c>
      <c r="AB30" s="78" t="s">
        <v>29</v>
      </c>
      <c r="AC30" s="28" t="s">
        <v>22</v>
      </c>
      <c r="AD30" s="28" t="s">
        <v>22</v>
      </c>
      <c r="AE30" s="74" t="s">
        <v>23</v>
      </c>
      <c r="AF30" s="74" t="s">
        <v>23</v>
      </c>
      <c r="AG30" s="74" t="s">
        <v>23</v>
      </c>
      <c r="AH30" s="89" t="s">
        <v>23</v>
      </c>
      <c r="AI30" s="19"/>
      <c r="AJ30" s="20"/>
      <c r="AK30" s="21">
        <f t="shared" si="0"/>
        <v>0</v>
      </c>
      <c r="AL30" s="20">
        <f t="shared" si="1"/>
        <v>0</v>
      </c>
      <c r="AM30" s="19"/>
      <c r="AN30" s="26"/>
      <c r="AO30" s="21">
        <f t="shared" si="2"/>
        <v>0</v>
      </c>
      <c r="AP30" s="44">
        <f t="shared" si="3"/>
        <v>0</v>
      </c>
      <c r="AQ30" s="19"/>
      <c r="AR30" s="21">
        <f t="shared" si="4"/>
        <v>20</v>
      </c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</row>
    <row r="31" spans="2:59" ht="15" customHeight="1">
      <c r="B31" s="276"/>
      <c r="C31" s="22" t="s">
        <v>87</v>
      </c>
      <c r="D31" s="20" t="s">
        <v>88</v>
      </c>
      <c r="E31" s="60" t="s">
        <v>21</v>
      </c>
      <c r="F31" s="60" t="s">
        <v>21</v>
      </c>
      <c r="G31" s="60" t="s">
        <v>21</v>
      </c>
      <c r="H31" s="60" t="s">
        <v>21</v>
      </c>
      <c r="I31" s="28" t="s">
        <v>22</v>
      </c>
      <c r="J31" s="28" t="s">
        <v>22</v>
      </c>
      <c r="K31" s="74" t="s">
        <v>23</v>
      </c>
      <c r="L31" s="74" t="s">
        <v>23</v>
      </c>
      <c r="M31" s="74" t="s">
        <v>23</v>
      </c>
      <c r="N31" s="74" t="s">
        <v>23</v>
      </c>
      <c r="O31" s="28" t="s">
        <v>22</v>
      </c>
      <c r="P31" s="28" t="s">
        <v>22</v>
      </c>
      <c r="Q31" s="60" t="s">
        <v>21</v>
      </c>
      <c r="R31" s="60" t="s">
        <v>21</v>
      </c>
      <c r="S31" s="60" t="s">
        <v>21</v>
      </c>
      <c r="T31" s="60" t="s">
        <v>21</v>
      </c>
      <c r="U31" s="28" t="s">
        <v>22</v>
      </c>
      <c r="V31" s="28" t="s">
        <v>22</v>
      </c>
      <c r="W31" s="60" t="s">
        <v>21</v>
      </c>
      <c r="X31" s="60" t="s">
        <v>21</v>
      </c>
      <c r="Y31" s="60" t="s">
        <v>21</v>
      </c>
      <c r="Z31" s="60" t="s">
        <v>21</v>
      </c>
      <c r="AA31" s="28" t="s">
        <v>22</v>
      </c>
      <c r="AB31" s="28" t="s">
        <v>22</v>
      </c>
      <c r="AC31" s="78" t="s">
        <v>29</v>
      </c>
      <c r="AD31" s="78" t="s">
        <v>29</v>
      </c>
      <c r="AE31" s="78" t="s">
        <v>29</v>
      </c>
      <c r="AF31" s="78" t="s">
        <v>29</v>
      </c>
      <c r="AG31" s="28" t="s">
        <v>22</v>
      </c>
      <c r="AH31" s="91" t="s">
        <v>22</v>
      </c>
      <c r="AI31" s="19"/>
      <c r="AJ31" s="20"/>
      <c r="AK31" s="21">
        <f t="shared" si="0"/>
        <v>0</v>
      </c>
      <c r="AL31" s="20">
        <f t="shared" si="1"/>
        <v>0</v>
      </c>
      <c r="AM31" s="19"/>
      <c r="AN31" s="20"/>
      <c r="AO31" s="21">
        <f t="shared" si="2"/>
        <v>0</v>
      </c>
      <c r="AP31" s="20">
        <f t="shared" si="3"/>
        <v>0</v>
      </c>
      <c r="AQ31" s="19"/>
      <c r="AR31" s="21">
        <f t="shared" si="4"/>
        <v>20</v>
      </c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</row>
    <row r="32" spans="2:59" ht="15" customHeight="1">
      <c r="B32" s="276"/>
      <c r="C32" s="20" t="s">
        <v>89</v>
      </c>
      <c r="D32" s="20" t="s">
        <v>90</v>
      </c>
      <c r="E32" s="74" t="s">
        <v>23</v>
      </c>
      <c r="F32" s="74" t="s">
        <v>23</v>
      </c>
      <c r="G32" s="28" t="s">
        <v>22</v>
      </c>
      <c r="H32" s="28" t="s">
        <v>22</v>
      </c>
      <c r="I32" s="60" t="s">
        <v>21</v>
      </c>
      <c r="J32" s="60" t="s">
        <v>21</v>
      </c>
      <c r="K32" s="60" t="s">
        <v>21</v>
      </c>
      <c r="L32" s="60" t="s">
        <v>21</v>
      </c>
      <c r="M32" s="28" t="s">
        <v>22</v>
      </c>
      <c r="N32" s="28" t="s">
        <v>22</v>
      </c>
      <c r="O32" s="74" t="s">
        <v>23</v>
      </c>
      <c r="P32" s="74" t="s">
        <v>23</v>
      </c>
      <c r="Q32" s="74" t="s">
        <v>23</v>
      </c>
      <c r="R32" s="74" t="s">
        <v>23</v>
      </c>
      <c r="S32" s="28" t="s">
        <v>22</v>
      </c>
      <c r="T32" s="28" t="s">
        <v>22</v>
      </c>
      <c r="U32" s="60" t="s">
        <v>21</v>
      </c>
      <c r="V32" s="60" t="s">
        <v>21</v>
      </c>
      <c r="W32" s="60" t="s">
        <v>21</v>
      </c>
      <c r="X32" s="60" t="s">
        <v>21</v>
      </c>
      <c r="Y32" s="28" t="s">
        <v>22</v>
      </c>
      <c r="Z32" s="28" t="s">
        <v>22</v>
      </c>
      <c r="AA32" s="60" t="s">
        <v>21</v>
      </c>
      <c r="AB32" s="60" t="s">
        <v>21</v>
      </c>
      <c r="AC32" s="60" t="s">
        <v>21</v>
      </c>
      <c r="AD32" s="60" t="s">
        <v>21</v>
      </c>
      <c r="AE32" s="28" t="s">
        <v>22</v>
      </c>
      <c r="AF32" s="28" t="s">
        <v>22</v>
      </c>
      <c r="AG32" s="78" t="s">
        <v>29</v>
      </c>
      <c r="AH32" s="107" t="s">
        <v>29</v>
      </c>
      <c r="AI32" s="19"/>
      <c r="AJ32" s="20"/>
      <c r="AK32" s="21">
        <f t="shared" si="0"/>
        <v>0</v>
      </c>
      <c r="AL32" s="20">
        <f t="shared" si="1"/>
        <v>0</v>
      </c>
      <c r="AM32" s="19"/>
      <c r="AN32" s="20"/>
      <c r="AO32" s="21">
        <f t="shared" si="2"/>
        <v>0</v>
      </c>
      <c r="AP32" s="20">
        <f t="shared" si="3"/>
        <v>0</v>
      </c>
      <c r="AQ32" s="19"/>
      <c r="AR32" s="21">
        <f t="shared" si="4"/>
        <v>20</v>
      </c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</row>
    <row r="33" spans="2:60" ht="15" customHeight="1">
      <c r="B33" s="276"/>
      <c r="C33" s="22" t="s">
        <v>91</v>
      </c>
      <c r="D33" s="20" t="s">
        <v>92</v>
      </c>
      <c r="E33" s="28" t="s">
        <v>22</v>
      </c>
      <c r="F33" s="74" t="s">
        <v>23</v>
      </c>
      <c r="G33" s="74" t="s">
        <v>23</v>
      </c>
      <c r="H33" s="74" t="s">
        <v>23</v>
      </c>
      <c r="I33" s="74" t="s">
        <v>23</v>
      </c>
      <c r="J33" s="28" t="s">
        <v>22</v>
      </c>
      <c r="K33" s="28" t="s">
        <v>22</v>
      </c>
      <c r="L33" s="60" t="s">
        <v>21</v>
      </c>
      <c r="M33" s="60" t="s">
        <v>21</v>
      </c>
      <c r="N33" s="60" t="s">
        <v>21</v>
      </c>
      <c r="O33" s="60" t="s">
        <v>21</v>
      </c>
      <c r="P33" s="28" t="s">
        <v>22</v>
      </c>
      <c r="Q33" s="28" t="s">
        <v>22</v>
      </c>
      <c r="R33" s="74" t="s">
        <v>23</v>
      </c>
      <c r="S33" s="74" t="s">
        <v>23</v>
      </c>
      <c r="T33" s="74" t="s">
        <v>23</v>
      </c>
      <c r="U33" s="74" t="s">
        <v>23</v>
      </c>
      <c r="V33" s="28" t="s">
        <v>22</v>
      </c>
      <c r="W33" s="28" t="s">
        <v>22</v>
      </c>
      <c r="X33" s="60" t="s">
        <v>21</v>
      </c>
      <c r="Y33" s="60" t="s">
        <v>21</v>
      </c>
      <c r="Z33" s="60" t="s">
        <v>21</v>
      </c>
      <c r="AA33" s="60" t="s">
        <v>21</v>
      </c>
      <c r="AB33" s="28" t="s">
        <v>22</v>
      </c>
      <c r="AC33" s="28" t="s">
        <v>22</v>
      </c>
      <c r="AD33" s="74" t="s">
        <v>23</v>
      </c>
      <c r="AE33" s="74" t="s">
        <v>23</v>
      </c>
      <c r="AF33" s="74" t="s">
        <v>23</v>
      </c>
      <c r="AG33" s="74" t="s">
        <v>23</v>
      </c>
      <c r="AH33" s="91" t="s">
        <v>22</v>
      </c>
      <c r="AI33" s="19"/>
      <c r="AJ33" s="20"/>
      <c r="AK33" s="21">
        <f t="shared" si="0"/>
        <v>0</v>
      </c>
      <c r="AL33" s="20">
        <f t="shared" si="1"/>
        <v>0</v>
      </c>
      <c r="AM33" s="19"/>
      <c r="AN33" s="20"/>
      <c r="AO33" s="21">
        <f t="shared" si="2"/>
        <v>0</v>
      </c>
      <c r="AP33" s="20">
        <f t="shared" si="3"/>
        <v>0</v>
      </c>
      <c r="AQ33" s="19"/>
      <c r="AR33" s="21">
        <f t="shared" si="4"/>
        <v>20</v>
      </c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</row>
    <row r="34" spans="2:60" ht="15" customHeight="1">
      <c r="B34" s="276"/>
      <c r="C34" s="20" t="s">
        <v>93</v>
      </c>
      <c r="D34" s="20" t="s">
        <v>94</v>
      </c>
      <c r="E34" s="60" t="s">
        <v>21</v>
      </c>
      <c r="F34" s="60" t="s">
        <v>21</v>
      </c>
      <c r="G34" s="60" t="s">
        <v>21</v>
      </c>
      <c r="H34" s="28" t="s">
        <v>22</v>
      </c>
      <c r="I34" s="28" t="s">
        <v>22</v>
      </c>
      <c r="J34" s="74" t="s">
        <v>23</v>
      </c>
      <c r="K34" s="74" t="s">
        <v>23</v>
      </c>
      <c r="L34" s="74" t="s">
        <v>23</v>
      </c>
      <c r="M34" s="74" t="s">
        <v>23</v>
      </c>
      <c r="N34" s="28" t="s">
        <v>22</v>
      </c>
      <c r="O34" s="28" t="s">
        <v>22</v>
      </c>
      <c r="P34" s="60" t="s">
        <v>21</v>
      </c>
      <c r="Q34" s="60" t="s">
        <v>21</v>
      </c>
      <c r="R34" s="60" t="s">
        <v>21</v>
      </c>
      <c r="S34" s="60" t="s">
        <v>21</v>
      </c>
      <c r="T34" s="28" t="s">
        <v>22</v>
      </c>
      <c r="U34" s="28" t="s">
        <v>22</v>
      </c>
      <c r="V34" s="74" t="s">
        <v>23</v>
      </c>
      <c r="W34" s="74" t="s">
        <v>23</v>
      </c>
      <c r="X34" s="74" t="s">
        <v>23</v>
      </c>
      <c r="Y34" s="74" t="s">
        <v>23</v>
      </c>
      <c r="Z34" s="28" t="s">
        <v>22</v>
      </c>
      <c r="AA34" s="28" t="s">
        <v>22</v>
      </c>
      <c r="AB34" s="60" t="s">
        <v>21</v>
      </c>
      <c r="AC34" s="60" t="s">
        <v>21</v>
      </c>
      <c r="AD34" s="60" t="s">
        <v>21</v>
      </c>
      <c r="AE34" s="60" t="s">
        <v>21</v>
      </c>
      <c r="AF34" s="28" t="s">
        <v>22</v>
      </c>
      <c r="AG34" s="28" t="s">
        <v>22</v>
      </c>
      <c r="AH34" s="89" t="s">
        <v>23</v>
      </c>
      <c r="AI34" s="19"/>
      <c r="AJ34" s="20"/>
      <c r="AK34" s="21">
        <f t="shared" si="0"/>
        <v>0</v>
      </c>
      <c r="AL34" s="20">
        <f t="shared" si="1"/>
        <v>0</v>
      </c>
      <c r="AM34" s="19"/>
      <c r="AN34" s="20"/>
      <c r="AO34" s="21">
        <f t="shared" si="2"/>
        <v>0</v>
      </c>
      <c r="AP34" s="20">
        <f t="shared" si="3"/>
        <v>0</v>
      </c>
      <c r="AQ34" s="19"/>
      <c r="AR34" s="21">
        <f t="shared" si="4"/>
        <v>20</v>
      </c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</row>
    <row r="35" spans="2:60" ht="15" customHeight="1">
      <c r="B35" s="276"/>
      <c r="C35" s="108" t="s">
        <v>95</v>
      </c>
      <c r="D35" s="109" t="s">
        <v>96</v>
      </c>
      <c r="E35" s="112" t="s">
        <v>23</v>
      </c>
      <c r="F35" s="110" t="s">
        <v>22</v>
      </c>
      <c r="G35" s="110" t="s">
        <v>22</v>
      </c>
      <c r="H35" s="111" t="s">
        <v>21</v>
      </c>
      <c r="I35" s="111" t="s">
        <v>21</v>
      </c>
      <c r="J35" s="111" t="s">
        <v>21</v>
      </c>
      <c r="K35" s="111" t="s">
        <v>21</v>
      </c>
      <c r="L35" s="110" t="s">
        <v>22</v>
      </c>
      <c r="M35" s="110" t="s">
        <v>22</v>
      </c>
      <c r="N35" s="112" t="s">
        <v>23</v>
      </c>
      <c r="O35" s="112" t="s">
        <v>23</v>
      </c>
      <c r="P35" s="112" t="s">
        <v>23</v>
      </c>
      <c r="Q35" s="112" t="s">
        <v>23</v>
      </c>
      <c r="R35" s="110" t="s">
        <v>22</v>
      </c>
      <c r="S35" s="110" t="s">
        <v>22</v>
      </c>
      <c r="T35" s="111" t="s">
        <v>21</v>
      </c>
      <c r="U35" s="111" t="s">
        <v>21</v>
      </c>
      <c r="V35" s="111" t="s">
        <v>21</v>
      </c>
      <c r="W35" s="111" t="s">
        <v>21</v>
      </c>
      <c r="X35" s="110" t="s">
        <v>22</v>
      </c>
      <c r="Y35" s="110" t="s">
        <v>22</v>
      </c>
      <c r="Z35" s="112" t="s">
        <v>23</v>
      </c>
      <c r="AA35" s="112" t="s">
        <v>23</v>
      </c>
      <c r="AB35" s="112" t="s">
        <v>23</v>
      </c>
      <c r="AC35" s="112" t="s">
        <v>23</v>
      </c>
      <c r="AD35" s="110" t="s">
        <v>22</v>
      </c>
      <c r="AE35" s="110" t="s">
        <v>22</v>
      </c>
      <c r="AF35" s="111" t="s">
        <v>21</v>
      </c>
      <c r="AG35" s="111" t="s">
        <v>21</v>
      </c>
      <c r="AH35" s="127" t="s">
        <v>21</v>
      </c>
      <c r="AI35" s="19"/>
      <c r="AJ35" s="20"/>
      <c r="AK35" s="21">
        <f t="shared" si="0"/>
        <v>0</v>
      </c>
      <c r="AL35" s="20">
        <f t="shared" si="1"/>
        <v>0</v>
      </c>
      <c r="AM35" s="19"/>
      <c r="AN35" s="20"/>
      <c r="AO35" s="21">
        <f t="shared" si="2"/>
        <v>0</v>
      </c>
      <c r="AP35" s="20">
        <f t="shared" si="3"/>
        <v>0</v>
      </c>
      <c r="AQ35" s="19"/>
      <c r="AR35" s="21">
        <f t="shared" si="4"/>
        <v>20</v>
      </c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</row>
    <row r="36" spans="2:60" ht="15" customHeight="1">
      <c r="B36" s="285" t="s">
        <v>97</v>
      </c>
      <c r="C36" s="88" t="s">
        <v>98</v>
      </c>
      <c r="D36" s="88" t="s">
        <v>99</v>
      </c>
      <c r="E36" s="118" t="s">
        <v>100</v>
      </c>
      <c r="F36" s="103" t="s">
        <v>22</v>
      </c>
      <c r="G36" s="103" t="s">
        <v>22</v>
      </c>
      <c r="H36" s="119" t="s">
        <v>66</v>
      </c>
      <c r="I36" s="119" t="s">
        <v>66</v>
      </c>
      <c r="J36" s="119" t="s">
        <v>66</v>
      </c>
      <c r="K36" s="119" t="s">
        <v>66</v>
      </c>
      <c r="L36" s="103" t="s">
        <v>22</v>
      </c>
      <c r="M36" s="103" t="s">
        <v>22</v>
      </c>
      <c r="N36" s="118" t="s">
        <v>100</v>
      </c>
      <c r="O36" s="118" t="s">
        <v>100</v>
      </c>
      <c r="P36" s="118" t="s">
        <v>100</v>
      </c>
      <c r="Q36" s="118" t="s">
        <v>100</v>
      </c>
      <c r="R36" s="103" t="s">
        <v>22</v>
      </c>
      <c r="S36" s="103" t="s">
        <v>22</v>
      </c>
      <c r="T36" s="119" t="s">
        <v>66</v>
      </c>
      <c r="U36" s="119" t="s">
        <v>66</v>
      </c>
      <c r="V36" s="119" t="s">
        <v>66</v>
      </c>
      <c r="W36" s="119" t="s">
        <v>66</v>
      </c>
      <c r="X36" s="103" t="s">
        <v>22</v>
      </c>
      <c r="Y36" s="103" t="s">
        <v>22</v>
      </c>
      <c r="Z36" s="118" t="s">
        <v>100</v>
      </c>
      <c r="AA36" s="118" t="s">
        <v>100</v>
      </c>
      <c r="AB36" s="118" t="s">
        <v>100</v>
      </c>
      <c r="AC36" s="118" t="s">
        <v>100</v>
      </c>
      <c r="AD36" s="103" t="s">
        <v>22</v>
      </c>
      <c r="AE36" s="103" t="s">
        <v>22</v>
      </c>
      <c r="AF36" s="119" t="s">
        <v>66</v>
      </c>
      <c r="AG36" s="119" t="s">
        <v>66</v>
      </c>
      <c r="AH36" s="128" t="s">
        <v>66</v>
      </c>
      <c r="AI36" s="19"/>
      <c r="AJ36" s="20"/>
      <c r="AK36" s="21">
        <f t="shared" si="0"/>
        <v>0</v>
      </c>
      <c r="AL36" s="20">
        <f t="shared" si="1"/>
        <v>0</v>
      </c>
      <c r="AM36" s="19"/>
      <c r="AN36" s="20"/>
      <c r="AO36" s="21">
        <f t="shared" si="2"/>
        <v>0</v>
      </c>
      <c r="AP36" s="20">
        <f t="shared" si="3"/>
        <v>0</v>
      </c>
      <c r="AQ36" s="19"/>
      <c r="AR36" s="21">
        <f t="shared" si="4"/>
        <v>20</v>
      </c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</row>
    <row r="37" spans="2:60" ht="15" customHeight="1">
      <c r="B37" s="278"/>
      <c r="C37" s="22" t="s">
        <v>101</v>
      </c>
      <c r="D37" s="20" t="s">
        <v>102</v>
      </c>
      <c r="E37" s="79" t="s">
        <v>66</v>
      </c>
      <c r="F37" s="79" t="s">
        <v>66</v>
      </c>
      <c r="G37" s="79" t="s">
        <v>66</v>
      </c>
      <c r="H37" s="28" t="s">
        <v>22</v>
      </c>
      <c r="I37" s="28" t="s">
        <v>22</v>
      </c>
      <c r="J37" s="85" t="s">
        <v>100</v>
      </c>
      <c r="K37" s="85" t="s">
        <v>100</v>
      </c>
      <c r="L37" s="85" t="s">
        <v>100</v>
      </c>
      <c r="M37" s="85" t="s">
        <v>100</v>
      </c>
      <c r="N37" s="28" t="s">
        <v>22</v>
      </c>
      <c r="O37" s="28" t="s">
        <v>22</v>
      </c>
      <c r="P37" s="79" t="s">
        <v>66</v>
      </c>
      <c r="Q37" s="79" t="s">
        <v>66</v>
      </c>
      <c r="R37" s="79" t="s">
        <v>66</v>
      </c>
      <c r="S37" s="79" t="s">
        <v>66</v>
      </c>
      <c r="T37" s="28" t="s">
        <v>22</v>
      </c>
      <c r="U37" s="28" t="s">
        <v>22</v>
      </c>
      <c r="V37" s="85" t="s">
        <v>100</v>
      </c>
      <c r="W37" s="85" t="s">
        <v>100</v>
      </c>
      <c r="X37" s="85" t="s">
        <v>100</v>
      </c>
      <c r="Y37" s="85" t="s">
        <v>100</v>
      </c>
      <c r="Z37" s="28" t="s">
        <v>22</v>
      </c>
      <c r="AA37" s="28" t="s">
        <v>22</v>
      </c>
      <c r="AB37" s="79" t="s">
        <v>66</v>
      </c>
      <c r="AC37" s="79" t="s">
        <v>66</v>
      </c>
      <c r="AD37" s="79" t="s">
        <v>66</v>
      </c>
      <c r="AE37" s="79" t="s">
        <v>66</v>
      </c>
      <c r="AF37" s="28" t="s">
        <v>22</v>
      </c>
      <c r="AG37" s="28" t="s">
        <v>22</v>
      </c>
      <c r="AH37" s="121" t="s">
        <v>100</v>
      </c>
      <c r="AI37" s="19"/>
      <c r="AJ37" s="20"/>
      <c r="AK37" s="21">
        <f t="shared" si="0"/>
        <v>0</v>
      </c>
      <c r="AL37" s="20">
        <f t="shared" si="1"/>
        <v>0</v>
      </c>
      <c r="AM37" s="19"/>
      <c r="AN37" s="20"/>
      <c r="AO37" s="21">
        <f t="shared" si="2"/>
        <v>0</v>
      </c>
      <c r="AP37" s="20">
        <f t="shared" si="3"/>
        <v>0</v>
      </c>
      <c r="AQ37" s="19"/>
      <c r="AR37" s="21">
        <f t="shared" si="4"/>
        <v>20</v>
      </c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</row>
    <row r="38" spans="2:60" ht="15" customHeight="1">
      <c r="B38" s="278"/>
      <c r="C38" s="20" t="s">
        <v>103</v>
      </c>
      <c r="D38" s="20" t="s">
        <v>104</v>
      </c>
      <c r="E38" s="28" t="s">
        <v>22</v>
      </c>
      <c r="F38" s="85" t="s">
        <v>100</v>
      </c>
      <c r="G38" s="85" t="s">
        <v>100</v>
      </c>
      <c r="H38" s="85" t="s">
        <v>100</v>
      </c>
      <c r="I38" s="85" t="s">
        <v>100</v>
      </c>
      <c r="J38" s="28" t="s">
        <v>22</v>
      </c>
      <c r="K38" s="28" t="s">
        <v>22</v>
      </c>
      <c r="L38" s="79" t="s">
        <v>66</v>
      </c>
      <c r="M38" s="79" t="s">
        <v>66</v>
      </c>
      <c r="N38" s="79" t="s">
        <v>66</v>
      </c>
      <c r="O38" s="79" t="s">
        <v>66</v>
      </c>
      <c r="P38" s="28" t="s">
        <v>22</v>
      </c>
      <c r="Q38" s="28" t="s">
        <v>22</v>
      </c>
      <c r="R38" s="85" t="s">
        <v>100</v>
      </c>
      <c r="S38" s="85" t="s">
        <v>100</v>
      </c>
      <c r="T38" s="85" t="s">
        <v>100</v>
      </c>
      <c r="U38" s="85" t="s">
        <v>100</v>
      </c>
      <c r="V38" s="28" t="s">
        <v>22</v>
      </c>
      <c r="W38" s="28" t="s">
        <v>22</v>
      </c>
      <c r="X38" s="79" t="s">
        <v>66</v>
      </c>
      <c r="Y38" s="79" t="s">
        <v>66</v>
      </c>
      <c r="Z38" s="79" t="s">
        <v>66</v>
      </c>
      <c r="AA38" s="79" t="s">
        <v>66</v>
      </c>
      <c r="AB38" s="28" t="s">
        <v>22</v>
      </c>
      <c r="AC38" s="28" t="s">
        <v>22</v>
      </c>
      <c r="AD38" s="85" t="s">
        <v>100</v>
      </c>
      <c r="AE38" s="85" t="s">
        <v>100</v>
      </c>
      <c r="AF38" s="85" t="s">
        <v>100</v>
      </c>
      <c r="AG38" s="85" t="s">
        <v>100</v>
      </c>
      <c r="AH38" s="91" t="s">
        <v>22</v>
      </c>
      <c r="AI38" s="19"/>
      <c r="AJ38" s="20"/>
      <c r="AK38" s="21">
        <f t="shared" si="0"/>
        <v>0</v>
      </c>
      <c r="AL38" s="20">
        <f t="shared" si="1"/>
        <v>0</v>
      </c>
      <c r="AM38" s="19"/>
      <c r="AN38" s="20"/>
      <c r="AO38" s="21">
        <f t="shared" si="2"/>
        <v>0</v>
      </c>
      <c r="AP38" s="20">
        <f t="shared" si="3"/>
        <v>0</v>
      </c>
      <c r="AQ38" s="19"/>
      <c r="AR38" s="21">
        <f t="shared" si="4"/>
        <v>20</v>
      </c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</row>
    <row r="39" spans="2:60" ht="15" customHeight="1">
      <c r="B39" s="279"/>
      <c r="C39" s="108" t="s">
        <v>105</v>
      </c>
      <c r="D39" s="109" t="s">
        <v>106</v>
      </c>
      <c r="E39" s="28" t="s">
        <v>22</v>
      </c>
      <c r="F39" s="85" t="s">
        <v>100</v>
      </c>
      <c r="G39" s="85" t="s">
        <v>100</v>
      </c>
      <c r="H39" s="85" t="s">
        <v>100</v>
      </c>
      <c r="I39" s="85" t="s">
        <v>100</v>
      </c>
      <c r="J39" s="28" t="s">
        <v>22</v>
      </c>
      <c r="K39" s="28" t="s">
        <v>22</v>
      </c>
      <c r="L39" s="79" t="s">
        <v>66</v>
      </c>
      <c r="M39" s="79" t="s">
        <v>66</v>
      </c>
      <c r="N39" s="79" t="s">
        <v>66</v>
      </c>
      <c r="O39" s="79" t="s">
        <v>66</v>
      </c>
      <c r="P39" s="28" t="s">
        <v>22</v>
      </c>
      <c r="Q39" s="28" t="s">
        <v>22</v>
      </c>
      <c r="R39" s="85" t="s">
        <v>100</v>
      </c>
      <c r="S39" s="85" t="s">
        <v>100</v>
      </c>
      <c r="T39" s="85" t="s">
        <v>100</v>
      </c>
      <c r="U39" s="85" t="s">
        <v>100</v>
      </c>
      <c r="V39" s="28" t="s">
        <v>22</v>
      </c>
      <c r="W39" s="28" t="s">
        <v>22</v>
      </c>
      <c r="X39" s="79" t="s">
        <v>66</v>
      </c>
      <c r="Y39" s="79" t="s">
        <v>66</v>
      </c>
      <c r="Z39" s="79" t="s">
        <v>66</v>
      </c>
      <c r="AA39" s="79" t="s">
        <v>66</v>
      </c>
      <c r="AB39" s="28" t="s">
        <v>22</v>
      </c>
      <c r="AC39" s="28" t="s">
        <v>22</v>
      </c>
      <c r="AD39" s="85" t="s">
        <v>100</v>
      </c>
      <c r="AE39" s="85" t="s">
        <v>100</v>
      </c>
      <c r="AF39" s="85" t="s">
        <v>100</v>
      </c>
      <c r="AG39" s="85" t="s">
        <v>100</v>
      </c>
      <c r="AH39" s="91" t="s">
        <v>22</v>
      </c>
      <c r="AI39" s="19"/>
      <c r="AJ39" s="20"/>
      <c r="AK39" s="21">
        <f t="shared" si="0"/>
        <v>0</v>
      </c>
      <c r="AL39" s="20">
        <f t="shared" si="1"/>
        <v>0</v>
      </c>
      <c r="AM39" s="19"/>
      <c r="AN39" s="20"/>
      <c r="AO39" s="21">
        <f t="shared" si="2"/>
        <v>0</v>
      </c>
      <c r="AP39" s="20">
        <f t="shared" si="3"/>
        <v>0</v>
      </c>
      <c r="AQ39" s="19"/>
      <c r="AR39" s="21">
        <f t="shared" si="4"/>
        <v>20</v>
      </c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</row>
    <row r="40" spans="2:60" ht="15" customHeight="1">
      <c r="B40" s="280" t="s">
        <v>108</v>
      </c>
      <c r="C40" s="88" t="s">
        <v>109</v>
      </c>
      <c r="D40" s="88" t="s">
        <v>110</v>
      </c>
      <c r="E40" s="103" t="s">
        <v>22</v>
      </c>
      <c r="F40" s="205" t="s">
        <v>113</v>
      </c>
      <c r="G40" s="205" t="s">
        <v>113</v>
      </c>
      <c r="H40" s="205" t="s">
        <v>113</v>
      </c>
      <c r="I40" s="205" t="s">
        <v>113</v>
      </c>
      <c r="J40" s="205" t="s">
        <v>113</v>
      </c>
      <c r="K40" s="103" t="s">
        <v>22</v>
      </c>
      <c r="L40" s="103" t="s">
        <v>22</v>
      </c>
      <c r="M40" s="205" t="s">
        <v>113</v>
      </c>
      <c r="N40" s="205" t="s">
        <v>113</v>
      </c>
      <c r="O40" s="205" t="s">
        <v>113</v>
      </c>
      <c r="P40" s="205" t="s">
        <v>113</v>
      </c>
      <c r="Q40" s="205" t="s">
        <v>113</v>
      </c>
      <c r="R40" s="103" t="s">
        <v>22</v>
      </c>
      <c r="S40" s="103" t="s">
        <v>22</v>
      </c>
      <c r="T40" s="205" t="s">
        <v>113</v>
      </c>
      <c r="U40" s="205" t="s">
        <v>113</v>
      </c>
      <c r="V40" s="205" t="s">
        <v>113</v>
      </c>
      <c r="W40" s="205" t="s">
        <v>113</v>
      </c>
      <c r="X40" s="205" t="s">
        <v>113</v>
      </c>
      <c r="Y40" s="103" t="s">
        <v>22</v>
      </c>
      <c r="Z40" s="103" t="s">
        <v>22</v>
      </c>
      <c r="AA40" s="205" t="s">
        <v>113</v>
      </c>
      <c r="AB40" s="205" t="s">
        <v>113</v>
      </c>
      <c r="AC40" s="205" t="s">
        <v>113</v>
      </c>
      <c r="AD40" s="205" t="s">
        <v>113</v>
      </c>
      <c r="AE40" s="205" t="s">
        <v>113</v>
      </c>
      <c r="AF40" s="103" t="s">
        <v>22</v>
      </c>
      <c r="AG40" s="103" t="s">
        <v>22</v>
      </c>
      <c r="AH40" s="210" t="s">
        <v>113</v>
      </c>
      <c r="AI40" s="19"/>
      <c r="AJ40" s="20"/>
      <c r="AK40" s="21">
        <f t="shared" si="0"/>
        <v>0</v>
      </c>
      <c r="AL40" s="20">
        <f t="shared" si="1"/>
        <v>0</v>
      </c>
      <c r="AM40" s="19"/>
      <c r="AN40" s="20"/>
      <c r="AO40" s="21">
        <f t="shared" si="2"/>
        <v>0</v>
      </c>
      <c r="AP40" s="20">
        <f t="shared" si="3"/>
        <v>0</v>
      </c>
      <c r="AQ40" s="19"/>
      <c r="AR40" s="21">
        <f t="shared" si="4"/>
        <v>21</v>
      </c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</row>
    <row r="41" spans="2:60" ht="15" customHeight="1">
      <c r="B41" s="276"/>
      <c r="C41" s="22" t="s">
        <v>111</v>
      </c>
      <c r="D41" s="20" t="s">
        <v>112</v>
      </c>
      <c r="E41" s="28" t="s">
        <v>22</v>
      </c>
      <c r="F41" s="80" t="s">
        <v>113</v>
      </c>
      <c r="G41" s="80" t="s">
        <v>113</v>
      </c>
      <c r="H41" s="80" t="s">
        <v>113</v>
      </c>
      <c r="I41" s="80" t="s">
        <v>113</v>
      </c>
      <c r="J41" s="80" t="s">
        <v>113</v>
      </c>
      <c r="K41" s="28" t="s">
        <v>22</v>
      </c>
      <c r="L41" s="28" t="s">
        <v>22</v>
      </c>
      <c r="M41" s="80" t="s">
        <v>113</v>
      </c>
      <c r="N41" s="80" t="s">
        <v>113</v>
      </c>
      <c r="O41" s="80" t="s">
        <v>113</v>
      </c>
      <c r="P41" s="80" t="s">
        <v>113</v>
      </c>
      <c r="Q41" s="80" t="s">
        <v>113</v>
      </c>
      <c r="R41" s="28" t="s">
        <v>22</v>
      </c>
      <c r="S41" s="28" t="s">
        <v>22</v>
      </c>
      <c r="T41" s="80" t="s">
        <v>113</v>
      </c>
      <c r="U41" s="80" t="s">
        <v>113</v>
      </c>
      <c r="V41" s="80" t="s">
        <v>113</v>
      </c>
      <c r="W41" s="80" t="s">
        <v>113</v>
      </c>
      <c r="X41" s="80" t="s">
        <v>113</v>
      </c>
      <c r="Y41" s="28" t="s">
        <v>22</v>
      </c>
      <c r="Z41" s="28" t="s">
        <v>22</v>
      </c>
      <c r="AA41" s="80" t="s">
        <v>113</v>
      </c>
      <c r="AB41" s="80" t="s">
        <v>113</v>
      </c>
      <c r="AC41" s="80" t="s">
        <v>113</v>
      </c>
      <c r="AD41" s="80" t="s">
        <v>113</v>
      </c>
      <c r="AE41" s="80" t="s">
        <v>113</v>
      </c>
      <c r="AF41" s="28" t="s">
        <v>22</v>
      </c>
      <c r="AG41" s="28" t="s">
        <v>22</v>
      </c>
      <c r="AH41" s="190" t="s">
        <v>113</v>
      </c>
      <c r="AI41" s="19"/>
      <c r="AJ41" s="20"/>
      <c r="AK41" s="21">
        <f t="shared" si="0"/>
        <v>0</v>
      </c>
      <c r="AL41" s="20">
        <f t="shared" si="1"/>
        <v>0</v>
      </c>
      <c r="AM41" s="19"/>
      <c r="AN41" s="20"/>
      <c r="AO41" s="21">
        <f t="shared" si="2"/>
        <v>0</v>
      </c>
      <c r="AP41" s="20">
        <f t="shared" si="3"/>
        <v>0</v>
      </c>
      <c r="AQ41" s="19"/>
      <c r="AR41" s="21">
        <f t="shared" si="4"/>
        <v>21</v>
      </c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</row>
    <row r="42" spans="2:60" ht="15" customHeight="1">
      <c r="B42" s="276"/>
      <c r="C42" s="20" t="s">
        <v>114</v>
      </c>
      <c r="D42" s="20" t="s">
        <v>115</v>
      </c>
      <c r="E42" s="28" t="s">
        <v>22</v>
      </c>
      <c r="F42" s="81" t="s">
        <v>116</v>
      </c>
      <c r="G42" s="81" t="s">
        <v>116</v>
      </c>
      <c r="H42" s="81" t="s">
        <v>116</v>
      </c>
      <c r="I42" s="81" t="s">
        <v>116</v>
      </c>
      <c r="J42" s="81" t="s">
        <v>116</v>
      </c>
      <c r="K42" s="28" t="s">
        <v>22</v>
      </c>
      <c r="L42" s="28" t="s">
        <v>22</v>
      </c>
      <c r="M42" s="81" t="s">
        <v>116</v>
      </c>
      <c r="N42" s="81" t="s">
        <v>116</v>
      </c>
      <c r="O42" s="81" t="s">
        <v>116</v>
      </c>
      <c r="P42" s="81" t="s">
        <v>116</v>
      </c>
      <c r="Q42" s="81" t="s">
        <v>116</v>
      </c>
      <c r="R42" s="28" t="s">
        <v>22</v>
      </c>
      <c r="S42" s="28" t="s">
        <v>22</v>
      </c>
      <c r="T42" s="81" t="s">
        <v>116</v>
      </c>
      <c r="U42" s="81" t="s">
        <v>116</v>
      </c>
      <c r="V42" s="81" t="s">
        <v>116</v>
      </c>
      <c r="W42" s="81" t="s">
        <v>116</v>
      </c>
      <c r="X42" s="81" t="s">
        <v>116</v>
      </c>
      <c r="Y42" s="28" t="s">
        <v>22</v>
      </c>
      <c r="Z42" s="28" t="s">
        <v>22</v>
      </c>
      <c r="AA42" s="81" t="s">
        <v>116</v>
      </c>
      <c r="AB42" s="81" t="s">
        <v>116</v>
      </c>
      <c r="AC42" s="81" t="s">
        <v>116</v>
      </c>
      <c r="AD42" s="81" t="s">
        <v>116</v>
      </c>
      <c r="AE42" s="81" t="s">
        <v>116</v>
      </c>
      <c r="AF42" s="28" t="s">
        <v>22</v>
      </c>
      <c r="AG42" s="28" t="s">
        <v>22</v>
      </c>
      <c r="AH42" s="191" t="s">
        <v>116</v>
      </c>
      <c r="AI42" s="19"/>
      <c r="AJ42" s="20"/>
      <c r="AK42" s="21">
        <f t="shared" si="0"/>
        <v>0</v>
      </c>
      <c r="AL42" s="20">
        <f t="shared" si="1"/>
        <v>0</v>
      </c>
      <c r="AM42" s="19"/>
      <c r="AN42" s="26"/>
      <c r="AO42" s="21">
        <f t="shared" si="2"/>
        <v>0</v>
      </c>
      <c r="AP42" s="44">
        <f t="shared" si="3"/>
        <v>0</v>
      </c>
      <c r="AQ42" s="19"/>
      <c r="AR42" s="21">
        <f t="shared" si="4"/>
        <v>21</v>
      </c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</row>
    <row r="43" spans="2:60" ht="15" customHeight="1">
      <c r="B43" s="276"/>
      <c r="C43" s="22" t="s">
        <v>117</v>
      </c>
      <c r="D43" s="20" t="s">
        <v>118</v>
      </c>
      <c r="E43" s="74" t="s">
        <v>23</v>
      </c>
      <c r="F43" s="74" t="s">
        <v>23</v>
      </c>
      <c r="G43" s="74" t="s">
        <v>23</v>
      </c>
      <c r="H43" s="28" t="s">
        <v>22</v>
      </c>
      <c r="I43" s="28" t="s">
        <v>22</v>
      </c>
      <c r="J43" s="60" t="s">
        <v>21</v>
      </c>
      <c r="K43" s="60" t="s">
        <v>21</v>
      </c>
      <c r="L43" s="60" t="s">
        <v>21</v>
      </c>
      <c r="M43" s="60" t="s">
        <v>21</v>
      </c>
      <c r="N43" s="28" t="s">
        <v>22</v>
      </c>
      <c r="O43" s="28" t="s">
        <v>22</v>
      </c>
      <c r="P43" s="74" t="s">
        <v>23</v>
      </c>
      <c r="Q43" s="74" t="s">
        <v>23</v>
      </c>
      <c r="R43" s="74" t="s">
        <v>23</v>
      </c>
      <c r="S43" s="74" t="s">
        <v>23</v>
      </c>
      <c r="T43" s="28" t="s">
        <v>22</v>
      </c>
      <c r="U43" s="28" t="s">
        <v>22</v>
      </c>
      <c r="V43" s="60" t="s">
        <v>21</v>
      </c>
      <c r="W43" s="60" t="s">
        <v>21</v>
      </c>
      <c r="X43" s="60" t="s">
        <v>21</v>
      </c>
      <c r="Y43" s="60" t="s">
        <v>21</v>
      </c>
      <c r="Z43" s="28" t="s">
        <v>22</v>
      </c>
      <c r="AA43" s="28" t="s">
        <v>22</v>
      </c>
      <c r="AB43" s="74" t="s">
        <v>23</v>
      </c>
      <c r="AC43" s="74" t="s">
        <v>23</v>
      </c>
      <c r="AD43" s="74" t="s">
        <v>23</v>
      </c>
      <c r="AE43" s="74" t="s">
        <v>23</v>
      </c>
      <c r="AF43" s="28" t="s">
        <v>22</v>
      </c>
      <c r="AG43" s="28" t="s">
        <v>22</v>
      </c>
      <c r="AH43" s="90" t="s">
        <v>21</v>
      </c>
      <c r="AI43" s="19"/>
      <c r="AJ43" s="20"/>
      <c r="AK43" s="21">
        <f t="shared" si="0"/>
        <v>0</v>
      </c>
      <c r="AL43" s="20">
        <f t="shared" si="1"/>
        <v>0</v>
      </c>
      <c r="AM43" s="19"/>
      <c r="AN43" s="20"/>
      <c r="AO43" s="21">
        <f t="shared" si="2"/>
        <v>0</v>
      </c>
      <c r="AP43" s="20">
        <f t="shared" si="3"/>
        <v>0</v>
      </c>
      <c r="AQ43" s="19"/>
      <c r="AR43" s="21">
        <f t="shared" si="4"/>
        <v>20</v>
      </c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</row>
    <row r="44" spans="2:60" ht="15" customHeight="1">
      <c r="B44" s="276"/>
      <c r="C44" s="20" t="s">
        <v>119</v>
      </c>
      <c r="D44" s="20" t="s">
        <v>120</v>
      </c>
      <c r="E44" s="74" t="s">
        <v>23</v>
      </c>
      <c r="F44" s="74" t="s">
        <v>23</v>
      </c>
      <c r="G44" s="74" t="s">
        <v>23</v>
      </c>
      <c r="H44" s="28" t="s">
        <v>22</v>
      </c>
      <c r="I44" s="28" t="s">
        <v>22</v>
      </c>
      <c r="J44" s="60" t="s">
        <v>21</v>
      </c>
      <c r="K44" s="60" t="s">
        <v>21</v>
      </c>
      <c r="L44" s="60" t="s">
        <v>21</v>
      </c>
      <c r="M44" s="60" t="s">
        <v>21</v>
      </c>
      <c r="N44" s="28" t="s">
        <v>22</v>
      </c>
      <c r="O44" s="28" t="s">
        <v>22</v>
      </c>
      <c r="P44" s="74" t="s">
        <v>23</v>
      </c>
      <c r="Q44" s="74" t="s">
        <v>23</v>
      </c>
      <c r="R44" s="74" t="s">
        <v>23</v>
      </c>
      <c r="S44" s="74" t="s">
        <v>23</v>
      </c>
      <c r="T44" s="28" t="s">
        <v>22</v>
      </c>
      <c r="U44" s="28" t="s">
        <v>22</v>
      </c>
      <c r="V44" s="60" t="s">
        <v>21</v>
      </c>
      <c r="W44" s="60" t="s">
        <v>21</v>
      </c>
      <c r="X44" s="60" t="s">
        <v>21</v>
      </c>
      <c r="Y44" s="60" t="s">
        <v>21</v>
      </c>
      <c r="Z44" s="28" t="s">
        <v>22</v>
      </c>
      <c r="AA44" s="28" t="s">
        <v>22</v>
      </c>
      <c r="AB44" s="74" t="s">
        <v>23</v>
      </c>
      <c r="AC44" s="74" t="s">
        <v>23</v>
      </c>
      <c r="AD44" s="74" t="s">
        <v>23</v>
      </c>
      <c r="AE44" s="74" t="s">
        <v>23</v>
      </c>
      <c r="AF44" s="28" t="s">
        <v>22</v>
      </c>
      <c r="AG44" s="28" t="s">
        <v>22</v>
      </c>
      <c r="AH44" s="90" t="s">
        <v>21</v>
      </c>
      <c r="AI44" s="19"/>
      <c r="AJ44" s="20"/>
      <c r="AK44" s="21">
        <f t="shared" si="0"/>
        <v>0</v>
      </c>
      <c r="AL44" s="20">
        <f t="shared" si="1"/>
        <v>0</v>
      </c>
      <c r="AM44" s="19"/>
      <c r="AN44" s="20"/>
      <c r="AO44" s="21">
        <f t="shared" si="2"/>
        <v>0</v>
      </c>
      <c r="AP44" s="20">
        <f t="shared" si="3"/>
        <v>0</v>
      </c>
      <c r="AQ44" s="19"/>
      <c r="AR44" s="21">
        <f t="shared" si="4"/>
        <v>20</v>
      </c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</row>
    <row r="45" spans="2:60" ht="15" customHeight="1">
      <c r="B45" s="276"/>
      <c r="C45" s="22" t="s">
        <v>121</v>
      </c>
      <c r="D45" s="20" t="s">
        <v>122</v>
      </c>
      <c r="E45" s="60" t="s">
        <v>21</v>
      </c>
      <c r="F45" s="28" t="s">
        <v>22</v>
      </c>
      <c r="G45" s="28" t="s">
        <v>22</v>
      </c>
      <c r="H45" s="74" t="s">
        <v>23</v>
      </c>
      <c r="I45" s="74" t="s">
        <v>23</v>
      </c>
      <c r="J45" s="74" t="s">
        <v>23</v>
      </c>
      <c r="K45" s="74" t="s">
        <v>23</v>
      </c>
      <c r="L45" s="28" t="s">
        <v>22</v>
      </c>
      <c r="M45" s="28" t="s">
        <v>22</v>
      </c>
      <c r="N45" s="60" t="s">
        <v>21</v>
      </c>
      <c r="O45" s="60" t="s">
        <v>21</v>
      </c>
      <c r="P45" s="60" t="s">
        <v>21</v>
      </c>
      <c r="Q45" s="60" t="s">
        <v>21</v>
      </c>
      <c r="R45" s="28" t="s">
        <v>22</v>
      </c>
      <c r="S45" s="28" t="s">
        <v>22</v>
      </c>
      <c r="T45" s="74" t="s">
        <v>23</v>
      </c>
      <c r="U45" s="74" t="s">
        <v>23</v>
      </c>
      <c r="V45" s="74" t="s">
        <v>23</v>
      </c>
      <c r="W45" s="74" t="s">
        <v>23</v>
      </c>
      <c r="X45" s="28" t="s">
        <v>22</v>
      </c>
      <c r="Y45" s="28" t="s">
        <v>22</v>
      </c>
      <c r="Z45" s="60" t="s">
        <v>21</v>
      </c>
      <c r="AA45" s="60" t="s">
        <v>21</v>
      </c>
      <c r="AB45" s="60" t="s">
        <v>21</v>
      </c>
      <c r="AC45" s="60" t="s">
        <v>21</v>
      </c>
      <c r="AD45" s="28" t="s">
        <v>22</v>
      </c>
      <c r="AE45" s="28" t="s">
        <v>22</v>
      </c>
      <c r="AF45" s="74" t="s">
        <v>23</v>
      </c>
      <c r="AG45" s="74" t="s">
        <v>23</v>
      </c>
      <c r="AH45" s="89" t="s">
        <v>23</v>
      </c>
      <c r="AI45" s="19"/>
      <c r="AJ45" s="20"/>
      <c r="AK45" s="21">
        <f t="shared" si="0"/>
        <v>0</v>
      </c>
      <c r="AL45" s="20">
        <f t="shared" si="1"/>
        <v>0</v>
      </c>
      <c r="AM45" s="19"/>
      <c r="AN45" s="20"/>
      <c r="AO45" s="21">
        <f t="shared" si="2"/>
        <v>0</v>
      </c>
      <c r="AP45" s="20">
        <f t="shared" si="3"/>
        <v>0</v>
      </c>
      <c r="AQ45" s="19"/>
      <c r="AR45" s="21">
        <f t="shared" si="4"/>
        <v>20</v>
      </c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</row>
    <row r="46" spans="2:60" ht="15" customHeight="1">
      <c r="B46" s="276"/>
      <c r="C46" s="20" t="s">
        <v>124</v>
      </c>
      <c r="D46" s="20" t="s">
        <v>125</v>
      </c>
      <c r="E46" s="60" t="s">
        <v>21</v>
      </c>
      <c r="F46" s="28" t="s">
        <v>22</v>
      </c>
      <c r="G46" s="28" t="s">
        <v>22</v>
      </c>
      <c r="H46" s="74" t="s">
        <v>23</v>
      </c>
      <c r="I46" s="74" t="s">
        <v>23</v>
      </c>
      <c r="J46" s="74" t="s">
        <v>23</v>
      </c>
      <c r="K46" s="74" t="s">
        <v>23</v>
      </c>
      <c r="L46" s="28" t="s">
        <v>22</v>
      </c>
      <c r="M46" s="28" t="s">
        <v>22</v>
      </c>
      <c r="N46" s="60" t="s">
        <v>21</v>
      </c>
      <c r="O46" s="60" t="s">
        <v>21</v>
      </c>
      <c r="P46" s="60" t="s">
        <v>21</v>
      </c>
      <c r="Q46" s="60" t="s">
        <v>21</v>
      </c>
      <c r="R46" s="28" t="s">
        <v>22</v>
      </c>
      <c r="S46" s="28" t="s">
        <v>22</v>
      </c>
      <c r="T46" s="74" t="s">
        <v>23</v>
      </c>
      <c r="U46" s="74" t="s">
        <v>23</v>
      </c>
      <c r="V46" s="74" t="s">
        <v>23</v>
      </c>
      <c r="W46" s="74" t="s">
        <v>23</v>
      </c>
      <c r="X46" s="28" t="s">
        <v>22</v>
      </c>
      <c r="Y46" s="28" t="s">
        <v>22</v>
      </c>
      <c r="Z46" s="60" t="s">
        <v>21</v>
      </c>
      <c r="AA46" s="60" t="s">
        <v>21</v>
      </c>
      <c r="AB46" s="60" t="s">
        <v>21</v>
      </c>
      <c r="AC46" s="60" t="s">
        <v>21</v>
      </c>
      <c r="AD46" s="28" t="s">
        <v>22</v>
      </c>
      <c r="AE46" s="28" t="s">
        <v>22</v>
      </c>
      <c r="AF46" s="74" t="s">
        <v>23</v>
      </c>
      <c r="AG46" s="74" t="s">
        <v>23</v>
      </c>
      <c r="AH46" s="89" t="s">
        <v>23</v>
      </c>
      <c r="AI46" s="19"/>
      <c r="AJ46" s="20"/>
      <c r="AK46" s="21">
        <f t="shared" si="0"/>
        <v>0</v>
      </c>
      <c r="AL46" s="20">
        <f t="shared" si="1"/>
        <v>0</v>
      </c>
      <c r="AM46" s="19"/>
      <c r="AN46" s="20"/>
      <c r="AO46" s="21">
        <f t="shared" si="2"/>
        <v>0</v>
      </c>
      <c r="AP46" s="20">
        <f t="shared" si="3"/>
        <v>0</v>
      </c>
      <c r="AQ46" s="19"/>
      <c r="AR46" s="21">
        <f t="shared" si="4"/>
        <v>20</v>
      </c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</row>
    <row r="47" spans="2:60" ht="15" customHeight="1">
      <c r="B47" s="281"/>
      <c r="C47" s="92" t="s">
        <v>126</v>
      </c>
      <c r="D47" s="93" t="s">
        <v>127</v>
      </c>
      <c r="E47" s="94" t="s">
        <v>22</v>
      </c>
      <c r="F47" s="95" t="s">
        <v>21</v>
      </c>
      <c r="G47" s="95" t="s">
        <v>21</v>
      </c>
      <c r="H47" s="95" t="s">
        <v>21</v>
      </c>
      <c r="I47" s="95" t="s">
        <v>21</v>
      </c>
      <c r="J47" s="94" t="s">
        <v>22</v>
      </c>
      <c r="K47" s="94" t="s">
        <v>22</v>
      </c>
      <c r="L47" s="96" t="s">
        <v>23</v>
      </c>
      <c r="M47" s="96" t="s">
        <v>23</v>
      </c>
      <c r="N47" s="96" t="s">
        <v>23</v>
      </c>
      <c r="O47" s="96" t="s">
        <v>23</v>
      </c>
      <c r="P47" s="94" t="s">
        <v>22</v>
      </c>
      <c r="Q47" s="94" t="s">
        <v>22</v>
      </c>
      <c r="R47" s="95" t="s">
        <v>21</v>
      </c>
      <c r="S47" s="95" t="s">
        <v>21</v>
      </c>
      <c r="T47" s="95" t="s">
        <v>21</v>
      </c>
      <c r="U47" s="95" t="s">
        <v>21</v>
      </c>
      <c r="V47" s="94" t="s">
        <v>22</v>
      </c>
      <c r="W47" s="94" t="s">
        <v>22</v>
      </c>
      <c r="X47" s="96" t="s">
        <v>23</v>
      </c>
      <c r="Y47" s="96" t="s">
        <v>23</v>
      </c>
      <c r="Z47" s="96" t="s">
        <v>23</v>
      </c>
      <c r="AA47" s="96" t="s">
        <v>23</v>
      </c>
      <c r="AB47" s="94" t="s">
        <v>22</v>
      </c>
      <c r="AC47" s="94" t="s">
        <v>22</v>
      </c>
      <c r="AD47" s="95" t="s">
        <v>21</v>
      </c>
      <c r="AE47" s="95" t="s">
        <v>21</v>
      </c>
      <c r="AF47" s="95" t="s">
        <v>21</v>
      </c>
      <c r="AG47" s="95" t="s">
        <v>21</v>
      </c>
      <c r="AH47" s="97" t="s">
        <v>22</v>
      </c>
      <c r="AI47" s="19"/>
      <c r="AJ47" s="20"/>
      <c r="AK47" s="21">
        <f t="shared" si="0"/>
        <v>0</v>
      </c>
      <c r="AL47" s="20">
        <f t="shared" si="1"/>
        <v>0</v>
      </c>
      <c r="AM47" s="19"/>
      <c r="AN47" s="20"/>
      <c r="AO47" s="21">
        <f t="shared" si="2"/>
        <v>0</v>
      </c>
      <c r="AP47" s="20">
        <f t="shared" si="3"/>
        <v>0</v>
      </c>
      <c r="AQ47" s="19"/>
      <c r="AR47" s="21">
        <f t="shared" si="4"/>
        <v>20</v>
      </c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</row>
    <row r="48" spans="2:60" ht="15" customHeight="1">
      <c r="B48" s="42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</row>
    <row r="49" spans="2:60" ht="15" customHeight="1">
      <c r="B49" s="282" t="s">
        <v>252</v>
      </c>
      <c r="C49" s="286" t="s">
        <v>253</v>
      </c>
      <c r="D49" s="286"/>
      <c r="E49" s="21">
        <f>COUNTIF(C5:C47,$C$49)</f>
        <v>0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</row>
    <row r="50" spans="2:60" ht="15" customHeight="1">
      <c r="B50" s="282"/>
      <c r="C50" s="286" t="s">
        <v>253</v>
      </c>
      <c r="D50" s="286"/>
      <c r="E50" s="21">
        <f>COUNTIF(C5:C47,$C$50)</f>
        <v>0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</row>
    <row r="51" spans="2:60" ht="15" customHeight="1">
      <c r="C51" s="286" t="s">
        <v>128</v>
      </c>
      <c r="D51" s="286"/>
      <c r="E51" s="21">
        <f>E49+E50</f>
        <v>0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</row>
    <row r="52" spans="2:60" ht="15" customHeight="1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</row>
    <row r="53" spans="2:60" ht="15" customHeight="1"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</row>
    <row r="54" spans="2:60" ht="15" customHeight="1">
      <c r="C54" s="19"/>
      <c r="D54" s="19"/>
      <c r="E54" s="28" t="s">
        <v>22</v>
      </c>
      <c r="F54" s="250" t="s">
        <v>129</v>
      </c>
      <c r="G54" s="251"/>
      <c r="H54" s="251"/>
      <c r="I54" s="252"/>
      <c r="J54" s="19"/>
      <c r="K54" s="29" t="s">
        <v>130</v>
      </c>
      <c r="L54" s="250" t="s">
        <v>131</v>
      </c>
      <c r="M54" s="251"/>
      <c r="N54" s="251"/>
      <c r="O54" s="252"/>
      <c r="P54" s="19"/>
      <c r="Q54" s="256" t="s">
        <v>132</v>
      </c>
      <c r="R54" s="256"/>
      <c r="S54" s="256"/>
      <c r="T54" s="25"/>
      <c r="V54" s="256" t="s">
        <v>133</v>
      </c>
      <c r="W54" s="256"/>
      <c r="X54" s="256"/>
      <c r="Y54" s="256" t="s">
        <v>134</v>
      </c>
      <c r="Z54" s="256"/>
      <c r="AA54" s="256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</row>
    <row r="55" spans="2:60" ht="15" customHeight="1">
      <c r="C55" s="19"/>
      <c r="D55" s="19"/>
      <c r="E55" s="28" t="s">
        <v>135</v>
      </c>
      <c r="F55" s="250" t="s">
        <v>136</v>
      </c>
      <c r="G55" s="251"/>
      <c r="H55" s="251"/>
      <c r="I55" s="252"/>
      <c r="J55" s="19"/>
      <c r="K55" s="29" t="s">
        <v>123</v>
      </c>
      <c r="L55" s="250" t="s">
        <v>137</v>
      </c>
      <c r="M55" s="251"/>
      <c r="N55" s="251"/>
      <c r="O55" s="252"/>
      <c r="P55" s="19"/>
      <c r="Q55" s="21" t="s">
        <v>20</v>
      </c>
      <c r="R55" s="283" t="s">
        <v>138</v>
      </c>
      <c r="S55" s="284"/>
      <c r="U55" s="57" t="s">
        <v>29</v>
      </c>
      <c r="V55" s="250" t="s">
        <v>139</v>
      </c>
      <c r="W55" s="251"/>
      <c r="X55" s="252"/>
      <c r="Y55" s="250" t="s">
        <v>140</v>
      </c>
      <c r="Z55" s="251"/>
      <c r="AA55" s="252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</row>
    <row r="56" spans="2:60" ht="15" customHeight="1">
      <c r="C56" s="19"/>
      <c r="D56" s="19"/>
      <c r="E56" s="30" t="s">
        <v>20</v>
      </c>
      <c r="F56" s="250" t="s">
        <v>141</v>
      </c>
      <c r="G56" s="251"/>
      <c r="H56" s="251"/>
      <c r="I56" s="252"/>
      <c r="J56" s="19"/>
      <c r="K56" s="28" t="s">
        <v>107</v>
      </c>
      <c r="L56" s="250" t="s">
        <v>142</v>
      </c>
      <c r="M56" s="251"/>
      <c r="N56" s="251"/>
      <c r="O56" s="252"/>
      <c r="P56" s="19"/>
      <c r="Q56" s="21" t="s">
        <v>143</v>
      </c>
      <c r="R56" s="283" t="s">
        <v>144</v>
      </c>
      <c r="S56" s="284"/>
      <c r="U56" s="46" t="s">
        <v>145</v>
      </c>
      <c r="V56" s="250" t="s">
        <v>146</v>
      </c>
      <c r="W56" s="251"/>
      <c r="X56" s="252"/>
      <c r="Y56" s="250" t="s">
        <v>147</v>
      </c>
      <c r="Z56" s="251"/>
      <c r="AA56" s="252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</row>
    <row r="57" spans="2:60" ht="15" customHeight="1">
      <c r="C57" s="19"/>
      <c r="D57" s="19"/>
      <c r="E57" s="31" t="s">
        <v>36</v>
      </c>
      <c r="F57" s="250" t="s">
        <v>148</v>
      </c>
      <c r="G57" s="251"/>
      <c r="H57" s="251"/>
      <c r="I57" s="252"/>
      <c r="J57" s="19"/>
      <c r="K57" s="28" t="s">
        <v>143</v>
      </c>
      <c r="L57" s="250" t="s">
        <v>142</v>
      </c>
      <c r="M57" s="251"/>
      <c r="N57" s="251"/>
      <c r="O57" s="252"/>
      <c r="P57" s="19"/>
      <c r="Q57" s="21" t="s">
        <v>149</v>
      </c>
      <c r="R57" s="259" t="s">
        <v>150</v>
      </c>
      <c r="S57" s="260"/>
      <c r="U57" s="47" t="s">
        <v>151</v>
      </c>
      <c r="V57" s="250" t="s">
        <v>152</v>
      </c>
      <c r="W57" s="251"/>
      <c r="X57" s="252"/>
      <c r="Y57" s="250" t="s">
        <v>153</v>
      </c>
      <c r="Z57" s="251"/>
      <c r="AA57" s="252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</row>
    <row r="58" spans="2:60" ht="15" customHeight="1">
      <c r="C58" s="19"/>
      <c r="D58" s="19"/>
      <c r="E58" s="31" t="s">
        <v>33</v>
      </c>
      <c r="F58" s="250" t="s">
        <v>154</v>
      </c>
      <c r="G58" s="251"/>
      <c r="H58" s="251"/>
      <c r="I58" s="252"/>
      <c r="J58" s="19"/>
      <c r="K58" s="28" t="s">
        <v>155</v>
      </c>
      <c r="L58" s="250" t="s">
        <v>142</v>
      </c>
      <c r="M58" s="251"/>
      <c r="N58" s="251"/>
      <c r="O58" s="252"/>
      <c r="P58" s="19"/>
      <c r="Q58" s="21" t="s">
        <v>156</v>
      </c>
      <c r="R58" s="259" t="s">
        <v>157</v>
      </c>
      <c r="S58" s="260"/>
      <c r="U58" s="58" t="s">
        <v>100</v>
      </c>
      <c r="V58" s="250" t="s">
        <v>158</v>
      </c>
      <c r="W58" s="251"/>
      <c r="X58" s="252"/>
      <c r="Y58" s="250" t="s">
        <v>159</v>
      </c>
      <c r="Z58" s="251"/>
      <c r="AA58" s="252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</row>
    <row r="59" spans="2:60" ht="15" customHeight="1">
      <c r="C59" s="19"/>
      <c r="D59" s="19"/>
      <c r="E59" s="32" t="s">
        <v>20</v>
      </c>
      <c r="F59" s="250" t="s">
        <v>160</v>
      </c>
      <c r="G59" s="251"/>
      <c r="H59" s="251"/>
      <c r="I59" s="252"/>
      <c r="J59" s="19"/>
      <c r="K59" s="33" t="s">
        <v>81</v>
      </c>
      <c r="L59" s="250" t="s">
        <v>161</v>
      </c>
      <c r="M59" s="251"/>
      <c r="N59" s="251"/>
      <c r="O59" s="252"/>
      <c r="P59" s="19"/>
      <c r="Q59" s="21" t="s">
        <v>162</v>
      </c>
      <c r="R59" s="259" t="s">
        <v>163</v>
      </c>
      <c r="S59" s="260"/>
      <c r="U59" s="59" t="s">
        <v>164</v>
      </c>
      <c r="V59" s="250" t="s">
        <v>165</v>
      </c>
      <c r="W59" s="251"/>
      <c r="X59" s="252"/>
      <c r="Y59" s="250" t="s">
        <v>166</v>
      </c>
      <c r="Z59" s="251"/>
      <c r="AA59" s="252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</row>
    <row r="60" spans="2:60" ht="15" customHeight="1">
      <c r="C60" s="19"/>
      <c r="D60" s="19"/>
      <c r="E60" s="32" t="s">
        <v>36</v>
      </c>
      <c r="F60" s="250" t="s">
        <v>167</v>
      </c>
      <c r="G60" s="251"/>
      <c r="H60" s="251"/>
      <c r="I60" s="252"/>
      <c r="J60" s="19"/>
      <c r="K60" s="28" t="s">
        <v>168</v>
      </c>
      <c r="L60" s="250" t="s">
        <v>161</v>
      </c>
      <c r="M60" s="251"/>
      <c r="N60" s="251"/>
      <c r="O60" s="252"/>
      <c r="T60" s="19"/>
      <c r="U60" s="72" t="s">
        <v>169</v>
      </c>
      <c r="V60" s="250" t="s">
        <v>170</v>
      </c>
      <c r="W60" s="251"/>
      <c r="X60" s="252"/>
      <c r="Y60" s="250" t="s">
        <v>171</v>
      </c>
      <c r="Z60" s="251"/>
      <c r="AA60" s="252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</row>
    <row r="61" spans="2:60" ht="15" customHeight="1">
      <c r="C61" s="19"/>
      <c r="D61" s="19"/>
      <c r="E61" s="34" t="s">
        <v>26</v>
      </c>
      <c r="F61" s="250" t="s">
        <v>172</v>
      </c>
      <c r="G61" s="251"/>
      <c r="H61" s="251"/>
      <c r="I61" s="252"/>
      <c r="J61" s="19"/>
      <c r="K61" s="28" t="s">
        <v>173</v>
      </c>
      <c r="L61" s="250" t="s">
        <v>161</v>
      </c>
      <c r="M61" s="251"/>
      <c r="N61" s="251"/>
      <c r="O61" s="252"/>
      <c r="T61" s="19"/>
      <c r="U61" s="60" t="s">
        <v>21</v>
      </c>
      <c r="V61" s="250" t="s">
        <v>174</v>
      </c>
      <c r="W61" s="251"/>
      <c r="X61" s="252"/>
      <c r="Y61" s="250" t="s">
        <v>175</v>
      </c>
      <c r="Z61" s="251"/>
      <c r="AA61" s="252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</row>
    <row r="62" spans="2:60" ht="15" customHeight="1">
      <c r="C62" s="19"/>
      <c r="D62" s="19"/>
      <c r="E62" s="34" t="s">
        <v>176</v>
      </c>
      <c r="F62" s="250" t="s">
        <v>177</v>
      </c>
      <c r="G62" s="251"/>
      <c r="H62" s="251"/>
      <c r="I62" s="252"/>
      <c r="J62" s="19"/>
      <c r="K62" s="28" t="s">
        <v>178</v>
      </c>
      <c r="L62" s="250" t="s">
        <v>161</v>
      </c>
      <c r="M62" s="251"/>
      <c r="N62" s="251"/>
      <c r="O62" s="252"/>
      <c r="T62" s="19"/>
      <c r="U62" s="61" t="s">
        <v>179</v>
      </c>
      <c r="V62" s="250" t="s">
        <v>180</v>
      </c>
      <c r="W62" s="251"/>
      <c r="X62" s="252"/>
      <c r="Y62" s="250" t="s">
        <v>181</v>
      </c>
      <c r="Z62" s="251"/>
      <c r="AA62" s="252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</row>
    <row r="63" spans="2:60" ht="15" customHeight="1">
      <c r="C63" s="19"/>
      <c r="D63" s="19"/>
      <c r="E63" s="32" t="s">
        <v>182</v>
      </c>
      <c r="F63" s="250" t="s">
        <v>183</v>
      </c>
      <c r="G63" s="251"/>
      <c r="H63" s="251"/>
      <c r="I63" s="252"/>
      <c r="J63" s="19"/>
      <c r="K63" s="27" t="s">
        <v>67</v>
      </c>
      <c r="L63" s="250" t="s">
        <v>161</v>
      </c>
      <c r="M63" s="251"/>
      <c r="N63" s="251"/>
      <c r="O63" s="252"/>
      <c r="P63" s="19"/>
      <c r="Q63" s="19"/>
      <c r="R63" s="19"/>
      <c r="S63" s="19"/>
      <c r="T63" s="19"/>
      <c r="U63" s="62" t="s">
        <v>184</v>
      </c>
      <c r="V63" s="250" t="s">
        <v>185</v>
      </c>
      <c r="W63" s="251"/>
      <c r="X63" s="252"/>
      <c r="Y63" s="250" t="s">
        <v>186</v>
      </c>
      <c r="Z63" s="251"/>
      <c r="AA63" s="252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</row>
    <row r="64" spans="2:60" ht="15" customHeight="1">
      <c r="C64" s="19"/>
      <c r="D64" s="19"/>
      <c r="E64" s="33" t="s">
        <v>30</v>
      </c>
      <c r="F64" s="250" t="s">
        <v>187</v>
      </c>
      <c r="G64" s="251"/>
      <c r="H64" s="251"/>
      <c r="I64" s="252"/>
      <c r="J64" s="19"/>
      <c r="K64" s="28" t="s">
        <v>188</v>
      </c>
      <c r="L64" s="250" t="s">
        <v>161</v>
      </c>
      <c r="M64" s="251"/>
      <c r="N64" s="251"/>
      <c r="O64" s="252"/>
      <c r="P64" s="19"/>
      <c r="Q64" s="19"/>
      <c r="R64" s="19"/>
      <c r="S64" s="19"/>
      <c r="T64" s="19"/>
      <c r="U64" s="50" t="s">
        <v>42</v>
      </c>
      <c r="V64" s="250" t="s">
        <v>189</v>
      </c>
      <c r="W64" s="251"/>
      <c r="X64" s="252"/>
      <c r="Y64" s="250" t="s">
        <v>190</v>
      </c>
      <c r="Z64" s="251"/>
      <c r="AA64" s="252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</row>
    <row r="65" spans="3:60" ht="15" customHeight="1">
      <c r="C65" s="19"/>
      <c r="D65" s="19"/>
      <c r="E65" s="35" t="s">
        <v>191</v>
      </c>
      <c r="F65" s="250" t="s">
        <v>192</v>
      </c>
      <c r="G65" s="251"/>
      <c r="H65" s="251"/>
      <c r="I65" s="252"/>
      <c r="J65" s="19"/>
      <c r="K65" s="28" t="s">
        <v>193</v>
      </c>
      <c r="L65" s="250" t="s">
        <v>161</v>
      </c>
      <c r="M65" s="251"/>
      <c r="N65" s="251"/>
      <c r="O65" s="252"/>
      <c r="P65" s="19"/>
      <c r="Q65" s="19"/>
      <c r="R65" s="19"/>
      <c r="S65" s="19"/>
      <c r="T65" s="19"/>
      <c r="U65" s="51" t="s">
        <v>194</v>
      </c>
      <c r="V65" s="250" t="s">
        <v>195</v>
      </c>
      <c r="W65" s="251"/>
      <c r="X65" s="252"/>
      <c r="Y65" s="250" t="s">
        <v>196</v>
      </c>
      <c r="Z65" s="251"/>
      <c r="AA65" s="252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</row>
    <row r="66" spans="3:60" ht="15" customHeight="1">
      <c r="C66" s="19"/>
      <c r="D66" s="19"/>
      <c r="E66" s="36" t="s">
        <v>197</v>
      </c>
      <c r="F66" s="250" t="s">
        <v>198</v>
      </c>
      <c r="G66" s="251"/>
      <c r="H66" s="251"/>
      <c r="I66" s="252"/>
      <c r="J66" s="19"/>
      <c r="K66" s="37" t="s">
        <v>199</v>
      </c>
      <c r="L66" s="250" t="s">
        <v>161</v>
      </c>
      <c r="M66" s="251"/>
      <c r="N66" s="251"/>
      <c r="O66" s="252"/>
      <c r="P66" s="19"/>
      <c r="Q66" s="19"/>
      <c r="R66" s="19"/>
      <c r="S66" s="19"/>
      <c r="T66" s="19"/>
      <c r="U66" s="49" t="s">
        <v>200</v>
      </c>
      <c r="V66" s="250" t="s">
        <v>201</v>
      </c>
      <c r="W66" s="251"/>
      <c r="X66" s="252"/>
      <c r="Y66" s="250" t="s">
        <v>202</v>
      </c>
      <c r="Z66" s="251"/>
      <c r="AA66" s="252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</row>
    <row r="67" spans="3:60" ht="15" customHeight="1">
      <c r="C67" s="19"/>
      <c r="D67" s="19"/>
      <c r="E67" s="27" t="s">
        <v>203</v>
      </c>
      <c r="F67" s="250" t="s">
        <v>204</v>
      </c>
      <c r="G67" s="251"/>
      <c r="H67" s="251"/>
      <c r="I67" s="252"/>
      <c r="J67" s="19"/>
      <c r="K67" s="28" t="s">
        <v>205</v>
      </c>
      <c r="L67" s="250" t="s">
        <v>161</v>
      </c>
      <c r="M67" s="251"/>
      <c r="N67" s="251"/>
      <c r="O67" s="252"/>
      <c r="P67" s="19"/>
      <c r="Q67" s="19"/>
      <c r="R67" s="19"/>
      <c r="S67" s="19"/>
      <c r="T67" s="19"/>
      <c r="U67" s="63" t="s">
        <v>206</v>
      </c>
      <c r="V67" s="250" t="s">
        <v>207</v>
      </c>
      <c r="W67" s="251"/>
      <c r="X67" s="252"/>
      <c r="Y67" s="250" t="s">
        <v>208</v>
      </c>
      <c r="Z67" s="251"/>
      <c r="AA67" s="252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</row>
    <row r="68" spans="3:60" ht="15" customHeight="1">
      <c r="C68" s="19"/>
      <c r="D68" s="19"/>
      <c r="E68" s="36" t="s">
        <v>209</v>
      </c>
      <c r="F68" s="250" t="s">
        <v>210</v>
      </c>
      <c r="G68" s="251"/>
      <c r="H68" s="251"/>
      <c r="I68" s="252"/>
      <c r="J68" s="19"/>
      <c r="K68" s="38" t="s">
        <v>211</v>
      </c>
      <c r="L68" s="250" t="s">
        <v>212</v>
      </c>
      <c r="M68" s="251"/>
      <c r="N68" s="251"/>
      <c r="O68" s="252"/>
      <c r="P68" s="19"/>
      <c r="Q68" s="19"/>
      <c r="R68" s="19"/>
      <c r="S68" s="19"/>
      <c r="T68" s="19"/>
      <c r="U68" s="56" t="s">
        <v>116</v>
      </c>
      <c r="V68" s="250" t="s">
        <v>213</v>
      </c>
      <c r="W68" s="251"/>
      <c r="X68" s="252"/>
      <c r="Y68" s="250" t="s">
        <v>214</v>
      </c>
      <c r="Z68" s="251"/>
      <c r="AA68" s="252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</row>
    <row r="69" spans="3:60" ht="15" customHeight="1">
      <c r="C69" s="19"/>
      <c r="D69" s="19"/>
      <c r="U69" s="54" t="s">
        <v>215</v>
      </c>
      <c r="V69" s="250" t="s">
        <v>216</v>
      </c>
      <c r="W69" s="251"/>
      <c r="X69" s="252"/>
      <c r="Y69" s="250" t="s">
        <v>217</v>
      </c>
      <c r="Z69" s="251"/>
      <c r="AA69" s="252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</row>
    <row r="70" spans="3:60" ht="15" customHeight="1"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55" t="s">
        <v>113</v>
      </c>
      <c r="V70" s="250" t="s">
        <v>218</v>
      </c>
      <c r="W70" s="251"/>
      <c r="X70" s="252"/>
      <c r="Y70" s="250" t="s">
        <v>219</v>
      </c>
      <c r="Z70" s="251"/>
      <c r="AA70" s="252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</row>
    <row r="71" spans="3:60" ht="15" customHeight="1"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64" t="s">
        <v>220</v>
      </c>
      <c r="V71" s="250" t="s">
        <v>221</v>
      </c>
      <c r="W71" s="251"/>
      <c r="X71" s="252"/>
      <c r="Y71" s="250" t="s">
        <v>222</v>
      </c>
      <c r="Z71" s="251"/>
      <c r="AA71" s="252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</row>
    <row r="72" spans="3:60" ht="15" customHeight="1"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65" t="s">
        <v>223</v>
      </c>
      <c r="V72" s="250" t="s">
        <v>224</v>
      </c>
      <c r="W72" s="251"/>
      <c r="X72" s="252"/>
      <c r="Y72" s="250" t="s">
        <v>225</v>
      </c>
      <c r="Z72" s="251"/>
      <c r="AA72" s="252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</row>
    <row r="73" spans="3:60" ht="15" customHeight="1"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66" t="s">
        <v>226</v>
      </c>
      <c r="V73" s="250" t="s">
        <v>227</v>
      </c>
      <c r="W73" s="251"/>
      <c r="X73" s="252"/>
      <c r="Y73" s="250" t="s">
        <v>228</v>
      </c>
      <c r="Z73" s="251"/>
      <c r="AA73" s="252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</row>
    <row r="74" spans="3:60" ht="15" customHeight="1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67" t="s">
        <v>84</v>
      </c>
      <c r="V74" s="250" t="s">
        <v>229</v>
      </c>
      <c r="W74" s="251"/>
      <c r="X74" s="252"/>
      <c r="Y74" s="250" t="s">
        <v>230</v>
      </c>
      <c r="Z74" s="251"/>
      <c r="AA74" s="252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</row>
    <row r="75" spans="3:60" ht="15" customHeight="1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68" t="s">
        <v>41</v>
      </c>
      <c r="V75" s="250" t="s">
        <v>231</v>
      </c>
      <c r="W75" s="251"/>
      <c r="X75" s="252"/>
      <c r="Y75" s="250" t="s">
        <v>232</v>
      </c>
      <c r="Z75" s="251"/>
      <c r="AA75" s="252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</row>
    <row r="76" spans="3:60" ht="15" customHeight="1"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69" t="s">
        <v>233</v>
      </c>
      <c r="V76" s="250" t="s">
        <v>234</v>
      </c>
      <c r="W76" s="251"/>
      <c r="X76" s="252"/>
      <c r="Y76" s="250" t="s">
        <v>235</v>
      </c>
      <c r="Z76" s="251"/>
      <c r="AA76" s="252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</row>
    <row r="77" spans="3:60" ht="15" customHeight="1"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70" t="s">
        <v>66</v>
      </c>
      <c r="V77" s="250" t="s">
        <v>236</v>
      </c>
      <c r="W77" s="251"/>
      <c r="X77" s="252"/>
      <c r="Y77" s="250" t="s">
        <v>237</v>
      </c>
      <c r="Z77" s="251"/>
      <c r="AA77" s="252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</row>
    <row r="78" spans="3:60" ht="15" customHeight="1"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52" t="s">
        <v>23</v>
      </c>
      <c r="V78" s="250" t="s">
        <v>238</v>
      </c>
      <c r="W78" s="251"/>
      <c r="X78" s="252"/>
      <c r="Y78" s="250" t="s">
        <v>239</v>
      </c>
      <c r="Z78" s="251"/>
      <c r="AA78" s="252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</row>
    <row r="79" spans="3:60" ht="15" customHeight="1"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53" t="s">
        <v>240</v>
      </c>
      <c r="V79" s="250" t="s">
        <v>241</v>
      </c>
      <c r="W79" s="251"/>
      <c r="X79" s="252"/>
      <c r="Y79" s="250" t="s">
        <v>242</v>
      </c>
      <c r="Z79" s="251"/>
      <c r="AA79" s="252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</row>
    <row r="80" spans="3:60" ht="15" customHeight="1"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71" t="s">
        <v>243</v>
      </c>
      <c r="V80" s="250" t="s">
        <v>244</v>
      </c>
      <c r="W80" s="251"/>
      <c r="X80" s="252"/>
      <c r="Y80" s="250" t="s">
        <v>245</v>
      </c>
      <c r="Z80" s="251"/>
      <c r="AA80" s="252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</row>
    <row r="81" spans="3:60" ht="15" customHeight="1"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48" t="s">
        <v>246</v>
      </c>
      <c r="V81" s="250" t="s">
        <v>247</v>
      </c>
      <c r="W81" s="251"/>
      <c r="X81" s="252"/>
      <c r="Y81" s="250" t="s">
        <v>248</v>
      </c>
      <c r="Z81" s="251"/>
      <c r="AA81" s="252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</row>
    <row r="82" spans="3:60" ht="15" customHeight="1"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</row>
    <row r="83" spans="3:60" ht="15" customHeight="1"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</row>
    <row r="84" spans="3:60" ht="15" customHeight="1"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</row>
    <row r="85" spans="3:60" ht="15" customHeight="1"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</row>
    <row r="86" spans="3:60" ht="15" customHeight="1"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</row>
    <row r="87" spans="3:60" ht="15" customHeight="1"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</row>
    <row r="88" spans="3:60" ht="15" customHeight="1"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</row>
    <row r="89" spans="3:60" ht="15" customHeight="1"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</row>
    <row r="90" spans="3:60" ht="15" customHeight="1"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</row>
    <row r="91" spans="3:60" ht="15" customHeight="1"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</row>
    <row r="92" spans="3:60" ht="15" customHeight="1"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</row>
    <row r="93" spans="3:60" ht="15" customHeight="1"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</row>
    <row r="94" spans="3:60" ht="15" customHeight="1"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</row>
    <row r="95" spans="3:60" ht="15" customHeight="1"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</row>
    <row r="96" spans="3:60" ht="15" customHeight="1"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</row>
    <row r="97" spans="3:60" ht="15" customHeight="1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</row>
    <row r="98" spans="3:60" ht="15" customHeight="1"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</row>
    <row r="99" spans="3:60" ht="15" customHeight="1"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</row>
    <row r="100" spans="3:60" ht="15" customHeight="1"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</row>
    <row r="101" spans="3:60" ht="15" customHeight="1"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</row>
    <row r="102" spans="3:60" ht="15" customHeight="1"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</row>
    <row r="103" spans="3:60" ht="15" customHeight="1"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</row>
    <row r="104" spans="3:60" ht="15" customHeight="1"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</row>
    <row r="105" spans="3:60" ht="15" customHeight="1"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</row>
    <row r="106" spans="3:60" ht="15" customHeight="1"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</row>
    <row r="107" spans="3:60" ht="15" customHeight="1"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</row>
    <row r="108" spans="3:60" ht="15" customHeight="1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</row>
    <row r="109" spans="3:60" ht="15" customHeight="1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</row>
    <row r="110" spans="3:60" ht="15" customHeight="1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</row>
    <row r="111" spans="3:60" ht="15" customHeight="1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</row>
    <row r="112" spans="3:60" ht="15" customHeight="1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</row>
    <row r="113" spans="3:60" ht="15" customHeight="1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</row>
    <row r="114" spans="3:60" ht="15" customHeight="1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</row>
    <row r="115" spans="3:60" ht="15" customHeight="1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</row>
    <row r="116" spans="3:60" ht="15" customHeight="1"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</row>
    <row r="117" spans="3:60" ht="15" customHeight="1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</row>
    <row r="118" spans="3:60" ht="15" customHeight="1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</row>
    <row r="119" spans="3:60" ht="15" customHeight="1"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</row>
    <row r="120" spans="3:60" ht="15" customHeight="1"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</row>
    <row r="121" spans="3:60" ht="15" customHeight="1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</row>
    <row r="122" spans="3:60" ht="15" customHeight="1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</row>
    <row r="123" spans="3:60" ht="15" customHeight="1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</row>
    <row r="124" spans="3:60" ht="15" customHeight="1"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</row>
    <row r="125" spans="3:60" ht="15" customHeight="1"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</row>
    <row r="126" spans="3:60" ht="15" customHeight="1"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</row>
    <row r="127" spans="3:60" ht="15" customHeight="1"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</row>
    <row r="128" spans="3:60" ht="15" customHeight="1"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</row>
    <row r="129" spans="3:60" ht="15" customHeight="1"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</row>
    <row r="130" spans="3:60" ht="15" customHeight="1"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</row>
    <row r="131" spans="3:60" ht="15" customHeight="1"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</row>
    <row r="132" spans="3:60" ht="15" customHeight="1"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</row>
    <row r="133" spans="3:60" ht="15" customHeight="1"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</row>
    <row r="134" spans="3:60" ht="15" customHeight="1"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</row>
    <row r="135" spans="3:60" ht="15" customHeight="1"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</row>
    <row r="136" spans="3:60" ht="15" customHeight="1"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</row>
    <row r="137" spans="3:60" ht="15" customHeight="1"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</row>
    <row r="138" spans="3:60" ht="15" customHeight="1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</row>
    <row r="139" spans="3:60" ht="15" customHeight="1"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</row>
    <row r="140" spans="3:60" ht="15" customHeight="1"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</row>
    <row r="141" spans="3:60" ht="15" customHeight="1"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</row>
    <row r="142" spans="3:60" ht="15" customHeight="1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</row>
    <row r="143" spans="3:60" ht="15" customHeight="1"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</row>
    <row r="144" spans="3:60" ht="15" customHeight="1"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</row>
    <row r="145" spans="3:60" ht="15" customHeight="1"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</row>
    <row r="146" spans="3:60" ht="15" customHeight="1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</row>
    <row r="147" spans="3:60" ht="15" customHeight="1"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</row>
    <row r="148" spans="3:60" ht="15" customHeight="1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</row>
    <row r="149" spans="3:60" ht="15" customHeight="1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</row>
    <row r="150" spans="3:60" ht="15" customHeight="1"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</row>
    <row r="151" spans="3:60" ht="15" customHeight="1"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</row>
    <row r="152" spans="3:60" ht="15" customHeight="1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</row>
    <row r="153" spans="3:60" ht="15" customHeight="1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</row>
    <row r="154" spans="3:60" ht="15" customHeight="1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</row>
    <row r="155" spans="3:60" ht="15" customHeight="1"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</row>
    <row r="156" spans="3:60" ht="15" customHeight="1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</row>
    <row r="157" spans="3:60" ht="15" customHeight="1"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</row>
    <row r="158" spans="3:60" ht="15" customHeight="1"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</row>
    <row r="159" spans="3:60" ht="15" customHeight="1"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</row>
    <row r="160" spans="3:60" ht="15" customHeight="1"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</row>
    <row r="161" spans="3:60" ht="15" customHeight="1"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</row>
    <row r="162" spans="3:60" ht="15" customHeight="1"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</row>
    <row r="163" spans="3:60" ht="15" customHeight="1"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</row>
    <row r="164" spans="3:60" ht="15" customHeight="1"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</row>
    <row r="165" spans="3:60" ht="15" customHeight="1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</row>
    <row r="166" spans="3:60" ht="15" customHeight="1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</row>
    <row r="167" spans="3:60" ht="15" customHeight="1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</row>
    <row r="168" spans="3:60" ht="15" customHeight="1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</row>
    <row r="169" spans="3:60" ht="15" customHeight="1"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</row>
    <row r="170" spans="3:60" ht="15" customHeight="1"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</row>
    <row r="171" spans="3:60" ht="15" customHeight="1"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</row>
    <row r="172" spans="3:60" ht="15" customHeight="1"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</row>
    <row r="173" spans="3:60" ht="15" customHeight="1"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</row>
    <row r="174" spans="3:60" ht="15" customHeight="1"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</row>
    <row r="175" spans="3:60" ht="15" customHeight="1"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</row>
    <row r="176" spans="3:60" ht="15" customHeight="1"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</row>
    <row r="177" spans="3:60" ht="15" customHeight="1"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</row>
    <row r="178" spans="3:60" ht="15" customHeight="1"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</row>
    <row r="179" spans="3:60" ht="15" customHeight="1"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</row>
    <row r="180" spans="3:60" ht="15" customHeight="1"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</row>
    <row r="181" spans="3:60" ht="15" customHeight="1"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</row>
    <row r="182" spans="3:60" ht="15" customHeight="1"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</row>
    <row r="183" spans="3:60" ht="15" customHeight="1"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</row>
    <row r="184" spans="3:60" ht="15" customHeight="1"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</row>
    <row r="185" spans="3:60" ht="15" customHeight="1"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</row>
    <row r="186" spans="3:60" ht="15" customHeight="1"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</row>
    <row r="187" spans="3:60" ht="15" customHeight="1"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</row>
    <row r="188" spans="3:60" ht="15" customHeight="1"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</row>
    <row r="189" spans="3:60" ht="15" customHeight="1"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</row>
    <row r="190" spans="3:60" ht="15" customHeight="1"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</row>
    <row r="191" spans="3:60" ht="15" customHeight="1"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</row>
    <row r="192" spans="3:60" ht="15" customHeight="1"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</row>
    <row r="193" spans="3:60" ht="15" customHeight="1"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</row>
    <row r="194" spans="3:60" ht="15" customHeight="1"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</row>
    <row r="195" spans="3:60" ht="15" customHeight="1"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</row>
    <row r="196" spans="3:60" ht="15" customHeight="1"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</row>
    <row r="197" spans="3:60" ht="15" customHeight="1"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</row>
    <row r="198" spans="3:60" ht="15" customHeight="1"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</row>
    <row r="199" spans="3:60" ht="15" customHeight="1"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</row>
    <row r="200" spans="3:60" ht="15" customHeight="1"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</row>
    <row r="201" spans="3:60" ht="15" customHeight="1"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</row>
    <row r="202" spans="3:60" ht="15" customHeight="1"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</row>
    <row r="203" spans="3:60" ht="15" customHeight="1"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</row>
    <row r="204" spans="3:60" ht="15" customHeight="1"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</row>
    <row r="205" spans="3:60" ht="15" customHeight="1"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</row>
    <row r="206" spans="3:60" ht="15" customHeight="1"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</row>
    <row r="207" spans="3:60" ht="15" customHeight="1"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</row>
    <row r="208" spans="3:60" ht="15" customHeight="1"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</row>
    <row r="209" spans="3:60" ht="15" customHeight="1"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</row>
    <row r="210" spans="3:60" ht="15" customHeight="1"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</row>
    <row r="211" spans="3:60" ht="15" customHeight="1"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</row>
    <row r="212" spans="3:60" ht="15" customHeight="1"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</row>
    <row r="213" spans="3:60" ht="15" customHeight="1"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</row>
    <row r="214" spans="3:60" ht="15" customHeight="1"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</row>
    <row r="215" spans="3:60" ht="15" customHeight="1"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</row>
    <row r="216" spans="3:60" ht="15" customHeight="1"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</row>
    <row r="217" spans="3:60" ht="15" customHeight="1"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</row>
    <row r="218" spans="3:60" ht="15" customHeight="1"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</row>
    <row r="219" spans="3:60" ht="15" customHeight="1"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</row>
    <row r="220" spans="3:60" ht="15" customHeight="1"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</row>
    <row r="221" spans="3:60" ht="15" customHeight="1"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</row>
    <row r="222" spans="3:60" ht="15" customHeight="1"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</row>
    <row r="223" spans="3:60" ht="15" customHeight="1"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</row>
    <row r="224" spans="3:60" ht="15" customHeight="1"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</row>
    <row r="225" spans="3:60" ht="15" customHeight="1"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</row>
    <row r="226" spans="3:60" ht="15" customHeight="1"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</row>
    <row r="227" spans="3:60" ht="15" customHeight="1"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</row>
    <row r="228" spans="3:60" ht="15" customHeight="1"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</row>
    <row r="229" spans="3:60" ht="15" customHeight="1"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</row>
    <row r="230" spans="3:60" ht="15" customHeight="1"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</row>
    <row r="231" spans="3:60" ht="15" customHeight="1"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</row>
    <row r="232" spans="3:60" ht="15" customHeight="1"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</row>
    <row r="233" spans="3:60" ht="15" customHeight="1"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</row>
    <row r="234" spans="3:60" ht="15" customHeight="1"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</row>
    <row r="235" spans="3:60" ht="15" customHeight="1"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</row>
    <row r="236" spans="3:60" ht="15" customHeight="1"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</row>
    <row r="237" spans="3:60" ht="15" customHeight="1"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</row>
    <row r="238" spans="3:60" ht="15" customHeight="1"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</row>
    <row r="239" spans="3:60" ht="15" customHeight="1"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</row>
    <row r="240" spans="3:60" ht="15" customHeight="1"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</row>
    <row r="241" spans="3:60" ht="15" customHeight="1"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</row>
    <row r="242" spans="3:60" ht="15" customHeight="1"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</row>
    <row r="243" spans="3:60" ht="15" customHeight="1"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</row>
    <row r="244" spans="3:60" ht="15" customHeight="1"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</row>
    <row r="245" spans="3:60" ht="15" customHeight="1"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</row>
    <row r="246" spans="3:60" ht="15" customHeight="1"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</row>
    <row r="247" spans="3:60" ht="15" customHeight="1"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</row>
    <row r="248" spans="3:60" ht="15" customHeight="1"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</row>
    <row r="249" spans="3:60" ht="15" customHeight="1"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</row>
    <row r="250" spans="3:60" ht="15" customHeight="1"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</row>
    <row r="251" spans="3:60" ht="15" customHeight="1"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</row>
    <row r="252" spans="3:60" ht="15" customHeight="1"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</row>
    <row r="253" spans="3:60" ht="15" customHeight="1"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</row>
    <row r="254" spans="3:60" ht="15" customHeight="1"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</row>
    <row r="255" spans="3:60" ht="15" customHeight="1"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</row>
    <row r="256" spans="3:60" ht="15" customHeight="1"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</row>
    <row r="257" spans="3:60" ht="15" customHeight="1"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</row>
    <row r="258" spans="3:60" ht="15" customHeight="1"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</row>
    <row r="259" spans="3:60" ht="15" customHeight="1"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</row>
    <row r="260" spans="3:60" ht="15" customHeight="1"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</row>
    <row r="261" spans="3:60" ht="15" customHeight="1"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</row>
    <row r="262" spans="3:60" ht="15" customHeight="1"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</row>
    <row r="263" spans="3:60" ht="15" customHeight="1"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</row>
    <row r="264" spans="3:60" ht="15" customHeight="1"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</row>
    <row r="265" spans="3:60" ht="15" customHeight="1"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</row>
    <row r="266" spans="3:60" ht="15" customHeight="1"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</row>
    <row r="267" spans="3:60" ht="15" customHeight="1"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</row>
    <row r="268" spans="3:60" ht="15" customHeight="1"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</row>
    <row r="269" spans="3:60" ht="15" customHeight="1"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</row>
    <row r="270" spans="3:60" ht="15" customHeight="1"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</row>
    <row r="271" spans="3:60" ht="15" customHeight="1"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</row>
    <row r="272" spans="3:60" ht="15" customHeight="1"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</row>
    <row r="273" spans="3:60" ht="15" customHeight="1"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</row>
    <row r="274" spans="3:60" ht="15" customHeight="1"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</row>
    <row r="275" spans="3:60" ht="15" customHeight="1"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</row>
    <row r="276" spans="3:60" ht="15" customHeight="1"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</row>
    <row r="277" spans="3:60" ht="15" customHeight="1"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</row>
    <row r="278" spans="3:60" ht="15" customHeight="1"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</row>
    <row r="279" spans="3:60" ht="15" customHeight="1"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</row>
    <row r="280" spans="3:60" ht="15" customHeight="1"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</row>
    <row r="281" spans="3:60" ht="15" customHeight="1"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</row>
    <row r="282" spans="3:60" ht="15" customHeight="1"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</row>
    <row r="283" spans="3:60" ht="15" customHeight="1"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</row>
    <row r="284" spans="3:60" ht="15" customHeight="1"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</row>
    <row r="285" spans="3:60" ht="15" customHeight="1"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</row>
    <row r="286" spans="3:60" ht="15" customHeight="1"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</row>
    <row r="287" spans="3:60" ht="15" customHeight="1"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</row>
    <row r="288" spans="3:60" ht="15" customHeight="1"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</row>
    <row r="289" spans="3:60" ht="15" customHeight="1"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</row>
    <row r="290" spans="3:60" ht="15" customHeight="1"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</row>
    <row r="291" spans="3:60" ht="15" customHeight="1"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</row>
    <row r="292" spans="3:60" ht="15" customHeight="1"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</row>
    <row r="293" spans="3:60" ht="15" customHeight="1"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</row>
    <row r="294" spans="3:60" ht="15" customHeight="1"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</row>
    <row r="295" spans="3:60" ht="15" customHeight="1"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</row>
    <row r="296" spans="3:60" ht="15" customHeight="1"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</row>
    <row r="297" spans="3:60" ht="15" customHeight="1"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</row>
    <row r="298" spans="3:60" ht="15" customHeight="1"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</row>
    <row r="299" spans="3:60" ht="15" customHeight="1"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</row>
    <row r="300" spans="3:60" ht="15" customHeight="1"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</row>
    <row r="301" spans="3:60" ht="15" customHeight="1"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</row>
    <row r="302" spans="3:60" ht="15" customHeight="1"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</row>
    <row r="303" spans="3:60" ht="15" customHeight="1"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</row>
    <row r="304" spans="3:60" ht="15" customHeight="1"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</row>
    <row r="305" spans="3:60" ht="15" customHeight="1"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</row>
    <row r="306" spans="3:60" ht="15" customHeight="1"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</row>
    <row r="307" spans="3:60" ht="15" customHeight="1"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</row>
    <row r="308" spans="3:60" ht="15" customHeight="1"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</row>
    <row r="309" spans="3:60" ht="15" customHeight="1"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</row>
    <row r="310" spans="3:60" ht="15" customHeight="1"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</row>
    <row r="311" spans="3:60" ht="15" customHeight="1"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</row>
    <row r="312" spans="3:60" ht="15" customHeight="1"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</row>
    <row r="313" spans="3:60" ht="15" customHeight="1"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</row>
    <row r="314" spans="3:60" ht="15" customHeight="1"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</row>
    <row r="315" spans="3:60" ht="15" customHeight="1"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</row>
    <row r="316" spans="3:60" ht="15" customHeight="1"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</row>
    <row r="317" spans="3:60" ht="15" customHeight="1"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</row>
    <row r="318" spans="3:60" ht="15" customHeight="1"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</row>
    <row r="319" spans="3:60" ht="15" customHeight="1"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</row>
    <row r="320" spans="3:60" ht="15" customHeight="1"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</row>
    <row r="321" spans="3:60" ht="15" customHeight="1"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</row>
    <row r="322" spans="3:60" ht="15" customHeight="1"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</row>
    <row r="323" spans="3:60" ht="15" customHeight="1"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</row>
    <row r="324" spans="3:60" ht="15" customHeight="1"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</row>
    <row r="325" spans="3:60" ht="15" customHeight="1"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</row>
    <row r="326" spans="3:60" ht="15" customHeight="1"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</row>
    <row r="327" spans="3:60" ht="15" customHeight="1"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</row>
    <row r="328" spans="3:60" ht="15" customHeight="1"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</row>
  </sheetData>
  <mergeCells count="108">
    <mergeCell ref="V80:X80"/>
    <mergeCell ref="Y80:AA80"/>
    <mergeCell ref="V76:X76"/>
    <mergeCell ref="Y76:AA76"/>
    <mergeCell ref="V77:X77"/>
    <mergeCell ref="Y77:AA77"/>
    <mergeCell ref="V78:X78"/>
    <mergeCell ref="Y78:AA78"/>
    <mergeCell ref="F61:I61"/>
    <mergeCell ref="L61:O61"/>
    <mergeCell ref="F62:I62"/>
    <mergeCell ref="L62:O62"/>
    <mergeCell ref="F63:I63"/>
    <mergeCell ref="L63:O63"/>
    <mergeCell ref="F67:I67"/>
    <mergeCell ref="L67:O67"/>
    <mergeCell ref="Y62:AA62"/>
    <mergeCell ref="V62:X62"/>
    <mergeCell ref="V66:X66"/>
    <mergeCell ref="Y61:AA61"/>
    <mergeCell ref="V61:X61"/>
    <mergeCell ref="V63:X63"/>
    <mergeCell ref="Y63:AA63"/>
    <mergeCell ref="V64:X64"/>
    <mergeCell ref="R59:S59"/>
    <mergeCell ref="V57:X57"/>
    <mergeCell ref="Y57:AA57"/>
    <mergeCell ref="V58:X58"/>
    <mergeCell ref="Y58:AA58"/>
    <mergeCell ref="V59:X59"/>
    <mergeCell ref="Y59:AA59"/>
    <mergeCell ref="V79:X79"/>
    <mergeCell ref="Y79:AA79"/>
    <mergeCell ref="Y64:AA64"/>
    <mergeCell ref="V65:X65"/>
    <mergeCell ref="Y65:AA65"/>
    <mergeCell ref="Y74:AA74"/>
    <mergeCell ref="V75:X75"/>
    <mergeCell ref="Y75:AA75"/>
    <mergeCell ref="V70:X70"/>
    <mergeCell ref="Y70:AA70"/>
    <mergeCell ref="V71:X71"/>
    <mergeCell ref="Y71:AA71"/>
    <mergeCell ref="Y66:AA66"/>
    <mergeCell ref="V67:X67"/>
    <mergeCell ref="Y67:AA67"/>
    <mergeCell ref="V72:X72"/>
    <mergeCell ref="Y72:AA72"/>
    <mergeCell ref="V56:X56"/>
    <mergeCell ref="Y56:AA56"/>
    <mergeCell ref="V60:X60"/>
    <mergeCell ref="AJ2:AL3"/>
    <mergeCell ref="B2:B4"/>
    <mergeCell ref="C2:D2"/>
    <mergeCell ref="E2:AH2"/>
    <mergeCell ref="C3:D4"/>
    <mergeCell ref="Y60:AA60"/>
    <mergeCell ref="F54:I54"/>
    <mergeCell ref="L54:O54"/>
    <mergeCell ref="Q54:S54"/>
    <mergeCell ref="V54:X54"/>
    <mergeCell ref="Y54:AA54"/>
    <mergeCell ref="V55:X55"/>
    <mergeCell ref="B49:B50"/>
    <mergeCell ref="B25:B35"/>
    <mergeCell ref="C49:D49"/>
    <mergeCell ref="C50:D50"/>
    <mergeCell ref="C51:D51"/>
    <mergeCell ref="F59:I59"/>
    <mergeCell ref="L59:O59"/>
    <mergeCell ref="F60:I60"/>
    <mergeCell ref="L60:O60"/>
    <mergeCell ref="F57:I57"/>
    <mergeCell ref="L57:O57"/>
    <mergeCell ref="F58:I58"/>
    <mergeCell ref="L58:O58"/>
    <mergeCell ref="F55:I55"/>
    <mergeCell ref="L55:O55"/>
    <mergeCell ref="F56:I56"/>
    <mergeCell ref="L56:O56"/>
    <mergeCell ref="R55:S55"/>
    <mergeCell ref="R56:S56"/>
    <mergeCell ref="R57:S57"/>
    <mergeCell ref="R58:S58"/>
    <mergeCell ref="B5:B12"/>
    <mergeCell ref="B13:B24"/>
    <mergeCell ref="B36:B39"/>
    <mergeCell ref="B40:B47"/>
    <mergeCell ref="AN2:AP3"/>
    <mergeCell ref="AR2:AR4"/>
    <mergeCell ref="V81:X81"/>
    <mergeCell ref="Y81:AA81"/>
    <mergeCell ref="F68:I68"/>
    <mergeCell ref="L68:O68"/>
    <mergeCell ref="F64:I64"/>
    <mergeCell ref="L64:O64"/>
    <mergeCell ref="F65:I65"/>
    <mergeCell ref="L65:O65"/>
    <mergeCell ref="F66:I66"/>
    <mergeCell ref="L66:O66"/>
    <mergeCell ref="V69:X69"/>
    <mergeCell ref="Y69:AA69"/>
    <mergeCell ref="V68:X68"/>
    <mergeCell ref="Y68:AA68"/>
    <mergeCell ref="V73:X73"/>
    <mergeCell ref="Y73:AA73"/>
    <mergeCell ref="V74:X74"/>
    <mergeCell ref="Y55:AA55"/>
  </mergeCells>
  <conditionalFormatting sqref="AL5:AL47">
    <cfRule type="cellIs" dxfId="11" priority="2" operator="greaterThan">
      <formula>1</formula>
    </cfRule>
    <cfRule type="cellIs" dxfId="10" priority="3" operator="equal">
      <formula>1</formula>
    </cfRule>
    <cfRule type="cellIs" dxfId="9" priority="4" operator="greaterThan">
      <formula>0</formula>
    </cfRule>
  </conditionalFormatting>
  <conditionalFormatting sqref="AP5:AP47">
    <cfRule type="cellIs" dxfId="8" priority="1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" operator="equal" id="{85E66458-97A8-491F-9C46-9FDFAC53148E}">
            <xm:f>Sheet1!$B$3</xm:f>
            <x14:dxf>
              <fill>
                <patternFill>
                  <bgColor theme="6" tint="0.79998168889431442"/>
                </patternFill>
              </fill>
            </x14:dxf>
          </x14:cfRule>
          <x14:cfRule type="cellIs" priority="7" operator="equal" id="{9BF45869-53D5-447E-929C-1516076AA79E}">
            <xm:f>Sheet1!$B$2</xm:f>
            <x14:dxf>
              <fill>
                <patternFill>
                  <bgColor rgb="FFFFFF99"/>
                </patternFill>
              </fill>
            </x14:dxf>
          </x14:cfRule>
          <xm:sqref>B2:B4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585976-A098-4394-B1E6-FAC3A5C33267}">
          <x14:formula1>
            <xm:f>Sheet1!$B$2:$B$3</xm:f>
          </x14:formula1>
          <xm:sqref>B2:B4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F8DB6-7403-4132-996E-E7C54565B3BA}">
  <dimension ref="B2:BH328"/>
  <sheetViews>
    <sheetView showGridLines="0" workbookViewId="0">
      <pane xSplit="4" ySplit="4" topLeftCell="E15" activePane="bottomRight" state="frozen"/>
      <selection pane="bottomRight" activeCell="H39" sqref="H39"/>
      <selection pane="bottomLeft"/>
      <selection pane="topRight"/>
    </sheetView>
  </sheetViews>
  <sheetFormatPr defaultRowHeight="15"/>
  <cols>
    <col min="1" max="2" width="9.140625" style="18"/>
    <col min="3" max="3" width="20.7109375" style="18" customWidth="1"/>
    <col min="4" max="4" width="30.28515625" style="18" bestFit="1" customWidth="1"/>
    <col min="5" max="35" width="6" style="18" customWidth="1"/>
    <col min="36" max="40" width="9.140625" style="18"/>
    <col min="41" max="41" width="10.7109375" style="18" customWidth="1"/>
    <col min="42" max="44" width="9.140625" style="18"/>
    <col min="45" max="45" width="10.5703125" style="18" customWidth="1"/>
    <col min="46" max="16384" width="9.140625" style="18"/>
  </cols>
  <sheetData>
    <row r="2" spans="2:60" ht="15.75" customHeight="1">
      <c r="B2" s="270" t="s">
        <v>0</v>
      </c>
      <c r="C2" s="267" t="s">
        <v>2</v>
      </c>
      <c r="D2" s="267"/>
      <c r="E2" s="253" t="s">
        <v>3</v>
      </c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5"/>
      <c r="AK2" s="241" t="s">
        <v>4</v>
      </c>
      <c r="AL2" s="242"/>
      <c r="AM2" s="243"/>
      <c r="AO2" s="241" t="s">
        <v>5</v>
      </c>
      <c r="AP2" s="242"/>
      <c r="AQ2" s="243"/>
      <c r="AS2" s="247" t="s">
        <v>6</v>
      </c>
    </row>
    <row r="3" spans="2:60" ht="15.75" customHeight="1">
      <c r="B3" s="271"/>
      <c r="C3" s="268" t="s">
        <v>262</v>
      </c>
      <c r="D3" s="268"/>
      <c r="E3" s="13" t="s">
        <v>13</v>
      </c>
      <c r="F3" s="1" t="s">
        <v>14</v>
      </c>
      <c r="G3" s="1" t="s">
        <v>8</v>
      </c>
      <c r="H3" s="12" t="s">
        <v>9</v>
      </c>
      <c r="I3" s="2" t="s">
        <v>10</v>
      </c>
      <c r="J3" s="2" t="s">
        <v>11</v>
      </c>
      <c r="K3" s="1" t="s">
        <v>12</v>
      </c>
      <c r="L3" s="13" t="s">
        <v>13</v>
      </c>
      <c r="M3" s="1" t="s">
        <v>14</v>
      </c>
      <c r="N3" s="1" t="s">
        <v>8</v>
      </c>
      <c r="O3" s="12" t="s">
        <v>9</v>
      </c>
      <c r="P3" s="2" t="s">
        <v>10</v>
      </c>
      <c r="Q3" s="2" t="s">
        <v>11</v>
      </c>
      <c r="R3" s="1" t="s">
        <v>12</v>
      </c>
      <c r="S3" s="1" t="s">
        <v>13</v>
      </c>
      <c r="T3" s="1" t="s">
        <v>14</v>
      </c>
      <c r="U3" s="1" t="s">
        <v>8</v>
      </c>
      <c r="V3" s="12" t="s">
        <v>9</v>
      </c>
      <c r="W3" s="2" t="s">
        <v>10</v>
      </c>
      <c r="X3" s="2" t="s">
        <v>11</v>
      </c>
      <c r="Y3" s="1" t="s">
        <v>12</v>
      </c>
      <c r="Z3" s="1" t="s">
        <v>13</v>
      </c>
      <c r="AA3" s="1" t="s">
        <v>14</v>
      </c>
      <c r="AB3" s="1" t="s">
        <v>8</v>
      </c>
      <c r="AC3" s="13" t="s">
        <v>9</v>
      </c>
      <c r="AD3" s="2" t="s">
        <v>10</v>
      </c>
      <c r="AE3" s="2" t="s">
        <v>11</v>
      </c>
      <c r="AF3" s="1" t="s">
        <v>12</v>
      </c>
      <c r="AG3" s="1" t="s">
        <v>13</v>
      </c>
      <c r="AH3" s="1" t="s">
        <v>14</v>
      </c>
      <c r="AI3" s="6" t="s">
        <v>8</v>
      </c>
      <c r="AK3" s="244"/>
      <c r="AL3" s="245"/>
      <c r="AM3" s="246"/>
      <c r="AO3" s="244"/>
      <c r="AP3" s="245"/>
      <c r="AQ3" s="246"/>
      <c r="AS3" s="248"/>
    </row>
    <row r="4" spans="2:60" ht="15.75">
      <c r="B4" s="272"/>
      <c r="C4" s="269"/>
      <c r="D4" s="269"/>
      <c r="E4" s="123">
        <v>1</v>
      </c>
      <c r="F4" s="99">
        <v>2</v>
      </c>
      <c r="G4" s="99">
        <v>3</v>
      </c>
      <c r="H4" s="99">
        <v>4</v>
      </c>
      <c r="I4" s="211">
        <v>5</v>
      </c>
      <c r="J4" s="211">
        <v>6</v>
      </c>
      <c r="K4" s="99">
        <v>7</v>
      </c>
      <c r="L4" s="123">
        <v>8</v>
      </c>
      <c r="M4" s="99">
        <v>9</v>
      </c>
      <c r="N4" s="99">
        <v>10</v>
      </c>
      <c r="O4" s="99">
        <v>11</v>
      </c>
      <c r="P4" s="211">
        <v>12</v>
      </c>
      <c r="Q4" s="211">
        <v>13</v>
      </c>
      <c r="R4" s="99">
        <v>14</v>
      </c>
      <c r="S4" s="99">
        <v>15</v>
      </c>
      <c r="T4" s="99">
        <v>16</v>
      </c>
      <c r="U4" s="99">
        <v>17</v>
      </c>
      <c r="V4" s="99">
        <v>18</v>
      </c>
      <c r="W4" s="211">
        <v>19</v>
      </c>
      <c r="X4" s="211">
        <v>20</v>
      </c>
      <c r="Y4" s="99">
        <v>21</v>
      </c>
      <c r="Z4" s="99">
        <v>22</v>
      </c>
      <c r="AA4" s="99">
        <v>23</v>
      </c>
      <c r="AB4" s="99">
        <v>24</v>
      </c>
      <c r="AC4" s="123">
        <v>25</v>
      </c>
      <c r="AD4" s="211">
        <v>26</v>
      </c>
      <c r="AE4" s="211">
        <v>27</v>
      </c>
      <c r="AF4" s="99">
        <v>28</v>
      </c>
      <c r="AG4" s="99">
        <v>29</v>
      </c>
      <c r="AH4" s="99">
        <v>30</v>
      </c>
      <c r="AI4" s="187">
        <v>31</v>
      </c>
      <c r="AK4" s="23">
        <v>2025</v>
      </c>
      <c r="AL4" s="24" t="s">
        <v>15</v>
      </c>
      <c r="AM4" s="23" t="s">
        <v>16</v>
      </c>
      <c r="AN4" s="25"/>
      <c r="AO4" s="23">
        <v>2026</v>
      </c>
      <c r="AP4" s="24" t="s">
        <v>15</v>
      </c>
      <c r="AQ4" s="23" t="s">
        <v>16</v>
      </c>
      <c r="AS4" s="249"/>
    </row>
    <row r="5" spans="2:60" ht="15" customHeight="1">
      <c r="B5" s="287" t="s">
        <v>17</v>
      </c>
      <c r="C5" s="186" t="s">
        <v>18</v>
      </c>
      <c r="D5" s="88" t="s">
        <v>19</v>
      </c>
      <c r="E5" s="104" t="s">
        <v>21</v>
      </c>
      <c r="F5" s="104" t="s">
        <v>21</v>
      </c>
      <c r="G5" s="104" t="s">
        <v>21</v>
      </c>
      <c r="H5" s="103" t="s">
        <v>22</v>
      </c>
      <c r="I5" s="103" t="s">
        <v>22</v>
      </c>
      <c r="J5" s="102" t="s">
        <v>23</v>
      </c>
      <c r="K5" s="102" t="s">
        <v>23</v>
      </c>
      <c r="L5" s="102" t="s">
        <v>23</v>
      </c>
      <c r="M5" s="102" t="s">
        <v>23</v>
      </c>
      <c r="N5" s="103" t="s">
        <v>22</v>
      </c>
      <c r="O5" s="103" t="s">
        <v>22</v>
      </c>
      <c r="P5" s="104" t="s">
        <v>21</v>
      </c>
      <c r="Q5" s="104" t="s">
        <v>21</v>
      </c>
      <c r="R5" s="104" t="s">
        <v>21</v>
      </c>
      <c r="S5" s="104" t="s">
        <v>21</v>
      </c>
      <c r="T5" s="103" t="s">
        <v>22</v>
      </c>
      <c r="U5" s="103" t="s">
        <v>22</v>
      </c>
      <c r="V5" s="102" t="s">
        <v>23</v>
      </c>
      <c r="W5" s="102" t="s">
        <v>23</v>
      </c>
      <c r="X5" s="102" t="s">
        <v>23</v>
      </c>
      <c r="Y5" s="102" t="s">
        <v>23</v>
      </c>
      <c r="Z5" s="103" t="s">
        <v>22</v>
      </c>
      <c r="AA5" s="103" t="s">
        <v>22</v>
      </c>
      <c r="AB5" s="104" t="s">
        <v>21</v>
      </c>
      <c r="AC5" s="104" t="s">
        <v>21</v>
      </c>
      <c r="AD5" s="104" t="s">
        <v>21</v>
      </c>
      <c r="AE5" s="104" t="s">
        <v>21</v>
      </c>
      <c r="AF5" s="103" t="s">
        <v>22</v>
      </c>
      <c r="AG5" s="103" t="s">
        <v>22</v>
      </c>
      <c r="AH5" s="102" t="s">
        <v>23</v>
      </c>
      <c r="AI5" s="105" t="s">
        <v>23</v>
      </c>
      <c r="AJ5" s="19"/>
      <c r="AK5" s="20"/>
      <c r="AL5" s="21">
        <f t="shared" ref="AL5:AL47" si="0">COUNTIF(E5:AI5, "UA")</f>
        <v>0</v>
      </c>
      <c r="AM5" s="20">
        <f t="shared" ref="AM5:AM47" si="1">AK5-AL5</f>
        <v>0</v>
      </c>
      <c r="AN5" s="19"/>
      <c r="AO5" s="20"/>
      <c r="AP5" s="21">
        <f t="shared" ref="AP5:AP47" si="2">COUNTIF(E5:AI5, "U")</f>
        <v>0</v>
      </c>
      <c r="AQ5" s="20">
        <f t="shared" ref="AQ5:AQ47" si="3">AO5-AP5</f>
        <v>0</v>
      </c>
      <c r="AR5" s="19"/>
      <c r="AS5" s="21">
        <f t="shared" ref="AS5:AS47" si="4">COUNTIF(E5:AI5,"P*")+COUNTIF(E5:AI5,"H*")+COUNTIF(E5:AI5,"T*")-COUNTIF(E5:AI5,"H")-COUNTIF(E5:AI5,"P")</f>
        <v>21</v>
      </c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</row>
    <row r="6" spans="2:60">
      <c r="B6" s="288"/>
      <c r="C6" s="130" t="s">
        <v>24</v>
      </c>
      <c r="D6" s="20" t="s">
        <v>25</v>
      </c>
      <c r="E6" s="28" t="s">
        <v>22</v>
      </c>
      <c r="F6" s="74" t="s">
        <v>23</v>
      </c>
      <c r="G6" s="74" t="s">
        <v>23</v>
      </c>
      <c r="H6" s="74" t="s">
        <v>23</v>
      </c>
      <c r="I6" s="74" t="s">
        <v>23</v>
      </c>
      <c r="J6" s="28" t="s">
        <v>22</v>
      </c>
      <c r="K6" s="28" t="s">
        <v>22</v>
      </c>
      <c r="L6" s="60" t="s">
        <v>21</v>
      </c>
      <c r="M6" s="60" t="s">
        <v>21</v>
      </c>
      <c r="N6" s="60" t="s">
        <v>21</v>
      </c>
      <c r="O6" s="60" t="s">
        <v>21</v>
      </c>
      <c r="P6" s="28" t="s">
        <v>22</v>
      </c>
      <c r="Q6" s="28" t="s">
        <v>22</v>
      </c>
      <c r="R6" s="74" t="s">
        <v>23</v>
      </c>
      <c r="S6" s="74" t="s">
        <v>23</v>
      </c>
      <c r="T6" s="74" t="s">
        <v>23</v>
      </c>
      <c r="U6" s="74" t="s">
        <v>23</v>
      </c>
      <c r="V6" s="28" t="s">
        <v>22</v>
      </c>
      <c r="W6" s="28" t="s">
        <v>22</v>
      </c>
      <c r="X6" s="60" t="s">
        <v>21</v>
      </c>
      <c r="Y6" s="60" t="s">
        <v>21</v>
      </c>
      <c r="Z6" s="60" t="s">
        <v>21</v>
      </c>
      <c r="AA6" s="60" t="s">
        <v>21</v>
      </c>
      <c r="AB6" s="28" t="s">
        <v>22</v>
      </c>
      <c r="AC6" s="28" t="s">
        <v>22</v>
      </c>
      <c r="AD6" s="74" t="s">
        <v>23</v>
      </c>
      <c r="AE6" s="74" t="s">
        <v>23</v>
      </c>
      <c r="AF6" s="74" t="s">
        <v>23</v>
      </c>
      <c r="AG6" s="74" t="s">
        <v>23</v>
      </c>
      <c r="AH6" s="28" t="s">
        <v>22</v>
      </c>
      <c r="AI6" s="91" t="s">
        <v>22</v>
      </c>
      <c r="AJ6" s="19"/>
      <c r="AK6" s="20"/>
      <c r="AL6" s="21">
        <f t="shared" si="0"/>
        <v>0</v>
      </c>
      <c r="AM6" s="20">
        <f t="shared" si="1"/>
        <v>0</v>
      </c>
      <c r="AN6" s="19"/>
      <c r="AO6" s="20"/>
      <c r="AP6" s="21">
        <f t="shared" si="2"/>
        <v>0</v>
      </c>
      <c r="AQ6" s="20">
        <f t="shared" si="3"/>
        <v>0</v>
      </c>
      <c r="AR6" s="19"/>
      <c r="AS6" s="21">
        <f t="shared" si="4"/>
        <v>20</v>
      </c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</row>
    <row r="7" spans="2:60" ht="15" customHeight="1">
      <c r="B7" s="288"/>
      <c r="C7" s="20" t="s">
        <v>27</v>
      </c>
      <c r="D7" s="20" t="s">
        <v>28</v>
      </c>
      <c r="E7" s="60" t="s">
        <v>21</v>
      </c>
      <c r="F7" s="60" t="s">
        <v>21</v>
      </c>
      <c r="G7" s="28" t="s">
        <v>22</v>
      </c>
      <c r="H7" s="28" t="s">
        <v>22</v>
      </c>
      <c r="I7" s="74" t="s">
        <v>23</v>
      </c>
      <c r="J7" s="74" t="s">
        <v>23</v>
      </c>
      <c r="K7" s="74" t="s">
        <v>23</v>
      </c>
      <c r="L7" s="74" t="s">
        <v>23</v>
      </c>
      <c r="M7" s="28" t="s">
        <v>22</v>
      </c>
      <c r="N7" s="28" t="s">
        <v>22</v>
      </c>
      <c r="O7" s="60" t="s">
        <v>21</v>
      </c>
      <c r="P7" s="60" t="s">
        <v>21</v>
      </c>
      <c r="Q7" s="60" t="s">
        <v>21</v>
      </c>
      <c r="R7" s="60" t="s">
        <v>21</v>
      </c>
      <c r="S7" s="28" t="s">
        <v>22</v>
      </c>
      <c r="T7" s="28" t="s">
        <v>22</v>
      </c>
      <c r="U7" s="74" t="s">
        <v>23</v>
      </c>
      <c r="V7" s="74" t="s">
        <v>23</v>
      </c>
      <c r="W7" s="74" t="s">
        <v>23</v>
      </c>
      <c r="X7" s="74" t="s">
        <v>23</v>
      </c>
      <c r="Y7" s="28" t="s">
        <v>22</v>
      </c>
      <c r="Z7" s="28" t="s">
        <v>22</v>
      </c>
      <c r="AA7" s="60" t="s">
        <v>21</v>
      </c>
      <c r="AB7" s="60" t="s">
        <v>21</v>
      </c>
      <c r="AC7" s="60" t="s">
        <v>21</v>
      </c>
      <c r="AD7" s="60" t="s">
        <v>21</v>
      </c>
      <c r="AE7" s="28" t="s">
        <v>22</v>
      </c>
      <c r="AF7" s="28" t="s">
        <v>22</v>
      </c>
      <c r="AG7" s="74" t="s">
        <v>23</v>
      </c>
      <c r="AH7" s="74" t="s">
        <v>23</v>
      </c>
      <c r="AI7" s="89" t="s">
        <v>23</v>
      </c>
      <c r="AJ7" s="19"/>
      <c r="AK7" s="20"/>
      <c r="AL7" s="21">
        <f t="shared" si="0"/>
        <v>0</v>
      </c>
      <c r="AM7" s="20">
        <f t="shared" si="1"/>
        <v>0</v>
      </c>
      <c r="AN7" s="19"/>
      <c r="AO7" s="26"/>
      <c r="AP7" s="21">
        <f t="shared" si="2"/>
        <v>0</v>
      </c>
      <c r="AQ7" s="44">
        <f t="shared" si="3"/>
        <v>0</v>
      </c>
      <c r="AR7" s="19"/>
      <c r="AS7" s="21">
        <f t="shared" si="4"/>
        <v>21</v>
      </c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</row>
    <row r="8" spans="2:60" ht="15" customHeight="1">
      <c r="B8" s="288"/>
      <c r="C8" s="22" t="s">
        <v>31</v>
      </c>
      <c r="D8" s="20" t="s">
        <v>32</v>
      </c>
      <c r="E8" s="60" t="s">
        <v>21</v>
      </c>
      <c r="F8" s="60" t="s">
        <v>21</v>
      </c>
      <c r="G8" s="60" t="s">
        <v>21</v>
      </c>
      <c r="H8" s="60" t="s">
        <v>21</v>
      </c>
      <c r="I8" s="28" t="s">
        <v>22</v>
      </c>
      <c r="J8" s="28" t="s">
        <v>22</v>
      </c>
      <c r="K8" s="74" t="s">
        <v>23</v>
      </c>
      <c r="L8" s="74" t="s">
        <v>23</v>
      </c>
      <c r="M8" s="74" t="s">
        <v>23</v>
      </c>
      <c r="N8" s="74" t="s">
        <v>23</v>
      </c>
      <c r="O8" s="28" t="s">
        <v>22</v>
      </c>
      <c r="P8" s="28" t="s">
        <v>22</v>
      </c>
      <c r="Q8" s="60" t="s">
        <v>21</v>
      </c>
      <c r="R8" s="60" t="s">
        <v>21</v>
      </c>
      <c r="S8" s="60" t="s">
        <v>21</v>
      </c>
      <c r="T8" s="60" t="s">
        <v>21</v>
      </c>
      <c r="U8" s="28" t="s">
        <v>22</v>
      </c>
      <c r="V8" s="28" t="s">
        <v>22</v>
      </c>
      <c r="W8" s="74" t="s">
        <v>23</v>
      </c>
      <c r="X8" s="74" t="s">
        <v>23</v>
      </c>
      <c r="Y8" s="74" t="s">
        <v>23</v>
      </c>
      <c r="Z8" s="74" t="s">
        <v>23</v>
      </c>
      <c r="AA8" s="28" t="s">
        <v>22</v>
      </c>
      <c r="AB8" s="28" t="s">
        <v>22</v>
      </c>
      <c r="AC8" s="60" t="s">
        <v>21</v>
      </c>
      <c r="AD8" s="60" t="s">
        <v>21</v>
      </c>
      <c r="AE8" s="60" t="s">
        <v>21</v>
      </c>
      <c r="AF8" s="60" t="s">
        <v>21</v>
      </c>
      <c r="AG8" s="28" t="s">
        <v>22</v>
      </c>
      <c r="AH8" s="28" t="s">
        <v>22</v>
      </c>
      <c r="AI8" s="89" t="s">
        <v>23</v>
      </c>
      <c r="AJ8" s="19"/>
      <c r="AK8" s="20"/>
      <c r="AL8" s="21">
        <f t="shared" si="0"/>
        <v>0</v>
      </c>
      <c r="AM8" s="20">
        <f t="shared" si="1"/>
        <v>0</v>
      </c>
      <c r="AN8" s="19"/>
      <c r="AO8" s="20"/>
      <c r="AP8" s="21">
        <f t="shared" si="2"/>
        <v>0</v>
      </c>
      <c r="AQ8" s="20">
        <f t="shared" si="3"/>
        <v>0</v>
      </c>
      <c r="AR8" s="19"/>
      <c r="AS8" s="21">
        <f t="shared" si="4"/>
        <v>21</v>
      </c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</row>
    <row r="9" spans="2:60" ht="15" customHeight="1">
      <c r="B9" s="288"/>
      <c r="C9" s="20" t="s">
        <v>34</v>
      </c>
      <c r="D9" s="20" t="s">
        <v>35</v>
      </c>
      <c r="E9" s="28" t="s">
        <v>22</v>
      </c>
      <c r="F9" s="28" t="s">
        <v>22</v>
      </c>
      <c r="G9" s="74" t="s">
        <v>23</v>
      </c>
      <c r="H9" s="74" t="s">
        <v>23</v>
      </c>
      <c r="I9" s="74" t="s">
        <v>23</v>
      </c>
      <c r="J9" s="74" t="s">
        <v>23</v>
      </c>
      <c r="K9" s="28" t="s">
        <v>22</v>
      </c>
      <c r="L9" s="28" t="s">
        <v>22</v>
      </c>
      <c r="M9" s="60" t="s">
        <v>21</v>
      </c>
      <c r="N9" s="60" t="s">
        <v>21</v>
      </c>
      <c r="O9" s="60" t="s">
        <v>21</v>
      </c>
      <c r="P9" s="60" t="s">
        <v>21</v>
      </c>
      <c r="Q9" s="28" t="s">
        <v>22</v>
      </c>
      <c r="R9" s="28" t="s">
        <v>22</v>
      </c>
      <c r="S9" s="74" t="s">
        <v>23</v>
      </c>
      <c r="T9" s="74" t="s">
        <v>23</v>
      </c>
      <c r="U9" s="74" t="s">
        <v>23</v>
      </c>
      <c r="V9" s="74" t="s">
        <v>23</v>
      </c>
      <c r="W9" s="28" t="s">
        <v>22</v>
      </c>
      <c r="X9" s="28" t="s">
        <v>22</v>
      </c>
      <c r="Y9" s="60" t="s">
        <v>21</v>
      </c>
      <c r="Z9" s="60" t="s">
        <v>21</v>
      </c>
      <c r="AA9" s="60" t="s">
        <v>21</v>
      </c>
      <c r="AB9" s="60" t="s">
        <v>21</v>
      </c>
      <c r="AC9" s="28" t="s">
        <v>22</v>
      </c>
      <c r="AD9" s="28" t="s">
        <v>22</v>
      </c>
      <c r="AE9" s="74" t="s">
        <v>23</v>
      </c>
      <c r="AF9" s="74" t="s">
        <v>23</v>
      </c>
      <c r="AG9" s="74" t="s">
        <v>23</v>
      </c>
      <c r="AH9" s="74" t="s">
        <v>23</v>
      </c>
      <c r="AI9" s="91" t="s">
        <v>22</v>
      </c>
      <c r="AJ9" s="19"/>
      <c r="AK9" s="20"/>
      <c r="AL9" s="21">
        <f t="shared" si="0"/>
        <v>0</v>
      </c>
      <c r="AM9" s="20">
        <f t="shared" si="1"/>
        <v>0</v>
      </c>
      <c r="AN9" s="19"/>
      <c r="AO9" s="20"/>
      <c r="AP9" s="21">
        <f t="shared" si="2"/>
        <v>0</v>
      </c>
      <c r="AQ9" s="20">
        <f t="shared" si="3"/>
        <v>0</v>
      </c>
      <c r="AR9" s="19"/>
      <c r="AS9" s="21">
        <f t="shared" si="4"/>
        <v>20</v>
      </c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</row>
    <row r="10" spans="2:60" ht="15" customHeight="1">
      <c r="B10" s="288"/>
      <c r="C10" s="22" t="s">
        <v>37</v>
      </c>
      <c r="D10" s="20" t="s">
        <v>38</v>
      </c>
      <c r="E10" s="74" t="s">
        <v>23</v>
      </c>
      <c r="F10" s="74" t="s">
        <v>23</v>
      </c>
      <c r="G10" s="74" t="s">
        <v>23</v>
      </c>
      <c r="H10" s="74" t="s">
        <v>23</v>
      </c>
      <c r="I10" s="28" t="s">
        <v>22</v>
      </c>
      <c r="J10" s="28" t="s">
        <v>22</v>
      </c>
      <c r="K10" s="60" t="s">
        <v>21</v>
      </c>
      <c r="L10" s="60" t="s">
        <v>21</v>
      </c>
      <c r="M10" s="60" t="s">
        <v>21</v>
      </c>
      <c r="N10" s="60" t="s">
        <v>21</v>
      </c>
      <c r="O10" s="28" t="s">
        <v>22</v>
      </c>
      <c r="P10" s="28" t="s">
        <v>22</v>
      </c>
      <c r="Q10" s="74" t="s">
        <v>23</v>
      </c>
      <c r="R10" s="74" t="s">
        <v>23</v>
      </c>
      <c r="S10" s="74" t="s">
        <v>23</v>
      </c>
      <c r="T10" s="74" t="s">
        <v>23</v>
      </c>
      <c r="U10" s="28" t="s">
        <v>22</v>
      </c>
      <c r="V10" s="28" t="s">
        <v>22</v>
      </c>
      <c r="W10" s="60" t="s">
        <v>21</v>
      </c>
      <c r="X10" s="60" t="s">
        <v>21</v>
      </c>
      <c r="Y10" s="60" t="s">
        <v>21</v>
      </c>
      <c r="Z10" s="60" t="s">
        <v>21</v>
      </c>
      <c r="AA10" s="28" t="s">
        <v>22</v>
      </c>
      <c r="AB10" s="28" t="s">
        <v>22</v>
      </c>
      <c r="AC10" s="74" t="s">
        <v>23</v>
      </c>
      <c r="AD10" s="74" t="s">
        <v>23</v>
      </c>
      <c r="AE10" s="74" t="s">
        <v>23</v>
      </c>
      <c r="AF10" s="74" t="s">
        <v>23</v>
      </c>
      <c r="AG10" s="28" t="s">
        <v>22</v>
      </c>
      <c r="AH10" s="28" t="s">
        <v>22</v>
      </c>
      <c r="AI10" s="90" t="s">
        <v>21</v>
      </c>
      <c r="AJ10" s="19"/>
      <c r="AK10" s="20"/>
      <c r="AL10" s="21">
        <f t="shared" si="0"/>
        <v>0</v>
      </c>
      <c r="AM10" s="20">
        <f t="shared" si="1"/>
        <v>0</v>
      </c>
      <c r="AN10" s="19"/>
      <c r="AO10" s="20"/>
      <c r="AP10" s="21">
        <f t="shared" si="2"/>
        <v>0</v>
      </c>
      <c r="AQ10" s="20">
        <f t="shared" si="3"/>
        <v>0</v>
      </c>
      <c r="AR10" s="19"/>
      <c r="AS10" s="21">
        <f t="shared" si="4"/>
        <v>21</v>
      </c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</row>
    <row r="11" spans="2:60" ht="15" customHeight="1">
      <c r="B11" s="288"/>
      <c r="C11" s="20" t="s">
        <v>39</v>
      </c>
      <c r="D11" s="20" t="s">
        <v>40</v>
      </c>
      <c r="E11" s="28" t="s">
        <v>22</v>
      </c>
      <c r="F11" s="28" t="s">
        <v>22</v>
      </c>
      <c r="G11" s="60" t="s">
        <v>21</v>
      </c>
      <c r="H11" s="60" t="s">
        <v>21</v>
      </c>
      <c r="I11" s="60" t="s">
        <v>21</v>
      </c>
      <c r="J11" s="60" t="s">
        <v>21</v>
      </c>
      <c r="K11" s="28" t="s">
        <v>22</v>
      </c>
      <c r="L11" s="28" t="s">
        <v>22</v>
      </c>
      <c r="M11" s="74" t="s">
        <v>23</v>
      </c>
      <c r="N11" s="74" t="s">
        <v>23</v>
      </c>
      <c r="O11" s="74" t="s">
        <v>23</v>
      </c>
      <c r="P11" s="74" t="s">
        <v>23</v>
      </c>
      <c r="Q11" s="28" t="s">
        <v>22</v>
      </c>
      <c r="R11" s="28" t="s">
        <v>22</v>
      </c>
      <c r="S11" s="60" t="s">
        <v>21</v>
      </c>
      <c r="T11" s="60" t="s">
        <v>21</v>
      </c>
      <c r="U11" s="60" t="s">
        <v>21</v>
      </c>
      <c r="V11" s="60" t="s">
        <v>21</v>
      </c>
      <c r="W11" s="28" t="s">
        <v>22</v>
      </c>
      <c r="X11" s="28" t="s">
        <v>22</v>
      </c>
      <c r="Y11" s="74" t="s">
        <v>23</v>
      </c>
      <c r="Z11" s="74" t="s">
        <v>23</v>
      </c>
      <c r="AA11" s="74" t="s">
        <v>23</v>
      </c>
      <c r="AB11" s="74" t="s">
        <v>23</v>
      </c>
      <c r="AC11" s="28" t="s">
        <v>22</v>
      </c>
      <c r="AD11" s="28" t="s">
        <v>22</v>
      </c>
      <c r="AE11" s="60" t="s">
        <v>21</v>
      </c>
      <c r="AF11" s="60" t="s">
        <v>21</v>
      </c>
      <c r="AG11" s="60" t="s">
        <v>21</v>
      </c>
      <c r="AH11" s="60" t="s">
        <v>21</v>
      </c>
      <c r="AI11" s="91" t="s">
        <v>22</v>
      </c>
      <c r="AJ11" s="19"/>
      <c r="AK11" s="20"/>
      <c r="AL11" s="21">
        <f t="shared" si="0"/>
        <v>0</v>
      </c>
      <c r="AM11" s="20">
        <f t="shared" si="1"/>
        <v>0</v>
      </c>
      <c r="AN11" s="19"/>
      <c r="AO11" s="20"/>
      <c r="AP11" s="21">
        <f t="shared" si="2"/>
        <v>0</v>
      </c>
      <c r="AQ11" s="20">
        <f t="shared" si="3"/>
        <v>0</v>
      </c>
      <c r="AR11" s="19"/>
      <c r="AS11" s="21">
        <f t="shared" si="4"/>
        <v>20</v>
      </c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</row>
    <row r="12" spans="2:60" ht="15" customHeight="1">
      <c r="B12" s="288"/>
      <c r="C12" s="108" t="s">
        <v>43</v>
      </c>
      <c r="D12" s="109" t="s">
        <v>44</v>
      </c>
      <c r="E12" s="112" t="s">
        <v>23</v>
      </c>
      <c r="F12" s="112" t="s">
        <v>23</v>
      </c>
      <c r="G12" s="110" t="s">
        <v>22</v>
      </c>
      <c r="H12" s="110" t="s">
        <v>22</v>
      </c>
      <c r="I12" s="111" t="s">
        <v>21</v>
      </c>
      <c r="J12" s="111" t="s">
        <v>21</v>
      </c>
      <c r="K12" s="111" t="s">
        <v>21</v>
      </c>
      <c r="L12" s="111" t="s">
        <v>21</v>
      </c>
      <c r="M12" s="110" t="s">
        <v>22</v>
      </c>
      <c r="N12" s="110" t="s">
        <v>22</v>
      </c>
      <c r="O12" s="112" t="s">
        <v>23</v>
      </c>
      <c r="P12" s="112" t="s">
        <v>23</v>
      </c>
      <c r="Q12" s="112" t="s">
        <v>23</v>
      </c>
      <c r="R12" s="112" t="s">
        <v>23</v>
      </c>
      <c r="S12" s="110" t="s">
        <v>22</v>
      </c>
      <c r="T12" s="110" t="s">
        <v>22</v>
      </c>
      <c r="U12" s="111" t="s">
        <v>21</v>
      </c>
      <c r="V12" s="111" t="s">
        <v>21</v>
      </c>
      <c r="W12" s="111" t="s">
        <v>21</v>
      </c>
      <c r="X12" s="111" t="s">
        <v>21</v>
      </c>
      <c r="Y12" s="110" t="s">
        <v>22</v>
      </c>
      <c r="Z12" s="110" t="s">
        <v>22</v>
      </c>
      <c r="AA12" s="112" t="s">
        <v>23</v>
      </c>
      <c r="AB12" s="112" t="s">
        <v>23</v>
      </c>
      <c r="AC12" s="112" t="s">
        <v>23</v>
      </c>
      <c r="AD12" s="112" t="s">
        <v>23</v>
      </c>
      <c r="AE12" s="110" t="s">
        <v>22</v>
      </c>
      <c r="AF12" s="110" t="s">
        <v>22</v>
      </c>
      <c r="AG12" s="111" t="s">
        <v>21</v>
      </c>
      <c r="AH12" s="111" t="s">
        <v>21</v>
      </c>
      <c r="AI12" s="127" t="s">
        <v>21</v>
      </c>
      <c r="AJ12" s="19"/>
      <c r="AK12" s="20"/>
      <c r="AL12" s="21">
        <f t="shared" si="0"/>
        <v>0</v>
      </c>
      <c r="AM12" s="20">
        <f t="shared" si="1"/>
        <v>0</v>
      </c>
      <c r="AN12" s="19"/>
      <c r="AO12" s="20"/>
      <c r="AP12" s="21">
        <f t="shared" si="2"/>
        <v>0</v>
      </c>
      <c r="AQ12" s="20">
        <f t="shared" si="3"/>
        <v>0</v>
      </c>
      <c r="AR12" s="19"/>
      <c r="AS12" s="21">
        <f t="shared" si="4"/>
        <v>21</v>
      </c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</row>
    <row r="13" spans="2:60">
      <c r="B13" s="280" t="s">
        <v>45</v>
      </c>
      <c r="C13" s="88" t="s">
        <v>46</v>
      </c>
      <c r="D13" s="88" t="s">
        <v>47</v>
      </c>
      <c r="E13" s="103" t="s">
        <v>22</v>
      </c>
      <c r="F13" s="103" t="s">
        <v>22</v>
      </c>
      <c r="G13" s="115" t="s">
        <v>29</v>
      </c>
      <c r="H13" s="115" t="s">
        <v>29</v>
      </c>
      <c r="I13" s="115" t="s">
        <v>29</v>
      </c>
      <c r="J13" s="115" t="s">
        <v>29</v>
      </c>
      <c r="K13" s="103" t="s">
        <v>22</v>
      </c>
      <c r="L13" s="103" t="s">
        <v>22</v>
      </c>
      <c r="M13" s="102" t="s">
        <v>23</v>
      </c>
      <c r="N13" s="102" t="s">
        <v>23</v>
      </c>
      <c r="O13" s="102" t="s">
        <v>23</v>
      </c>
      <c r="P13" s="102" t="s">
        <v>23</v>
      </c>
      <c r="Q13" s="103" t="s">
        <v>22</v>
      </c>
      <c r="R13" s="103" t="s">
        <v>22</v>
      </c>
      <c r="S13" s="104" t="s">
        <v>21</v>
      </c>
      <c r="T13" s="104" t="s">
        <v>21</v>
      </c>
      <c r="U13" s="104" t="s">
        <v>21</v>
      </c>
      <c r="V13" s="104" t="s">
        <v>21</v>
      </c>
      <c r="W13" s="103" t="s">
        <v>22</v>
      </c>
      <c r="X13" s="103" t="s">
        <v>22</v>
      </c>
      <c r="Y13" s="102" t="s">
        <v>23</v>
      </c>
      <c r="Z13" s="102" t="s">
        <v>23</v>
      </c>
      <c r="AA13" s="102" t="s">
        <v>23</v>
      </c>
      <c r="AB13" s="102" t="s">
        <v>23</v>
      </c>
      <c r="AC13" s="103" t="s">
        <v>22</v>
      </c>
      <c r="AD13" s="103" t="s">
        <v>22</v>
      </c>
      <c r="AE13" s="104" t="s">
        <v>21</v>
      </c>
      <c r="AF13" s="104" t="s">
        <v>21</v>
      </c>
      <c r="AG13" s="104" t="s">
        <v>21</v>
      </c>
      <c r="AH13" s="104" t="s">
        <v>21</v>
      </c>
      <c r="AI13" s="120" t="s">
        <v>22</v>
      </c>
      <c r="AJ13" s="19"/>
      <c r="AK13" s="20"/>
      <c r="AL13" s="21">
        <f t="shared" si="0"/>
        <v>0</v>
      </c>
      <c r="AM13" s="20">
        <f t="shared" si="1"/>
        <v>0</v>
      </c>
      <c r="AN13" s="19"/>
      <c r="AO13" s="20"/>
      <c r="AP13" s="21">
        <f t="shared" si="2"/>
        <v>0</v>
      </c>
      <c r="AQ13" s="20">
        <f t="shared" si="3"/>
        <v>0</v>
      </c>
      <c r="AR13" s="19"/>
      <c r="AS13" s="21">
        <f t="shared" si="4"/>
        <v>20</v>
      </c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</row>
    <row r="14" spans="2:60">
      <c r="B14" s="276"/>
      <c r="C14" s="22" t="s">
        <v>48</v>
      </c>
      <c r="D14" s="20" t="s">
        <v>49</v>
      </c>
      <c r="E14" s="60" t="s">
        <v>21</v>
      </c>
      <c r="F14" s="60" t="s">
        <v>21</v>
      </c>
      <c r="G14" s="60" t="s">
        <v>21</v>
      </c>
      <c r="H14" s="60" t="s">
        <v>21</v>
      </c>
      <c r="I14" s="28" t="s">
        <v>22</v>
      </c>
      <c r="J14" s="28" t="s">
        <v>22</v>
      </c>
      <c r="K14" s="78" t="s">
        <v>29</v>
      </c>
      <c r="L14" s="78" t="s">
        <v>29</v>
      </c>
      <c r="M14" s="78" t="s">
        <v>29</v>
      </c>
      <c r="N14" s="78" t="s">
        <v>29</v>
      </c>
      <c r="O14" s="28" t="s">
        <v>22</v>
      </c>
      <c r="P14" s="28" t="s">
        <v>22</v>
      </c>
      <c r="Q14" s="74" t="s">
        <v>23</v>
      </c>
      <c r="R14" s="74" t="s">
        <v>23</v>
      </c>
      <c r="S14" s="74" t="s">
        <v>23</v>
      </c>
      <c r="T14" s="74" t="s">
        <v>23</v>
      </c>
      <c r="U14" s="28" t="s">
        <v>22</v>
      </c>
      <c r="V14" s="28" t="s">
        <v>22</v>
      </c>
      <c r="W14" s="60" t="s">
        <v>21</v>
      </c>
      <c r="X14" s="60" t="s">
        <v>21</v>
      </c>
      <c r="Y14" s="60" t="s">
        <v>21</v>
      </c>
      <c r="Z14" s="60" t="s">
        <v>21</v>
      </c>
      <c r="AA14" s="28" t="s">
        <v>22</v>
      </c>
      <c r="AB14" s="28" t="s">
        <v>22</v>
      </c>
      <c r="AC14" s="74" t="s">
        <v>23</v>
      </c>
      <c r="AD14" s="74" t="s">
        <v>23</v>
      </c>
      <c r="AE14" s="74" t="s">
        <v>23</v>
      </c>
      <c r="AF14" s="74" t="s">
        <v>23</v>
      </c>
      <c r="AG14" s="28" t="s">
        <v>22</v>
      </c>
      <c r="AH14" s="28" t="s">
        <v>22</v>
      </c>
      <c r="AI14" s="90" t="s">
        <v>21</v>
      </c>
      <c r="AJ14" s="19"/>
      <c r="AK14" s="20"/>
      <c r="AL14" s="21">
        <f t="shared" si="0"/>
        <v>0</v>
      </c>
      <c r="AM14" s="20">
        <f t="shared" si="1"/>
        <v>0</v>
      </c>
      <c r="AN14" s="19"/>
      <c r="AO14" s="20"/>
      <c r="AP14" s="21">
        <f t="shared" si="2"/>
        <v>0</v>
      </c>
      <c r="AQ14" s="20">
        <f t="shared" si="3"/>
        <v>0</v>
      </c>
      <c r="AR14" s="19"/>
      <c r="AS14" s="21">
        <f t="shared" si="4"/>
        <v>21</v>
      </c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</row>
    <row r="15" spans="2:60">
      <c r="B15" s="276"/>
      <c r="C15" s="20" t="s">
        <v>50</v>
      </c>
      <c r="D15" s="20" t="s">
        <v>51</v>
      </c>
      <c r="E15" s="60" t="s">
        <v>21</v>
      </c>
      <c r="F15" s="60" t="s">
        <v>21</v>
      </c>
      <c r="G15" s="28" t="s">
        <v>22</v>
      </c>
      <c r="H15" s="28" t="s">
        <v>22</v>
      </c>
      <c r="I15" s="60" t="s">
        <v>21</v>
      </c>
      <c r="J15" s="60" t="s">
        <v>21</v>
      </c>
      <c r="K15" s="60" t="s">
        <v>21</v>
      </c>
      <c r="L15" s="60" t="s">
        <v>21</v>
      </c>
      <c r="M15" s="28" t="s">
        <v>22</v>
      </c>
      <c r="N15" s="28" t="s">
        <v>22</v>
      </c>
      <c r="O15" s="78" t="s">
        <v>29</v>
      </c>
      <c r="P15" s="78" t="s">
        <v>29</v>
      </c>
      <c r="Q15" s="78" t="s">
        <v>29</v>
      </c>
      <c r="R15" s="78" t="s">
        <v>29</v>
      </c>
      <c r="S15" s="28" t="s">
        <v>22</v>
      </c>
      <c r="T15" s="28" t="s">
        <v>22</v>
      </c>
      <c r="U15" s="74" t="s">
        <v>23</v>
      </c>
      <c r="V15" s="74" t="s">
        <v>23</v>
      </c>
      <c r="W15" s="74" t="s">
        <v>23</v>
      </c>
      <c r="X15" s="74" t="s">
        <v>23</v>
      </c>
      <c r="Y15" s="28" t="s">
        <v>22</v>
      </c>
      <c r="Z15" s="28" t="s">
        <v>22</v>
      </c>
      <c r="AA15" s="60" t="s">
        <v>21</v>
      </c>
      <c r="AB15" s="60" t="s">
        <v>21</v>
      </c>
      <c r="AC15" s="60" t="s">
        <v>21</v>
      </c>
      <c r="AD15" s="60" t="s">
        <v>21</v>
      </c>
      <c r="AE15" s="28" t="s">
        <v>22</v>
      </c>
      <c r="AF15" s="28" t="s">
        <v>22</v>
      </c>
      <c r="AG15" s="74" t="s">
        <v>23</v>
      </c>
      <c r="AH15" s="74" t="s">
        <v>23</v>
      </c>
      <c r="AI15" s="89" t="s">
        <v>23</v>
      </c>
      <c r="AJ15" s="19"/>
      <c r="AK15" s="20"/>
      <c r="AL15" s="21">
        <f t="shared" si="0"/>
        <v>0</v>
      </c>
      <c r="AM15" s="20">
        <f t="shared" si="1"/>
        <v>0</v>
      </c>
      <c r="AN15" s="19"/>
      <c r="AO15" s="20"/>
      <c r="AP15" s="21">
        <f t="shared" si="2"/>
        <v>0</v>
      </c>
      <c r="AQ15" s="20">
        <f t="shared" si="3"/>
        <v>0</v>
      </c>
      <c r="AR15" s="19"/>
      <c r="AS15" s="21">
        <f t="shared" si="4"/>
        <v>21</v>
      </c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</row>
    <row r="16" spans="2:60">
      <c r="B16" s="276"/>
      <c r="C16" s="22" t="s">
        <v>52</v>
      </c>
      <c r="D16" s="20" t="s">
        <v>53</v>
      </c>
      <c r="E16" s="28" t="s">
        <v>22</v>
      </c>
      <c r="F16" s="28" t="s">
        <v>22</v>
      </c>
      <c r="G16" s="60" t="s">
        <v>21</v>
      </c>
      <c r="H16" s="60" t="s">
        <v>21</v>
      </c>
      <c r="I16" s="60" t="s">
        <v>21</v>
      </c>
      <c r="J16" s="60" t="s">
        <v>21</v>
      </c>
      <c r="K16" s="28" t="s">
        <v>22</v>
      </c>
      <c r="L16" s="28" t="s">
        <v>22</v>
      </c>
      <c r="M16" s="60" t="s">
        <v>21</v>
      </c>
      <c r="N16" s="60" t="s">
        <v>21</v>
      </c>
      <c r="O16" s="60" t="s">
        <v>21</v>
      </c>
      <c r="P16" s="60" t="s">
        <v>21</v>
      </c>
      <c r="Q16" s="28" t="s">
        <v>22</v>
      </c>
      <c r="R16" s="28" t="s">
        <v>22</v>
      </c>
      <c r="S16" s="78" t="s">
        <v>29</v>
      </c>
      <c r="T16" s="78" t="s">
        <v>29</v>
      </c>
      <c r="U16" s="78" t="s">
        <v>29</v>
      </c>
      <c r="V16" s="78" t="s">
        <v>29</v>
      </c>
      <c r="W16" s="28" t="s">
        <v>22</v>
      </c>
      <c r="X16" s="28" t="s">
        <v>22</v>
      </c>
      <c r="Y16" s="74" t="s">
        <v>23</v>
      </c>
      <c r="Z16" s="74" t="s">
        <v>23</v>
      </c>
      <c r="AA16" s="74" t="s">
        <v>23</v>
      </c>
      <c r="AB16" s="74" t="s">
        <v>23</v>
      </c>
      <c r="AC16" s="28" t="s">
        <v>22</v>
      </c>
      <c r="AD16" s="28" t="s">
        <v>22</v>
      </c>
      <c r="AE16" s="60" t="s">
        <v>21</v>
      </c>
      <c r="AF16" s="60" t="s">
        <v>21</v>
      </c>
      <c r="AG16" s="60" t="s">
        <v>21</v>
      </c>
      <c r="AH16" s="60" t="s">
        <v>21</v>
      </c>
      <c r="AI16" s="91" t="s">
        <v>22</v>
      </c>
      <c r="AJ16" s="19"/>
      <c r="AK16" s="20"/>
      <c r="AL16" s="21">
        <f t="shared" si="0"/>
        <v>0</v>
      </c>
      <c r="AM16" s="20">
        <f t="shared" si="1"/>
        <v>0</v>
      </c>
      <c r="AN16" s="19"/>
      <c r="AO16" s="20"/>
      <c r="AP16" s="21">
        <f t="shared" si="2"/>
        <v>0</v>
      </c>
      <c r="AQ16" s="20">
        <f t="shared" si="3"/>
        <v>0</v>
      </c>
      <c r="AR16" s="19"/>
      <c r="AS16" s="21">
        <f t="shared" si="4"/>
        <v>20</v>
      </c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</row>
    <row r="17" spans="2:60" ht="15" customHeight="1">
      <c r="B17" s="276"/>
      <c r="C17" s="22" t="s">
        <v>54</v>
      </c>
      <c r="D17" s="20" t="s">
        <v>55</v>
      </c>
      <c r="E17" s="74" t="s">
        <v>23</v>
      </c>
      <c r="F17" s="74" t="s">
        <v>23</v>
      </c>
      <c r="G17" s="74" t="s">
        <v>23</v>
      </c>
      <c r="H17" s="74" t="s">
        <v>23</v>
      </c>
      <c r="I17" s="28" t="s">
        <v>22</v>
      </c>
      <c r="J17" s="28" t="s">
        <v>22</v>
      </c>
      <c r="K17" s="60" t="s">
        <v>21</v>
      </c>
      <c r="L17" s="60" t="s">
        <v>21</v>
      </c>
      <c r="M17" s="60" t="s">
        <v>21</v>
      </c>
      <c r="N17" s="60" t="s">
        <v>21</v>
      </c>
      <c r="O17" s="28" t="s">
        <v>22</v>
      </c>
      <c r="P17" s="28" t="s">
        <v>22</v>
      </c>
      <c r="Q17" s="60" t="s">
        <v>21</v>
      </c>
      <c r="R17" s="60" t="s">
        <v>21</v>
      </c>
      <c r="S17" s="60" t="s">
        <v>21</v>
      </c>
      <c r="T17" s="60" t="s">
        <v>21</v>
      </c>
      <c r="U17" s="28" t="s">
        <v>22</v>
      </c>
      <c r="V17" s="28" t="s">
        <v>22</v>
      </c>
      <c r="W17" s="78" t="s">
        <v>29</v>
      </c>
      <c r="X17" s="78" t="s">
        <v>29</v>
      </c>
      <c r="Y17" s="78" t="s">
        <v>29</v>
      </c>
      <c r="Z17" s="78" t="s">
        <v>29</v>
      </c>
      <c r="AA17" s="28" t="s">
        <v>22</v>
      </c>
      <c r="AB17" s="28" t="s">
        <v>22</v>
      </c>
      <c r="AC17" s="74" t="s">
        <v>23</v>
      </c>
      <c r="AD17" s="74" t="s">
        <v>23</v>
      </c>
      <c r="AE17" s="74" t="s">
        <v>23</v>
      </c>
      <c r="AF17" s="74" t="s">
        <v>23</v>
      </c>
      <c r="AG17" s="28" t="s">
        <v>22</v>
      </c>
      <c r="AH17" s="28" t="s">
        <v>22</v>
      </c>
      <c r="AI17" s="90" t="s">
        <v>21</v>
      </c>
      <c r="AJ17" s="19"/>
      <c r="AK17" s="20"/>
      <c r="AL17" s="21">
        <f t="shared" si="0"/>
        <v>0</v>
      </c>
      <c r="AM17" s="20">
        <f t="shared" si="1"/>
        <v>0</v>
      </c>
      <c r="AN17" s="19"/>
      <c r="AO17" s="20"/>
      <c r="AP17" s="21">
        <f t="shared" si="2"/>
        <v>0</v>
      </c>
      <c r="AQ17" s="20">
        <f t="shared" si="3"/>
        <v>0</v>
      </c>
      <c r="AR17" s="19"/>
      <c r="AS17" s="21">
        <f t="shared" si="4"/>
        <v>21</v>
      </c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</row>
    <row r="18" spans="2:60">
      <c r="B18" s="276"/>
      <c r="C18" s="22" t="s">
        <v>56</v>
      </c>
      <c r="D18" s="20" t="s">
        <v>57</v>
      </c>
      <c r="E18" s="60" t="s">
        <v>21</v>
      </c>
      <c r="F18" s="60" t="s">
        <v>21</v>
      </c>
      <c r="G18" s="28" t="s">
        <v>22</v>
      </c>
      <c r="H18" s="28" t="s">
        <v>22</v>
      </c>
      <c r="I18" s="74" t="s">
        <v>23</v>
      </c>
      <c r="J18" s="74" t="s">
        <v>23</v>
      </c>
      <c r="K18" s="74" t="s">
        <v>23</v>
      </c>
      <c r="L18" s="74" t="s">
        <v>23</v>
      </c>
      <c r="M18" s="28" t="s">
        <v>22</v>
      </c>
      <c r="N18" s="28" t="s">
        <v>22</v>
      </c>
      <c r="O18" s="60" t="s">
        <v>21</v>
      </c>
      <c r="P18" s="60" t="s">
        <v>21</v>
      </c>
      <c r="Q18" s="60" t="s">
        <v>21</v>
      </c>
      <c r="R18" s="60" t="s">
        <v>21</v>
      </c>
      <c r="S18" s="28" t="s">
        <v>22</v>
      </c>
      <c r="T18" s="28" t="s">
        <v>22</v>
      </c>
      <c r="U18" s="60" t="s">
        <v>21</v>
      </c>
      <c r="V18" s="60" t="s">
        <v>21</v>
      </c>
      <c r="W18" s="60" t="s">
        <v>21</v>
      </c>
      <c r="X18" s="60" t="s">
        <v>21</v>
      </c>
      <c r="Y18" s="28" t="s">
        <v>22</v>
      </c>
      <c r="Z18" s="28" t="s">
        <v>22</v>
      </c>
      <c r="AA18" s="78" t="s">
        <v>29</v>
      </c>
      <c r="AB18" s="78" t="s">
        <v>29</v>
      </c>
      <c r="AC18" s="78" t="s">
        <v>29</v>
      </c>
      <c r="AD18" s="78" t="s">
        <v>29</v>
      </c>
      <c r="AE18" s="28" t="s">
        <v>22</v>
      </c>
      <c r="AF18" s="28" t="s">
        <v>22</v>
      </c>
      <c r="AG18" s="74" t="s">
        <v>23</v>
      </c>
      <c r="AH18" s="74" t="s">
        <v>23</v>
      </c>
      <c r="AI18" s="89" t="s">
        <v>23</v>
      </c>
      <c r="AJ18" s="19"/>
      <c r="AK18" s="20"/>
      <c r="AL18" s="21">
        <f t="shared" si="0"/>
        <v>0</v>
      </c>
      <c r="AM18" s="20">
        <f t="shared" si="1"/>
        <v>0</v>
      </c>
      <c r="AN18" s="19"/>
      <c r="AO18" s="20"/>
      <c r="AP18" s="21">
        <f t="shared" si="2"/>
        <v>0</v>
      </c>
      <c r="AQ18" s="20">
        <f t="shared" si="3"/>
        <v>0</v>
      </c>
      <c r="AR18" s="19"/>
      <c r="AS18" s="21">
        <f t="shared" si="4"/>
        <v>21</v>
      </c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</row>
    <row r="19" spans="2:60">
      <c r="B19" s="276"/>
      <c r="C19" s="20" t="s">
        <v>58</v>
      </c>
      <c r="D19" s="20" t="s">
        <v>59</v>
      </c>
      <c r="E19" s="28" t="s">
        <v>22</v>
      </c>
      <c r="F19" s="28" t="s">
        <v>22</v>
      </c>
      <c r="G19" s="60" t="s">
        <v>21</v>
      </c>
      <c r="H19" s="60" t="s">
        <v>21</v>
      </c>
      <c r="I19" s="60" t="s">
        <v>21</v>
      </c>
      <c r="J19" s="60" t="s">
        <v>21</v>
      </c>
      <c r="K19" s="28" t="s">
        <v>22</v>
      </c>
      <c r="L19" s="28" t="s">
        <v>22</v>
      </c>
      <c r="M19" s="74" t="s">
        <v>23</v>
      </c>
      <c r="N19" s="74" t="s">
        <v>23</v>
      </c>
      <c r="O19" s="74" t="s">
        <v>23</v>
      </c>
      <c r="P19" s="74" t="s">
        <v>23</v>
      </c>
      <c r="Q19" s="28" t="s">
        <v>22</v>
      </c>
      <c r="R19" s="28" t="s">
        <v>22</v>
      </c>
      <c r="S19" s="60" t="s">
        <v>21</v>
      </c>
      <c r="T19" s="60" t="s">
        <v>21</v>
      </c>
      <c r="U19" s="60" t="s">
        <v>21</v>
      </c>
      <c r="V19" s="60" t="s">
        <v>21</v>
      </c>
      <c r="W19" s="28" t="s">
        <v>22</v>
      </c>
      <c r="X19" s="28" t="s">
        <v>22</v>
      </c>
      <c r="Y19" s="60" t="s">
        <v>21</v>
      </c>
      <c r="Z19" s="60" t="s">
        <v>21</v>
      </c>
      <c r="AA19" s="60" t="s">
        <v>21</v>
      </c>
      <c r="AB19" s="60" t="s">
        <v>21</v>
      </c>
      <c r="AC19" s="28" t="s">
        <v>22</v>
      </c>
      <c r="AD19" s="28" t="s">
        <v>22</v>
      </c>
      <c r="AE19" s="78" t="s">
        <v>29</v>
      </c>
      <c r="AF19" s="78" t="s">
        <v>29</v>
      </c>
      <c r="AG19" s="78" t="s">
        <v>29</v>
      </c>
      <c r="AH19" s="78" t="s">
        <v>29</v>
      </c>
      <c r="AI19" s="91" t="s">
        <v>22</v>
      </c>
      <c r="AJ19" s="19"/>
      <c r="AK19" s="20"/>
      <c r="AL19" s="21">
        <f t="shared" si="0"/>
        <v>0</v>
      </c>
      <c r="AM19" s="20">
        <f t="shared" si="1"/>
        <v>0</v>
      </c>
      <c r="AN19" s="19"/>
      <c r="AO19" s="26"/>
      <c r="AP19" s="21">
        <f t="shared" si="2"/>
        <v>0</v>
      </c>
      <c r="AQ19" s="44">
        <f t="shared" si="3"/>
        <v>0</v>
      </c>
      <c r="AR19" s="19"/>
      <c r="AS19" s="21">
        <f t="shared" si="4"/>
        <v>20</v>
      </c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</row>
    <row r="20" spans="2:60">
      <c r="B20" s="276"/>
      <c r="C20" s="22" t="s">
        <v>60</v>
      </c>
      <c r="D20" s="20" t="s">
        <v>61</v>
      </c>
      <c r="E20" s="74" t="s">
        <v>23</v>
      </c>
      <c r="F20" s="74" t="s">
        <v>23</v>
      </c>
      <c r="G20" s="74" t="s">
        <v>23</v>
      </c>
      <c r="H20" s="74" t="s">
        <v>23</v>
      </c>
      <c r="I20" s="28" t="s">
        <v>22</v>
      </c>
      <c r="J20" s="28" t="s">
        <v>22</v>
      </c>
      <c r="K20" s="60" t="s">
        <v>21</v>
      </c>
      <c r="L20" s="60" t="s">
        <v>21</v>
      </c>
      <c r="M20" s="60" t="s">
        <v>21</v>
      </c>
      <c r="N20" s="60" t="s">
        <v>21</v>
      </c>
      <c r="O20" s="28" t="s">
        <v>22</v>
      </c>
      <c r="P20" s="28" t="s">
        <v>22</v>
      </c>
      <c r="Q20" s="74" t="s">
        <v>23</v>
      </c>
      <c r="R20" s="74" t="s">
        <v>23</v>
      </c>
      <c r="S20" s="74" t="s">
        <v>23</v>
      </c>
      <c r="T20" s="74" t="s">
        <v>23</v>
      </c>
      <c r="U20" s="28" t="s">
        <v>22</v>
      </c>
      <c r="V20" s="28" t="s">
        <v>22</v>
      </c>
      <c r="W20" s="60" t="s">
        <v>21</v>
      </c>
      <c r="X20" s="60" t="s">
        <v>21</v>
      </c>
      <c r="Y20" s="60" t="s">
        <v>21</v>
      </c>
      <c r="Z20" s="60" t="s">
        <v>21</v>
      </c>
      <c r="AA20" s="28" t="s">
        <v>22</v>
      </c>
      <c r="AB20" s="28" t="s">
        <v>22</v>
      </c>
      <c r="AC20" s="60" t="s">
        <v>21</v>
      </c>
      <c r="AD20" s="60" t="s">
        <v>21</v>
      </c>
      <c r="AE20" s="60" t="s">
        <v>21</v>
      </c>
      <c r="AF20" s="60" t="s">
        <v>21</v>
      </c>
      <c r="AG20" s="28" t="s">
        <v>22</v>
      </c>
      <c r="AH20" s="28" t="s">
        <v>22</v>
      </c>
      <c r="AI20" s="107" t="s">
        <v>29</v>
      </c>
      <c r="AJ20" s="19"/>
      <c r="AK20" s="20"/>
      <c r="AL20" s="21">
        <f t="shared" si="0"/>
        <v>0</v>
      </c>
      <c r="AM20" s="20">
        <f t="shared" si="1"/>
        <v>0</v>
      </c>
      <c r="AN20" s="19"/>
      <c r="AO20" s="20"/>
      <c r="AP20" s="21">
        <f t="shared" si="2"/>
        <v>0</v>
      </c>
      <c r="AQ20" s="20">
        <f t="shared" si="3"/>
        <v>0</v>
      </c>
      <c r="AR20" s="19"/>
      <c r="AS20" s="21">
        <f t="shared" si="4"/>
        <v>21</v>
      </c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</row>
    <row r="21" spans="2:60">
      <c r="B21" s="276"/>
      <c r="C21" s="20" t="s">
        <v>62</v>
      </c>
      <c r="D21" s="20" t="s">
        <v>63</v>
      </c>
      <c r="E21" s="60" t="s">
        <v>21</v>
      </c>
      <c r="F21" s="60" t="s">
        <v>21</v>
      </c>
      <c r="G21" s="28" t="s">
        <v>22</v>
      </c>
      <c r="H21" s="28" t="s">
        <v>22</v>
      </c>
      <c r="I21" s="74" t="s">
        <v>23</v>
      </c>
      <c r="J21" s="74" t="s">
        <v>23</v>
      </c>
      <c r="K21" s="74" t="s">
        <v>23</v>
      </c>
      <c r="L21" s="74" t="s">
        <v>23</v>
      </c>
      <c r="M21" s="28" t="s">
        <v>22</v>
      </c>
      <c r="N21" s="28" t="s">
        <v>22</v>
      </c>
      <c r="O21" s="60" t="s">
        <v>21</v>
      </c>
      <c r="P21" s="60" t="s">
        <v>21</v>
      </c>
      <c r="Q21" s="60" t="s">
        <v>21</v>
      </c>
      <c r="R21" s="60" t="s">
        <v>21</v>
      </c>
      <c r="S21" s="28" t="s">
        <v>22</v>
      </c>
      <c r="T21" s="28" t="s">
        <v>22</v>
      </c>
      <c r="U21" s="74" t="s">
        <v>23</v>
      </c>
      <c r="V21" s="74" t="s">
        <v>23</v>
      </c>
      <c r="W21" s="74" t="s">
        <v>23</v>
      </c>
      <c r="X21" s="74" t="s">
        <v>23</v>
      </c>
      <c r="Y21" s="28" t="s">
        <v>22</v>
      </c>
      <c r="Z21" s="28" t="s">
        <v>22</v>
      </c>
      <c r="AA21" s="60" t="s">
        <v>21</v>
      </c>
      <c r="AB21" s="60" t="s">
        <v>21</v>
      </c>
      <c r="AC21" s="60" t="s">
        <v>21</v>
      </c>
      <c r="AD21" s="60" t="s">
        <v>21</v>
      </c>
      <c r="AE21" s="28" t="s">
        <v>22</v>
      </c>
      <c r="AF21" s="28" t="s">
        <v>22</v>
      </c>
      <c r="AG21" s="60" t="s">
        <v>21</v>
      </c>
      <c r="AH21" s="60" t="s">
        <v>21</v>
      </c>
      <c r="AI21" s="90" t="s">
        <v>21</v>
      </c>
      <c r="AJ21" s="19"/>
      <c r="AK21" s="20"/>
      <c r="AL21" s="21">
        <f t="shared" si="0"/>
        <v>0</v>
      </c>
      <c r="AM21" s="20">
        <f t="shared" si="1"/>
        <v>0</v>
      </c>
      <c r="AN21" s="19"/>
      <c r="AO21" s="20"/>
      <c r="AP21" s="21">
        <f t="shared" si="2"/>
        <v>0</v>
      </c>
      <c r="AQ21" s="20">
        <f t="shared" si="3"/>
        <v>0</v>
      </c>
      <c r="AR21" s="19"/>
      <c r="AS21" s="21">
        <f t="shared" si="4"/>
        <v>21</v>
      </c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</row>
    <row r="22" spans="2:60">
      <c r="B22" s="276"/>
      <c r="C22" s="86" t="s">
        <v>64</v>
      </c>
      <c r="D22" s="87" t="s">
        <v>65</v>
      </c>
      <c r="E22" s="28" t="s">
        <v>22</v>
      </c>
      <c r="F22" s="28" t="s">
        <v>22</v>
      </c>
      <c r="G22" s="60" t="s">
        <v>21</v>
      </c>
      <c r="H22" s="60" t="s">
        <v>21</v>
      </c>
      <c r="I22" s="60" t="s">
        <v>21</v>
      </c>
      <c r="J22" s="60" t="s">
        <v>21</v>
      </c>
      <c r="K22" s="28" t="s">
        <v>22</v>
      </c>
      <c r="L22" s="28" t="s">
        <v>22</v>
      </c>
      <c r="M22" s="74" t="s">
        <v>23</v>
      </c>
      <c r="N22" s="74" t="s">
        <v>23</v>
      </c>
      <c r="O22" s="74" t="s">
        <v>23</v>
      </c>
      <c r="P22" s="74" t="s">
        <v>23</v>
      </c>
      <c r="Q22" s="28" t="s">
        <v>22</v>
      </c>
      <c r="R22" s="75" t="s">
        <v>26</v>
      </c>
      <c r="S22" s="75" t="s">
        <v>176</v>
      </c>
      <c r="T22" s="60" t="s">
        <v>21</v>
      </c>
      <c r="U22" s="60" t="s">
        <v>21</v>
      </c>
      <c r="V22" s="60" t="s">
        <v>21</v>
      </c>
      <c r="W22" s="28" t="s">
        <v>22</v>
      </c>
      <c r="X22" s="28" t="s">
        <v>22</v>
      </c>
      <c r="Y22" s="74" t="s">
        <v>23</v>
      </c>
      <c r="Z22" s="74" t="s">
        <v>23</v>
      </c>
      <c r="AA22" s="74" t="s">
        <v>23</v>
      </c>
      <c r="AB22" s="74" t="s">
        <v>23</v>
      </c>
      <c r="AC22" s="28" t="s">
        <v>22</v>
      </c>
      <c r="AD22" s="28" t="s">
        <v>22</v>
      </c>
      <c r="AE22" s="60" t="s">
        <v>21</v>
      </c>
      <c r="AF22" s="60" t="s">
        <v>21</v>
      </c>
      <c r="AG22" s="60" t="s">
        <v>21</v>
      </c>
      <c r="AH22" s="60" t="s">
        <v>21</v>
      </c>
      <c r="AI22" s="91" t="s">
        <v>22</v>
      </c>
      <c r="AJ22" s="19"/>
      <c r="AK22" s="20"/>
      <c r="AL22" s="21">
        <f t="shared" si="0"/>
        <v>0</v>
      </c>
      <c r="AM22" s="20">
        <f t="shared" si="1"/>
        <v>0</v>
      </c>
      <c r="AN22" s="19"/>
      <c r="AO22" s="20"/>
      <c r="AP22" s="21">
        <f t="shared" si="2"/>
        <v>0</v>
      </c>
      <c r="AQ22" s="20">
        <f t="shared" si="3"/>
        <v>0</v>
      </c>
      <c r="AR22" s="19"/>
      <c r="AS22" s="21">
        <f t="shared" si="4"/>
        <v>19</v>
      </c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</row>
    <row r="23" spans="2:60" ht="15" customHeight="1">
      <c r="B23" s="276"/>
      <c r="C23" s="20" t="s">
        <v>68</v>
      </c>
      <c r="D23" s="20" t="s">
        <v>69</v>
      </c>
      <c r="E23" s="74" t="s">
        <v>23</v>
      </c>
      <c r="F23" s="74" t="s">
        <v>23</v>
      </c>
      <c r="G23" s="74" t="s">
        <v>23</v>
      </c>
      <c r="H23" s="74" t="s">
        <v>23</v>
      </c>
      <c r="I23" s="28" t="s">
        <v>22</v>
      </c>
      <c r="J23" s="28" t="s">
        <v>22</v>
      </c>
      <c r="K23" s="60" t="s">
        <v>21</v>
      </c>
      <c r="L23" s="60" t="s">
        <v>21</v>
      </c>
      <c r="M23" s="60" t="s">
        <v>21</v>
      </c>
      <c r="N23" s="60" t="s">
        <v>21</v>
      </c>
      <c r="O23" s="28" t="s">
        <v>22</v>
      </c>
      <c r="P23" s="28" t="s">
        <v>22</v>
      </c>
      <c r="Q23" s="74" t="s">
        <v>23</v>
      </c>
      <c r="R23" s="74" t="s">
        <v>23</v>
      </c>
      <c r="S23" s="74" t="s">
        <v>23</v>
      </c>
      <c r="T23" s="74" t="s">
        <v>23</v>
      </c>
      <c r="U23" s="28" t="s">
        <v>22</v>
      </c>
      <c r="V23" s="28" t="s">
        <v>22</v>
      </c>
      <c r="W23" s="60" t="s">
        <v>21</v>
      </c>
      <c r="X23" s="60" t="s">
        <v>21</v>
      </c>
      <c r="Y23" s="60" t="s">
        <v>21</v>
      </c>
      <c r="Z23" s="60" t="s">
        <v>21</v>
      </c>
      <c r="AA23" s="75" t="s">
        <v>26</v>
      </c>
      <c r="AB23" s="28" t="s">
        <v>22</v>
      </c>
      <c r="AC23" s="74" t="s">
        <v>23</v>
      </c>
      <c r="AD23" s="74" t="s">
        <v>23</v>
      </c>
      <c r="AE23" s="74" t="s">
        <v>23</v>
      </c>
      <c r="AF23" s="74" t="s">
        <v>23</v>
      </c>
      <c r="AG23" s="28" t="s">
        <v>22</v>
      </c>
      <c r="AH23" s="28" t="s">
        <v>22</v>
      </c>
      <c r="AI23" s="90" t="s">
        <v>21</v>
      </c>
      <c r="AJ23" s="19"/>
      <c r="AK23" s="20"/>
      <c r="AL23" s="21">
        <f t="shared" si="0"/>
        <v>0</v>
      </c>
      <c r="AM23" s="20">
        <f t="shared" si="1"/>
        <v>0</v>
      </c>
      <c r="AN23" s="19"/>
      <c r="AO23" s="20"/>
      <c r="AP23" s="21">
        <f t="shared" si="2"/>
        <v>0</v>
      </c>
      <c r="AQ23" s="20">
        <f t="shared" si="3"/>
        <v>0</v>
      </c>
      <c r="AR23" s="19"/>
      <c r="AS23" s="21">
        <f t="shared" si="4"/>
        <v>21</v>
      </c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</row>
    <row r="24" spans="2:60">
      <c r="B24" s="276"/>
      <c r="C24" s="108" t="s">
        <v>70</v>
      </c>
      <c r="D24" s="109" t="s">
        <v>71</v>
      </c>
      <c r="E24" s="116" t="s">
        <v>29</v>
      </c>
      <c r="F24" s="116" t="s">
        <v>29</v>
      </c>
      <c r="G24" s="110" t="s">
        <v>22</v>
      </c>
      <c r="H24" s="110" t="s">
        <v>22</v>
      </c>
      <c r="I24" s="112" t="s">
        <v>23</v>
      </c>
      <c r="J24" s="112" t="s">
        <v>23</v>
      </c>
      <c r="K24" s="112" t="s">
        <v>23</v>
      </c>
      <c r="L24" s="112" t="s">
        <v>23</v>
      </c>
      <c r="M24" s="110" t="s">
        <v>22</v>
      </c>
      <c r="N24" s="110" t="s">
        <v>22</v>
      </c>
      <c r="O24" s="111" t="s">
        <v>21</v>
      </c>
      <c r="P24" s="111" t="s">
        <v>21</v>
      </c>
      <c r="Q24" s="111" t="s">
        <v>21</v>
      </c>
      <c r="R24" s="111" t="s">
        <v>21</v>
      </c>
      <c r="S24" s="110" t="s">
        <v>22</v>
      </c>
      <c r="T24" s="110" t="s">
        <v>22</v>
      </c>
      <c r="U24" s="112" t="s">
        <v>23</v>
      </c>
      <c r="V24" s="112" t="s">
        <v>23</v>
      </c>
      <c r="W24" s="112" t="s">
        <v>23</v>
      </c>
      <c r="X24" s="112" t="s">
        <v>23</v>
      </c>
      <c r="Y24" s="110" t="s">
        <v>22</v>
      </c>
      <c r="Z24" s="110" t="s">
        <v>22</v>
      </c>
      <c r="AA24" s="111" t="s">
        <v>21</v>
      </c>
      <c r="AB24" s="111" t="s">
        <v>21</v>
      </c>
      <c r="AC24" s="111" t="s">
        <v>21</v>
      </c>
      <c r="AD24" s="111" t="s">
        <v>21</v>
      </c>
      <c r="AE24" s="110" t="s">
        <v>22</v>
      </c>
      <c r="AF24" s="110" t="s">
        <v>22</v>
      </c>
      <c r="AG24" s="112" t="s">
        <v>23</v>
      </c>
      <c r="AH24" s="112" t="s">
        <v>23</v>
      </c>
      <c r="AI24" s="125" t="s">
        <v>23</v>
      </c>
      <c r="AJ24" s="19"/>
      <c r="AK24" s="20"/>
      <c r="AL24" s="21">
        <f t="shared" si="0"/>
        <v>0</v>
      </c>
      <c r="AM24" s="20">
        <f t="shared" si="1"/>
        <v>0</v>
      </c>
      <c r="AN24" s="19"/>
      <c r="AO24" s="20"/>
      <c r="AP24" s="21">
        <f t="shared" si="2"/>
        <v>0</v>
      </c>
      <c r="AQ24" s="20">
        <f t="shared" si="3"/>
        <v>0</v>
      </c>
      <c r="AR24" s="19"/>
      <c r="AS24" s="21">
        <f t="shared" si="4"/>
        <v>21</v>
      </c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</row>
    <row r="25" spans="2:60" ht="15" customHeight="1">
      <c r="B25" s="280" t="s">
        <v>72</v>
      </c>
      <c r="C25" s="88" t="s">
        <v>73</v>
      </c>
      <c r="D25" s="88" t="s">
        <v>74</v>
      </c>
      <c r="E25" s="103" t="s">
        <v>22</v>
      </c>
      <c r="F25" s="103" t="s">
        <v>22</v>
      </c>
      <c r="G25" s="115" t="s">
        <v>29</v>
      </c>
      <c r="H25" s="115" t="s">
        <v>29</v>
      </c>
      <c r="I25" s="115" t="s">
        <v>29</v>
      </c>
      <c r="J25" s="115" t="s">
        <v>29</v>
      </c>
      <c r="K25" s="103" t="s">
        <v>22</v>
      </c>
      <c r="L25" s="103" t="s">
        <v>22</v>
      </c>
      <c r="M25" s="102" t="s">
        <v>23</v>
      </c>
      <c r="N25" s="102" t="s">
        <v>23</v>
      </c>
      <c r="O25" s="102" t="s">
        <v>23</v>
      </c>
      <c r="P25" s="102" t="s">
        <v>23</v>
      </c>
      <c r="Q25" s="103" t="s">
        <v>22</v>
      </c>
      <c r="R25" s="103" t="s">
        <v>22</v>
      </c>
      <c r="S25" s="104" t="s">
        <v>21</v>
      </c>
      <c r="T25" s="104" t="s">
        <v>21</v>
      </c>
      <c r="U25" s="104" t="s">
        <v>21</v>
      </c>
      <c r="V25" s="104" t="s">
        <v>21</v>
      </c>
      <c r="W25" s="103" t="s">
        <v>22</v>
      </c>
      <c r="X25" s="103" t="s">
        <v>22</v>
      </c>
      <c r="Y25" s="102" t="s">
        <v>23</v>
      </c>
      <c r="Z25" s="102" t="s">
        <v>23</v>
      </c>
      <c r="AA25" s="102" t="s">
        <v>23</v>
      </c>
      <c r="AB25" s="102" t="s">
        <v>23</v>
      </c>
      <c r="AC25" s="103" t="s">
        <v>22</v>
      </c>
      <c r="AD25" s="103" t="s">
        <v>22</v>
      </c>
      <c r="AE25" s="104" t="s">
        <v>21</v>
      </c>
      <c r="AF25" s="104" t="s">
        <v>21</v>
      </c>
      <c r="AG25" s="104" t="s">
        <v>21</v>
      </c>
      <c r="AH25" s="104" t="s">
        <v>21</v>
      </c>
      <c r="AI25" s="120" t="s">
        <v>22</v>
      </c>
      <c r="AJ25" s="19"/>
      <c r="AK25" s="20"/>
      <c r="AL25" s="21">
        <f t="shared" si="0"/>
        <v>0</v>
      </c>
      <c r="AM25" s="20">
        <f t="shared" si="1"/>
        <v>0</v>
      </c>
      <c r="AN25" s="19"/>
      <c r="AO25" s="20"/>
      <c r="AP25" s="21">
        <f t="shared" si="2"/>
        <v>0</v>
      </c>
      <c r="AQ25" s="20">
        <f t="shared" si="3"/>
        <v>0</v>
      </c>
      <c r="AR25" s="19"/>
      <c r="AS25" s="21">
        <f t="shared" si="4"/>
        <v>20</v>
      </c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</row>
    <row r="26" spans="2:60">
      <c r="B26" s="276"/>
      <c r="C26" s="22" t="s">
        <v>75</v>
      </c>
      <c r="D26" s="20" t="s">
        <v>76</v>
      </c>
      <c r="E26" s="60" t="s">
        <v>21</v>
      </c>
      <c r="F26" s="60" t="s">
        <v>21</v>
      </c>
      <c r="G26" s="60" t="s">
        <v>21</v>
      </c>
      <c r="H26" s="60" t="s">
        <v>21</v>
      </c>
      <c r="I26" s="28" t="s">
        <v>22</v>
      </c>
      <c r="J26" s="28" t="s">
        <v>22</v>
      </c>
      <c r="K26" s="78" t="s">
        <v>29</v>
      </c>
      <c r="L26" s="78" t="s">
        <v>29</v>
      </c>
      <c r="M26" s="78" t="s">
        <v>29</v>
      </c>
      <c r="N26" s="78" t="s">
        <v>29</v>
      </c>
      <c r="O26" s="28" t="s">
        <v>22</v>
      </c>
      <c r="P26" s="28" t="s">
        <v>22</v>
      </c>
      <c r="Q26" s="74" t="s">
        <v>23</v>
      </c>
      <c r="R26" s="74" t="s">
        <v>23</v>
      </c>
      <c r="S26" s="74" t="s">
        <v>23</v>
      </c>
      <c r="T26" s="74" t="s">
        <v>23</v>
      </c>
      <c r="U26" s="28" t="s">
        <v>22</v>
      </c>
      <c r="V26" s="28" t="s">
        <v>22</v>
      </c>
      <c r="W26" s="60" t="s">
        <v>21</v>
      </c>
      <c r="X26" s="60" t="s">
        <v>21</v>
      </c>
      <c r="Y26" s="60" t="s">
        <v>21</v>
      </c>
      <c r="Z26" s="60" t="s">
        <v>21</v>
      </c>
      <c r="AA26" s="28" t="s">
        <v>22</v>
      </c>
      <c r="AB26" s="28" t="s">
        <v>22</v>
      </c>
      <c r="AC26" s="74" t="s">
        <v>23</v>
      </c>
      <c r="AD26" s="74" t="s">
        <v>23</v>
      </c>
      <c r="AE26" s="74" t="s">
        <v>23</v>
      </c>
      <c r="AF26" s="74" t="s">
        <v>23</v>
      </c>
      <c r="AG26" s="28" t="s">
        <v>22</v>
      </c>
      <c r="AH26" s="28" t="s">
        <v>22</v>
      </c>
      <c r="AI26" s="90" t="s">
        <v>21</v>
      </c>
      <c r="AJ26" s="19"/>
      <c r="AK26" s="20"/>
      <c r="AL26" s="21">
        <f t="shared" si="0"/>
        <v>0</v>
      </c>
      <c r="AM26" s="20">
        <f t="shared" si="1"/>
        <v>0</v>
      </c>
      <c r="AN26" s="19"/>
      <c r="AO26" s="20"/>
      <c r="AP26" s="21">
        <f t="shared" si="2"/>
        <v>0</v>
      </c>
      <c r="AQ26" s="20">
        <f t="shared" si="3"/>
        <v>0</v>
      </c>
      <c r="AR26" s="19"/>
      <c r="AS26" s="21">
        <f t="shared" si="4"/>
        <v>21</v>
      </c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</row>
    <row r="27" spans="2:60">
      <c r="B27" s="276"/>
      <c r="C27" s="22" t="s">
        <v>77</v>
      </c>
      <c r="D27" s="20" t="s">
        <v>78</v>
      </c>
      <c r="E27" s="28" t="s">
        <v>22</v>
      </c>
      <c r="F27" s="28" t="s">
        <v>22</v>
      </c>
      <c r="G27" s="60" t="s">
        <v>21</v>
      </c>
      <c r="H27" s="60" t="s">
        <v>21</v>
      </c>
      <c r="I27" s="60" t="s">
        <v>21</v>
      </c>
      <c r="J27" s="60" t="s">
        <v>21</v>
      </c>
      <c r="K27" s="28" t="s">
        <v>22</v>
      </c>
      <c r="L27" s="28" t="s">
        <v>22</v>
      </c>
      <c r="M27" s="60" t="s">
        <v>21</v>
      </c>
      <c r="N27" s="60" t="s">
        <v>21</v>
      </c>
      <c r="O27" s="60" t="s">
        <v>21</v>
      </c>
      <c r="P27" s="60" t="s">
        <v>21</v>
      </c>
      <c r="Q27" s="28" t="s">
        <v>22</v>
      </c>
      <c r="R27" s="28" t="s">
        <v>22</v>
      </c>
      <c r="S27" s="78" t="s">
        <v>29</v>
      </c>
      <c r="T27" s="78" t="s">
        <v>29</v>
      </c>
      <c r="U27" s="78" t="s">
        <v>29</v>
      </c>
      <c r="V27" s="78" t="s">
        <v>29</v>
      </c>
      <c r="W27" s="28" t="s">
        <v>22</v>
      </c>
      <c r="X27" s="75" t="s">
        <v>26</v>
      </c>
      <c r="Y27" s="75" t="s">
        <v>176</v>
      </c>
      <c r="Z27" s="74" t="s">
        <v>23</v>
      </c>
      <c r="AA27" s="74" t="s">
        <v>23</v>
      </c>
      <c r="AB27" s="74" t="s">
        <v>23</v>
      </c>
      <c r="AC27" s="28" t="s">
        <v>22</v>
      </c>
      <c r="AD27" s="28" t="s">
        <v>22</v>
      </c>
      <c r="AE27" s="60" t="s">
        <v>21</v>
      </c>
      <c r="AF27" s="60" t="s">
        <v>21</v>
      </c>
      <c r="AG27" s="60" t="s">
        <v>21</v>
      </c>
      <c r="AH27" s="60" t="s">
        <v>21</v>
      </c>
      <c r="AI27" s="91" t="s">
        <v>22</v>
      </c>
      <c r="AJ27" s="19"/>
      <c r="AK27" s="20"/>
      <c r="AL27" s="21">
        <f t="shared" si="0"/>
        <v>0</v>
      </c>
      <c r="AM27" s="20">
        <f t="shared" si="1"/>
        <v>0</v>
      </c>
      <c r="AN27" s="19"/>
      <c r="AO27" s="20"/>
      <c r="AP27" s="21">
        <f t="shared" si="2"/>
        <v>0</v>
      </c>
      <c r="AQ27" s="20">
        <f t="shared" si="3"/>
        <v>0</v>
      </c>
      <c r="AR27" s="19"/>
      <c r="AS27" s="21">
        <f t="shared" si="4"/>
        <v>19</v>
      </c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</row>
    <row r="28" spans="2:60" ht="15" customHeight="1">
      <c r="B28" s="276"/>
      <c r="C28" s="20" t="s">
        <v>79</v>
      </c>
      <c r="D28" s="20" t="s">
        <v>80</v>
      </c>
      <c r="E28" s="74" t="s">
        <v>23</v>
      </c>
      <c r="F28" s="74" t="s">
        <v>23</v>
      </c>
      <c r="G28" s="74" t="s">
        <v>23</v>
      </c>
      <c r="H28" s="74" t="s">
        <v>23</v>
      </c>
      <c r="I28" s="28" t="s">
        <v>22</v>
      </c>
      <c r="J28" s="28" t="s">
        <v>22</v>
      </c>
      <c r="K28" s="60" t="s">
        <v>21</v>
      </c>
      <c r="L28" s="60" t="s">
        <v>21</v>
      </c>
      <c r="M28" s="60" t="s">
        <v>21</v>
      </c>
      <c r="N28" s="60" t="s">
        <v>21</v>
      </c>
      <c r="O28" s="28" t="s">
        <v>22</v>
      </c>
      <c r="P28" s="28" t="s">
        <v>22</v>
      </c>
      <c r="Q28" s="60" t="s">
        <v>21</v>
      </c>
      <c r="R28" s="60" t="s">
        <v>21</v>
      </c>
      <c r="S28" s="60" t="s">
        <v>21</v>
      </c>
      <c r="T28" s="60" t="s">
        <v>21</v>
      </c>
      <c r="U28" s="28" t="s">
        <v>22</v>
      </c>
      <c r="V28" s="28" t="s">
        <v>22</v>
      </c>
      <c r="W28" s="78" t="s">
        <v>29</v>
      </c>
      <c r="X28" s="78" t="s">
        <v>29</v>
      </c>
      <c r="Y28" s="78" t="s">
        <v>29</v>
      </c>
      <c r="Z28" s="78" t="s">
        <v>29</v>
      </c>
      <c r="AA28" s="28" t="s">
        <v>22</v>
      </c>
      <c r="AB28" s="28" t="s">
        <v>22</v>
      </c>
      <c r="AC28" s="74" t="s">
        <v>23</v>
      </c>
      <c r="AD28" s="74" t="s">
        <v>23</v>
      </c>
      <c r="AE28" s="74" t="s">
        <v>23</v>
      </c>
      <c r="AF28" s="74" t="s">
        <v>23</v>
      </c>
      <c r="AG28" s="28" t="s">
        <v>22</v>
      </c>
      <c r="AH28" s="28" t="s">
        <v>22</v>
      </c>
      <c r="AI28" s="90" t="s">
        <v>21</v>
      </c>
      <c r="AJ28" s="19"/>
      <c r="AK28" s="20"/>
      <c r="AL28" s="21">
        <f t="shared" si="0"/>
        <v>0</v>
      </c>
      <c r="AM28" s="20">
        <f t="shared" si="1"/>
        <v>0</v>
      </c>
      <c r="AN28" s="19"/>
      <c r="AO28" s="20"/>
      <c r="AP28" s="21">
        <f t="shared" si="2"/>
        <v>0</v>
      </c>
      <c r="AQ28" s="20">
        <f t="shared" si="3"/>
        <v>0</v>
      </c>
      <c r="AR28" s="19"/>
      <c r="AS28" s="21">
        <f t="shared" si="4"/>
        <v>21</v>
      </c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</row>
    <row r="29" spans="2:60">
      <c r="B29" s="276"/>
      <c r="C29" s="22" t="s">
        <v>82</v>
      </c>
      <c r="D29" s="20" t="s">
        <v>83</v>
      </c>
      <c r="E29" s="60" t="s">
        <v>21</v>
      </c>
      <c r="F29" s="60" t="s">
        <v>21</v>
      </c>
      <c r="G29" s="28" t="s">
        <v>22</v>
      </c>
      <c r="H29" s="28" t="s">
        <v>22</v>
      </c>
      <c r="I29" s="74" t="s">
        <v>23</v>
      </c>
      <c r="J29" s="74" t="s">
        <v>23</v>
      </c>
      <c r="K29" s="74" t="s">
        <v>23</v>
      </c>
      <c r="L29" s="74" t="s">
        <v>23</v>
      </c>
      <c r="M29" s="28" t="s">
        <v>22</v>
      </c>
      <c r="N29" s="28" t="s">
        <v>22</v>
      </c>
      <c r="O29" s="60" t="s">
        <v>21</v>
      </c>
      <c r="P29" s="60" t="s">
        <v>21</v>
      </c>
      <c r="Q29" s="60" t="s">
        <v>21</v>
      </c>
      <c r="R29" s="60" t="s">
        <v>21</v>
      </c>
      <c r="S29" s="28" t="s">
        <v>22</v>
      </c>
      <c r="T29" s="28" t="s">
        <v>22</v>
      </c>
      <c r="U29" s="60" t="s">
        <v>21</v>
      </c>
      <c r="V29" s="60" t="s">
        <v>21</v>
      </c>
      <c r="W29" s="60" t="s">
        <v>21</v>
      </c>
      <c r="X29" s="60" t="s">
        <v>21</v>
      </c>
      <c r="Y29" s="28" t="s">
        <v>22</v>
      </c>
      <c r="Z29" s="28" t="s">
        <v>22</v>
      </c>
      <c r="AA29" s="78" t="s">
        <v>29</v>
      </c>
      <c r="AB29" s="78" t="s">
        <v>29</v>
      </c>
      <c r="AC29" s="78" t="s">
        <v>29</v>
      </c>
      <c r="AD29" s="78" t="s">
        <v>29</v>
      </c>
      <c r="AE29" s="28" t="s">
        <v>22</v>
      </c>
      <c r="AF29" s="28" t="s">
        <v>22</v>
      </c>
      <c r="AG29" s="74" t="s">
        <v>23</v>
      </c>
      <c r="AH29" s="74" t="s">
        <v>23</v>
      </c>
      <c r="AI29" s="89" t="s">
        <v>23</v>
      </c>
      <c r="AJ29" s="19"/>
      <c r="AK29" s="20"/>
      <c r="AL29" s="21">
        <f t="shared" si="0"/>
        <v>0</v>
      </c>
      <c r="AM29" s="20">
        <f t="shared" si="1"/>
        <v>0</v>
      </c>
      <c r="AN29" s="19"/>
      <c r="AO29" s="20"/>
      <c r="AP29" s="21">
        <f t="shared" si="2"/>
        <v>0</v>
      </c>
      <c r="AQ29" s="20">
        <f t="shared" si="3"/>
        <v>0</v>
      </c>
      <c r="AR29" s="19"/>
      <c r="AS29" s="21">
        <f t="shared" si="4"/>
        <v>21</v>
      </c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</row>
    <row r="30" spans="2:60">
      <c r="B30" s="276"/>
      <c r="C30" s="20" t="s">
        <v>85</v>
      </c>
      <c r="D30" s="20" t="s">
        <v>86</v>
      </c>
      <c r="E30" s="28" t="s">
        <v>22</v>
      </c>
      <c r="F30" s="28" t="s">
        <v>22</v>
      </c>
      <c r="G30" s="60" t="s">
        <v>21</v>
      </c>
      <c r="H30" s="60" t="s">
        <v>21</v>
      </c>
      <c r="I30" s="60" t="s">
        <v>21</v>
      </c>
      <c r="J30" s="60" t="s">
        <v>21</v>
      </c>
      <c r="K30" s="75" t="s">
        <v>26</v>
      </c>
      <c r="L30" s="28" t="s">
        <v>22</v>
      </c>
      <c r="M30" s="75" t="s">
        <v>176</v>
      </c>
      <c r="N30" s="74" t="s">
        <v>23</v>
      </c>
      <c r="O30" s="74" t="s">
        <v>23</v>
      </c>
      <c r="P30" s="74" t="s">
        <v>23</v>
      </c>
      <c r="Q30" s="28" t="s">
        <v>22</v>
      </c>
      <c r="R30" s="28" t="s">
        <v>22</v>
      </c>
      <c r="S30" s="74" t="s">
        <v>23</v>
      </c>
      <c r="T30" s="74" t="s">
        <v>23</v>
      </c>
      <c r="U30" s="74" t="s">
        <v>23</v>
      </c>
      <c r="V30" s="74" t="s">
        <v>23</v>
      </c>
      <c r="W30" s="28" t="s">
        <v>22</v>
      </c>
      <c r="X30" s="28" t="s">
        <v>22</v>
      </c>
      <c r="Y30" s="60" t="s">
        <v>21</v>
      </c>
      <c r="Z30" s="60" t="s">
        <v>21</v>
      </c>
      <c r="AA30" s="60" t="s">
        <v>21</v>
      </c>
      <c r="AB30" s="60" t="s">
        <v>21</v>
      </c>
      <c r="AC30" s="28" t="s">
        <v>22</v>
      </c>
      <c r="AD30" s="28" t="s">
        <v>22</v>
      </c>
      <c r="AE30" s="78" t="s">
        <v>29</v>
      </c>
      <c r="AF30" s="78" t="s">
        <v>29</v>
      </c>
      <c r="AG30" s="78" t="s">
        <v>29</v>
      </c>
      <c r="AH30" s="78" t="s">
        <v>29</v>
      </c>
      <c r="AI30" s="91" t="s">
        <v>22</v>
      </c>
      <c r="AJ30" s="19"/>
      <c r="AK30" s="20"/>
      <c r="AL30" s="21">
        <f t="shared" si="0"/>
        <v>0</v>
      </c>
      <c r="AM30" s="20">
        <f t="shared" si="1"/>
        <v>0</v>
      </c>
      <c r="AN30" s="19"/>
      <c r="AO30" s="26"/>
      <c r="AP30" s="21">
        <f t="shared" si="2"/>
        <v>0</v>
      </c>
      <c r="AQ30" s="44">
        <f t="shared" si="3"/>
        <v>0</v>
      </c>
      <c r="AR30" s="19"/>
      <c r="AS30" s="21">
        <f t="shared" si="4"/>
        <v>19</v>
      </c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</row>
    <row r="31" spans="2:60">
      <c r="B31" s="276"/>
      <c r="C31" s="22" t="s">
        <v>87</v>
      </c>
      <c r="D31" s="20" t="s">
        <v>88</v>
      </c>
      <c r="E31" s="74" t="s">
        <v>23</v>
      </c>
      <c r="F31" s="74" t="s">
        <v>23</v>
      </c>
      <c r="G31" s="74" t="s">
        <v>23</v>
      </c>
      <c r="H31" s="74" t="s">
        <v>23</v>
      </c>
      <c r="I31" s="28" t="s">
        <v>22</v>
      </c>
      <c r="J31" s="28" t="s">
        <v>22</v>
      </c>
      <c r="K31" s="74" t="s">
        <v>23</v>
      </c>
      <c r="L31" s="74" t="s">
        <v>23</v>
      </c>
      <c r="M31" s="74" t="s">
        <v>23</v>
      </c>
      <c r="N31" s="74" t="s">
        <v>23</v>
      </c>
      <c r="O31" s="28" t="s">
        <v>22</v>
      </c>
      <c r="P31" s="28" t="s">
        <v>22</v>
      </c>
      <c r="Q31" s="74" t="s">
        <v>23</v>
      </c>
      <c r="R31" s="74" t="s">
        <v>23</v>
      </c>
      <c r="S31" s="74" t="s">
        <v>23</v>
      </c>
      <c r="T31" s="74" t="s">
        <v>23</v>
      </c>
      <c r="U31" s="28" t="s">
        <v>22</v>
      </c>
      <c r="V31" s="28" t="s">
        <v>22</v>
      </c>
      <c r="W31" s="74" t="s">
        <v>23</v>
      </c>
      <c r="X31" s="74" t="s">
        <v>23</v>
      </c>
      <c r="Y31" s="74" t="s">
        <v>23</v>
      </c>
      <c r="Z31" s="74" t="s">
        <v>23</v>
      </c>
      <c r="AA31" s="28" t="s">
        <v>22</v>
      </c>
      <c r="AB31" s="28" t="s">
        <v>22</v>
      </c>
      <c r="AC31" s="60" t="s">
        <v>21</v>
      </c>
      <c r="AD31" s="60" t="s">
        <v>21</v>
      </c>
      <c r="AE31" s="60" t="s">
        <v>21</v>
      </c>
      <c r="AF31" s="60" t="s">
        <v>21</v>
      </c>
      <c r="AG31" s="28" t="s">
        <v>22</v>
      </c>
      <c r="AH31" s="28" t="s">
        <v>22</v>
      </c>
      <c r="AI31" s="107" t="s">
        <v>29</v>
      </c>
      <c r="AJ31" s="19"/>
      <c r="AK31" s="20"/>
      <c r="AL31" s="21">
        <f t="shared" si="0"/>
        <v>0</v>
      </c>
      <c r="AM31" s="20">
        <f t="shared" si="1"/>
        <v>0</v>
      </c>
      <c r="AN31" s="19"/>
      <c r="AO31" s="20"/>
      <c r="AP31" s="21">
        <f t="shared" si="2"/>
        <v>0</v>
      </c>
      <c r="AQ31" s="20">
        <f t="shared" si="3"/>
        <v>0</v>
      </c>
      <c r="AR31" s="19"/>
      <c r="AS31" s="21">
        <f t="shared" si="4"/>
        <v>21</v>
      </c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</row>
    <row r="32" spans="2:60">
      <c r="B32" s="276"/>
      <c r="C32" s="20" t="s">
        <v>89</v>
      </c>
      <c r="D32" s="20" t="s">
        <v>90</v>
      </c>
      <c r="E32" s="78" t="s">
        <v>29</v>
      </c>
      <c r="F32" s="78" t="s">
        <v>29</v>
      </c>
      <c r="G32" s="28" t="s">
        <v>22</v>
      </c>
      <c r="H32" s="28" t="s">
        <v>22</v>
      </c>
      <c r="I32" s="74" t="s">
        <v>23</v>
      </c>
      <c r="J32" s="74" t="s">
        <v>23</v>
      </c>
      <c r="K32" s="74" t="s">
        <v>23</v>
      </c>
      <c r="L32" s="74" t="s">
        <v>23</v>
      </c>
      <c r="M32" s="28" t="s">
        <v>22</v>
      </c>
      <c r="N32" s="28" t="s">
        <v>22</v>
      </c>
      <c r="O32" s="60" t="s">
        <v>21</v>
      </c>
      <c r="P32" s="60" t="s">
        <v>21</v>
      </c>
      <c r="Q32" s="60" t="s">
        <v>21</v>
      </c>
      <c r="R32" s="60" t="s">
        <v>21</v>
      </c>
      <c r="S32" s="28" t="s">
        <v>22</v>
      </c>
      <c r="T32" s="28" t="s">
        <v>22</v>
      </c>
      <c r="U32" s="74" t="s">
        <v>23</v>
      </c>
      <c r="V32" s="74" t="s">
        <v>23</v>
      </c>
      <c r="W32" s="74" t="s">
        <v>23</v>
      </c>
      <c r="X32" s="74" t="s">
        <v>23</v>
      </c>
      <c r="Y32" s="28" t="s">
        <v>22</v>
      </c>
      <c r="Z32" s="28" t="s">
        <v>22</v>
      </c>
      <c r="AA32" s="60" t="s">
        <v>21</v>
      </c>
      <c r="AB32" s="60" t="s">
        <v>21</v>
      </c>
      <c r="AC32" s="60" t="s">
        <v>21</v>
      </c>
      <c r="AD32" s="60" t="s">
        <v>21</v>
      </c>
      <c r="AE32" s="28" t="s">
        <v>22</v>
      </c>
      <c r="AF32" s="28" t="s">
        <v>22</v>
      </c>
      <c r="AG32" s="74" t="s">
        <v>23</v>
      </c>
      <c r="AH32" s="74" t="s">
        <v>23</v>
      </c>
      <c r="AI32" s="89" t="s">
        <v>23</v>
      </c>
      <c r="AJ32" s="19"/>
      <c r="AK32" s="20"/>
      <c r="AL32" s="21">
        <f t="shared" si="0"/>
        <v>0</v>
      </c>
      <c r="AM32" s="20">
        <f t="shared" si="1"/>
        <v>0</v>
      </c>
      <c r="AN32" s="19"/>
      <c r="AO32" s="20"/>
      <c r="AP32" s="21">
        <f t="shared" si="2"/>
        <v>0</v>
      </c>
      <c r="AQ32" s="20">
        <f t="shared" si="3"/>
        <v>0</v>
      </c>
      <c r="AR32" s="19"/>
      <c r="AS32" s="21">
        <f t="shared" si="4"/>
        <v>21</v>
      </c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</row>
    <row r="33" spans="2:60">
      <c r="B33" s="276"/>
      <c r="C33" s="22" t="s">
        <v>91</v>
      </c>
      <c r="D33" s="20" t="s">
        <v>92</v>
      </c>
      <c r="E33" s="28" t="s">
        <v>22</v>
      </c>
      <c r="F33" s="60" t="s">
        <v>21</v>
      </c>
      <c r="G33" s="60" t="s">
        <v>21</v>
      </c>
      <c r="H33" s="60" t="s">
        <v>21</v>
      </c>
      <c r="I33" s="60" t="s">
        <v>21</v>
      </c>
      <c r="J33" s="28" t="s">
        <v>22</v>
      </c>
      <c r="K33" s="28" t="s">
        <v>22</v>
      </c>
      <c r="L33" s="74" t="s">
        <v>23</v>
      </c>
      <c r="M33" s="74" t="s">
        <v>23</v>
      </c>
      <c r="N33" s="74" t="s">
        <v>23</v>
      </c>
      <c r="O33" s="74" t="s">
        <v>23</v>
      </c>
      <c r="P33" s="28" t="s">
        <v>22</v>
      </c>
      <c r="Q33" s="28" t="s">
        <v>22</v>
      </c>
      <c r="R33" s="60" t="s">
        <v>21</v>
      </c>
      <c r="S33" s="60" t="s">
        <v>21</v>
      </c>
      <c r="T33" s="60" t="s">
        <v>21</v>
      </c>
      <c r="U33" s="60" t="s">
        <v>21</v>
      </c>
      <c r="V33" s="28" t="s">
        <v>22</v>
      </c>
      <c r="W33" s="28" t="s">
        <v>22</v>
      </c>
      <c r="X33" s="74" t="s">
        <v>23</v>
      </c>
      <c r="Y33" s="74" t="s">
        <v>23</v>
      </c>
      <c r="Z33" s="74" t="s">
        <v>23</v>
      </c>
      <c r="AA33" s="74" t="s">
        <v>23</v>
      </c>
      <c r="AB33" s="28" t="s">
        <v>22</v>
      </c>
      <c r="AC33" s="28" t="s">
        <v>22</v>
      </c>
      <c r="AD33" s="60" t="s">
        <v>21</v>
      </c>
      <c r="AE33" s="60" t="s">
        <v>21</v>
      </c>
      <c r="AF33" s="60" t="s">
        <v>21</v>
      </c>
      <c r="AG33" s="60" t="s">
        <v>21</v>
      </c>
      <c r="AH33" s="28" t="s">
        <v>22</v>
      </c>
      <c r="AI33" s="91" t="s">
        <v>22</v>
      </c>
      <c r="AJ33" s="19"/>
      <c r="AK33" s="20"/>
      <c r="AL33" s="21">
        <f t="shared" si="0"/>
        <v>0</v>
      </c>
      <c r="AM33" s="20">
        <f t="shared" si="1"/>
        <v>0</v>
      </c>
      <c r="AN33" s="19"/>
      <c r="AO33" s="20"/>
      <c r="AP33" s="21">
        <f t="shared" si="2"/>
        <v>0</v>
      </c>
      <c r="AQ33" s="20">
        <f t="shared" si="3"/>
        <v>0</v>
      </c>
      <c r="AR33" s="19"/>
      <c r="AS33" s="21">
        <f t="shared" si="4"/>
        <v>20</v>
      </c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</row>
    <row r="34" spans="2:60" ht="15" customHeight="1">
      <c r="B34" s="276"/>
      <c r="C34" s="20" t="s">
        <v>93</v>
      </c>
      <c r="D34" s="20" t="s">
        <v>94</v>
      </c>
      <c r="E34" s="74" t="s">
        <v>23</v>
      </c>
      <c r="F34" s="74" t="s">
        <v>23</v>
      </c>
      <c r="G34" s="74" t="s">
        <v>23</v>
      </c>
      <c r="H34" s="28" t="s">
        <v>22</v>
      </c>
      <c r="I34" s="28" t="s">
        <v>22</v>
      </c>
      <c r="J34" s="60" t="s">
        <v>21</v>
      </c>
      <c r="K34" s="60" t="s">
        <v>21</v>
      </c>
      <c r="L34" s="60" t="s">
        <v>21</v>
      </c>
      <c r="M34" s="60" t="s">
        <v>21</v>
      </c>
      <c r="N34" s="28" t="s">
        <v>22</v>
      </c>
      <c r="O34" s="28" t="s">
        <v>22</v>
      </c>
      <c r="P34" s="74" t="s">
        <v>23</v>
      </c>
      <c r="Q34" s="74" t="s">
        <v>23</v>
      </c>
      <c r="R34" s="74" t="s">
        <v>23</v>
      </c>
      <c r="S34" s="74" t="s">
        <v>23</v>
      </c>
      <c r="T34" s="28" t="s">
        <v>22</v>
      </c>
      <c r="U34" s="28" t="s">
        <v>22</v>
      </c>
      <c r="V34" s="60" t="s">
        <v>21</v>
      </c>
      <c r="W34" s="60" t="s">
        <v>21</v>
      </c>
      <c r="X34" s="60" t="s">
        <v>21</v>
      </c>
      <c r="Y34" s="60" t="s">
        <v>21</v>
      </c>
      <c r="Z34" s="28" t="s">
        <v>22</v>
      </c>
      <c r="AA34" s="28" t="s">
        <v>22</v>
      </c>
      <c r="AB34" s="74" t="s">
        <v>23</v>
      </c>
      <c r="AC34" s="74" t="s">
        <v>23</v>
      </c>
      <c r="AD34" s="74" t="s">
        <v>23</v>
      </c>
      <c r="AE34" s="74" t="s">
        <v>23</v>
      </c>
      <c r="AF34" s="28" t="s">
        <v>22</v>
      </c>
      <c r="AG34" s="28" t="s">
        <v>22</v>
      </c>
      <c r="AH34" s="60" t="s">
        <v>21</v>
      </c>
      <c r="AI34" s="90" t="s">
        <v>21</v>
      </c>
      <c r="AJ34" s="19"/>
      <c r="AK34" s="20"/>
      <c r="AL34" s="21">
        <f t="shared" si="0"/>
        <v>0</v>
      </c>
      <c r="AM34" s="20">
        <f t="shared" si="1"/>
        <v>0</v>
      </c>
      <c r="AN34" s="19"/>
      <c r="AO34" s="20"/>
      <c r="AP34" s="21">
        <f t="shared" si="2"/>
        <v>0</v>
      </c>
      <c r="AQ34" s="20">
        <f t="shared" si="3"/>
        <v>0</v>
      </c>
      <c r="AR34" s="19"/>
      <c r="AS34" s="21">
        <f t="shared" si="4"/>
        <v>21</v>
      </c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</row>
    <row r="35" spans="2:60">
      <c r="B35" s="276"/>
      <c r="C35" s="108" t="s">
        <v>95</v>
      </c>
      <c r="D35" s="109" t="s">
        <v>96</v>
      </c>
      <c r="E35" s="111" t="s">
        <v>21</v>
      </c>
      <c r="F35" s="110" t="s">
        <v>22</v>
      </c>
      <c r="G35" s="110" t="s">
        <v>22</v>
      </c>
      <c r="H35" s="112" t="s">
        <v>23</v>
      </c>
      <c r="I35" s="112" t="s">
        <v>23</v>
      </c>
      <c r="J35" s="112" t="s">
        <v>23</v>
      </c>
      <c r="K35" s="112" t="s">
        <v>23</v>
      </c>
      <c r="L35" s="110" t="s">
        <v>22</v>
      </c>
      <c r="M35" s="110" t="s">
        <v>22</v>
      </c>
      <c r="N35" s="111" t="s">
        <v>21</v>
      </c>
      <c r="O35" s="111" t="s">
        <v>21</v>
      </c>
      <c r="P35" s="111" t="s">
        <v>21</v>
      </c>
      <c r="Q35" s="111" t="s">
        <v>21</v>
      </c>
      <c r="R35" s="110" t="s">
        <v>22</v>
      </c>
      <c r="S35" s="110" t="s">
        <v>22</v>
      </c>
      <c r="T35" s="112" t="s">
        <v>23</v>
      </c>
      <c r="U35" s="112" t="s">
        <v>23</v>
      </c>
      <c r="V35" s="112" t="s">
        <v>23</v>
      </c>
      <c r="W35" s="112" t="s">
        <v>23</v>
      </c>
      <c r="X35" s="110" t="s">
        <v>22</v>
      </c>
      <c r="Y35" s="110" t="s">
        <v>22</v>
      </c>
      <c r="Z35" s="111" t="s">
        <v>21</v>
      </c>
      <c r="AA35" s="111" t="s">
        <v>21</v>
      </c>
      <c r="AB35" s="111" t="s">
        <v>21</v>
      </c>
      <c r="AC35" s="111" t="s">
        <v>21</v>
      </c>
      <c r="AD35" s="110" t="s">
        <v>22</v>
      </c>
      <c r="AE35" s="110" t="s">
        <v>22</v>
      </c>
      <c r="AF35" s="112" t="s">
        <v>23</v>
      </c>
      <c r="AG35" s="112" t="s">
        <v>23</v>
      </c>
      <c r="AH35" s="112" t="s">
        <v>23</v>
      </c>
      <c r="AI35" s="125" t="s">
        <v>23</v>
      </c>
      <c r="AJ35" s="19"/>
      <c r="AK35" s="20"/>
      <c r="AL35" s="21">
        <f t="shared" si="0"/>
        <v>0</v>
      </c>
      <c r="AM35" s="20">
        <f t="shared" si="1"/>
        <v>0</v>
      </c>
      <c r="AN35" s="19"/>
      <c r="AO35" s="20"/>
      <c r="AP35" s="21">
        <f t="shared" si="2"/>
        <v>0</v>
      </c>
      <c r="AQ35" s="20">
        <f t="shared" si="3"/>
        <v>0</v>
      </c>
      <c r="AR35" s="19"/>
      <c r="AS35" s="21">
        <f t="shared" si="4"/>
        <v>21</v>
      </c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</row>
    <row r="36" spans="2:60">
      <c r="B36" s="285" t="s">
        <v>97</v>
      </c>
      <c r="C36" s="88" t="s">
        <v>98</v>
      </c>
      <c r="D36" s="88" t="s">
        <v>99</v>
      </c>
      <c r="E36" s="119" t="s">
        <v>66</v>
      </c>
      <c r="F36" s="103" t="s">
        <v>22</v>
      </c>
      <c r="G36" s="103" t="s">
        <v>22</v>
      </c>
      <c r="H36" s="118" t="s">
        <v>100</v>
      </c>
      <c r="I36" s="118" t="s">
        <v>100</v>
      </c>
      <c r="J36" s="118" t="s">
        <v>100</v>
      </c>
      <c r="K36" s="118" t="s">
        <v>100</v>
      </c>
      <c r="L36" s="103" t="s">
        <v>22</v>
      </c>
      <c r="M36" s="103" t="s">
        <v>22</v>
      </c>
      <c r="N36" s="119" t="s">
        <v>66</v>
      </c>
      <c r="O36" s="119" t="s">
        <v>66</v>
      </c>
      <c r="P36" s="119" t="s">
        <v>66</v>
      </c>
      <c r="Q36" s="119" t="s">
        <v>66</v>
      </c>
      <c r="R36" s="103" t="s">
        <v>22</v>
      </c>
      <c r="S36" s="103" t="s">
        <v>22</v>
      </c>
      <c r="T36" s="118" t="s">
        <v>100</v>
      </c>
      <c r="U36" s="118" t="s">
        <v>100</v>
      </c>
      <c r="V36" s="118" t="s">
        <v>100</v>
      </c>
      <c r="W36" s="118" t="s">
        <v>100</v>
      </c>
      <c r="X36" s="103" t="s">
        <v>22</v>
      </c>
      <c r="Y36" s="103" t="s">
        <v>22</v>
      </c>
      <c r="Z36" s="119" t="s">
        <v>66</v>
      </c>
      <c r="AA36" s="119" t="s">
        <v>66</v>
      </c>
      <c r="AB36" s="119" t="s">
        <v>66</v>
      </c>
      <c r="AC36" s="119" t="s">
        <v>66</v>
      </c>
      <c r="AD36" s="103" t="s">
        <v>22</v>
      </c>
      <c r="AE36" s="103" t="s">
        <v>22</v>
      </c>
      <c r="AF36" s="118" t="s">
        <v>100</v>
      </c>
      <c r="AG36" s="118" t="s">
        <v>100</v>
      </c>
      <c r="AH36" s="118" t="s">
        <v>100</v>
      </c>
      <c r="AI36" s="204" t="s">
        <v>100</v>
      </c>
      <c r="AJ36" s="19"/>
      <c r="AK36" s="20"/>
      <c r="AL36" s="21">
        <f t="shared" si="0"/>
        <v>0</v>
      </c>
      <c r="AM36" s="20">
        <f t="shared" si="1"/>
        <v>0</v>
      </c>
      <c r="AN36" s="19"/>
      <c r="AO36" s="20"/>
      <c r="AP36" s="21">
        <f t="shared" si="2"/>
        <v>0</v>
      </c>
      <c r="AQ36" s="20">
        <f t="shared" si="3"/>
        <v>0</v>
      </c>
      <c r="AR36" s="19"/>
      <c r="AS36" s="21">
        <f t="shared" si="4"/>
        <v>21</v>
      </c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</row>
    <row r="37" spans="2:60">
      <c r="B37" s="278"/>
      <c r="C37" s="22" t="s">
        <v>101</v>
      </c>
      <c r="D37" s="20" t="s">
        <v>102</v>
      </c>
      <c r="E37" s="85" t="s">
        <v>100</v>
      </c>
      <c r="F37" s="85" t="s">
        <v>100</v>
      </c>
      <c r="G37" s="85" t="s">
        <v>100</v>
      </c>
      <c r="H37" s="28" t="s">
        <v>22</v>
      </c>
      <c r="I37" s="28" t="s">
        <v>22</v>
      </c>
      <c r="J37" s="79" t="s">
        <v>66</v>
      </c>
      <c r="K37" s="79" t="s">
        <v>66</v>
      </c>
      <c r="L37" s="79" t="s">
        <v>66</v>
      </c>
      <c r="M37" s="79" t="s">
        <v>66</v>
      </c>
      <c r="N37" s="28" t="s">
        <v>22</v>
      </c>
      <c r="O37" s="28" t="s">
        <v>22</v>
      </c>
      <c r="P37" s="85" t="s">
        <v>100</v>
      </c>
      <c r="Q37" s="85" t="s">
        <v>100</v>
      </c>
      <c r="R37" s="85" t="s">
        <v>100</v>
      </c>
      <c r="S37" s="85" t="s">
        <v>100</v>
      </c>
      <c r="T37" s="28" t="s">
        <v>22</v>
      </c>
      <c r="U37" s="28" t="s">
        <v>22</v>
      </c>
      <c r="V37" s="79" t="s">
        <v>66</v>
      </c>
      <c r="W37" s="79" t="s">
        <v>66</v>
      </c>
      <c r="X37" s="79" t="s">
        <v>66</v>
      </c>
      <c r="Y37" s="79" t="s">
        <v>66</v>
      </c>
      <c r="Z37" s="28" t="s">
        <v>22</v>
      </c>
      <c r="AA37" s="28" t="s">
        <v>22</v>
      </c>
      <c r="AB37" s="85" t="s">
        <v>100</v>
      </c>
      <c r="AC37" s="85" t="s">
        <v>100</v>
      </c>
      <c r="AD37" s="85" t="s">
        <v>100</v>
      </c>
      <c r="AE37" s="85" t="s">
        <v>100</v>
      </c>
      <c r="AF37" s="28" t="s">
        <v>22</v>
      </c>
      <c r="AG37" s="28" t="s">
        <v>22</v>
      </c>
      <c r="AH37" s="79" t="s">
        <v>66</v>
      </c>
      <c r="AI37" s="189" t="s">
        <v>66</v>
      </c>
      <c r="AJ37" s="19"/>
      <c r="AK37" s="20"/>
      <c r="AL37" s="21">
        <f t="shared" si="0"/>
        <v>0</v>
      </c>
      <c r="AM37" s="20">
        <f t="shared" si="1"/>
        <v>0</v>
      </c>
      <c r="AN37" s="19"/>
      <c r="AO37" s="20"/>
      <c r="AP37" s="21">
        <f t="shared" si="2"/>
        <v>0</v>
      </c>
      <c r="AQ37" s="20">
        <f t="shared" si="3"/>
        <v>0</v>
      </c>
      <c r="AR37" s="19"/>
      <c r="AS37" s="21">
        <f t="shared" si="4"/>
        <v>21</v>
      </c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</row>
    <row r="38" spans="2:60">
      <c r="B38" s="278"/>
      <c r="C38" s="20" t="s">
        <v>103</v>
      </c>
      <c r="D38" s="20" t="s">
        <v>104</v>
      </c>
      <c r="E38" s="28" t="s">
        <v>22</v>
      </c>
      <c r="F38" s="79" t="s">
        <v>66</v>
      </c>
      <c r="G38" s="79" t="s">
        <v>66</v>
      </c>
      <c r="H38" s="79" t="s">
        <v>66</v>
      </c>
      <c r="I38" s="79" t="s">
        <v>66</v>
      </c>
      <c r="J38" s="28" t="s">
        <v>22</v>
      </c>
      <c r="K38" s="28" t="s">
        <v>22</v>
      </c>
      <c r="L38" s="85" t="s">
        <v>100</v>
      </c>
      <c r="M38" s="85" t="s">
        <v>100</v>
      </c>
      <c r="N38" s="85" t="s">
        <v>100</v>
      </c>
      <c r="O38" s="85" t="s">
        <v>100</v>
      </c>
      <c r="P38" s="28" t="s">
        <v>22</v>
      </c>
      <c r="Q38" s="28" t="s">
        <v>22</v>
      </c>
      <c r="R38" s="79" t="s">
        <v>66</v>
      </c>
      <c r="S38" s="79" t="s">
        <v>66</v>
      </c>
      <c r="T38" s="79" t="s">
        <v>66</v>
      </c>
      <c r="U38" s="79" t="s">
        <v>66</v>
      </c>
      <c r="V38" s="28" t="s">
        <v>22</v>
      </c>
      <c r="W38" s="28" t="s">
        <v>22</v>
      </c>
      <c r="X38" s="85" t="s">
        <v>100</v>
      </c>
      <c r="Y38" s="85" t="s">
        <v>100</v>
      </c>
      <c r="Z38" s="85" t="s">
        <v>100</v>
      </c>
      <c r="AA38" s="85" t="s">
        <v>100</v>
      </c>
      <c r="AB38" s="28" t="s">
        <v>22</v>
      </c>
      <c r="AC38" s="28" t="s">
        <v>22</v>
      </c>
      <c r="AD38" s="79" t="s">
        <v>66</v>
      </c>
      <c r="AE38" s="79" t="s">
        <v>66</v>
      </c>
      <c r="AF38" s="79" t="s">
        <v>66</v>
      </c>
      <c r="AG38" s="79" t="s">
        <v>66</v>
      </c>
      <c r="AH38" s="28" t="s">
        <v>22</v>
      </c>
      <c r="AI38" s="91" t="s">
        <v>22</v>
      </c>
      <c r="AJ38" s="19"/>
      <c r="AK38" s="20"/>
      <c r="AL38" s="21">
        <f t="shared" si="0"/>
        <v>0</v>
      </c>
      <c r="AM38" s="20">
        <f t="shared" si="1"/>
        <v>0</v>
      </c>
      <c r="AN38" s="19"/>
      <c r="AO38" s="20"/>
      <c r="AP38" s="21">
        <f t="shared" si="2"/>
        <v>0</v>
      </c>
      <c r="AQ38" s="20">
        <f t="shared" si="3"/>
        <v>0</v>
      </c>
      <c r="AR38" s="19"/>
      <c r="AS38" s="21">
        <f t="shared" si="4"/>
        <v>20</v>
      </c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</row>
    <row r="39" spans="2:60">
      <c r="B39" s="279"/>
      <c r="C39" s="108" t="s">
        <v>105</v>
      </c>
      <c r="D39" s="109" t="s">
        <v>106</v>
      </c>
      <c r="E39" s="28" t="s">
        <v>22</v>
      </c>
      <c r="F39" s="79" t="s">
        <v>66</v>
      </c>
      <c r="G39" s="79" t="s">
        <v>66</v>
      </c>
      <c r="H39" s="75" t="s">
        <v>26</v>
      </c>
      <c r="I39" s="79" t="s">
        <v>66</v>
      </c>
      <c r="J39" s="28" t="s">
        <v>22</v>
      </c>
      <c r="K39" s="28" t="s">
        <v>22</v>
      </c>
      <c r="L39" s="85" t="s">
        <v>100</v>
      </c>
      <c r="M39" s="85" t="s">
        <v>100</v>
      </c>
      <c r="N39" s="85" t="s">
        <v>100</v>
      </c>
      <c r="O39" s="85" t="s">
        <v>100</v>
      </c>
      <c r="P39" s="28" t="s">
        <v>22</v>
      </c>
      <c r="Q39" s="28" t="s">
        <v>22</v>
      </c>
      <c r="R39" s="79" t="s">
        <v>66</v>
      </c>
      <c r="S39" s="79" t="s">
        <v>66</v>
      </c>
      <c r="T39" s="79" t="s">
        <v>66</v>
      </c>
      <c r="U39" s="79" t="s">
        <v>66</v>
      </c>
      <c r="V39" s="28" t="s">
        <v>22</v>
      </c>
      <c r="W39" s="28" t="s">
        <v>22</v>
      </c>
      <c r="X39" s="85" t="s">
        <v>100</v>
      </c>
      <c r="Y39" s="85" t="s">
        <v>100</v>
      </c>
      <c r="Z39" s="85" t="s">
        <v>100</v>
      </c>
      <c r="AA39" s="85" t="s">
        <v>100</v>
      </c>
      <c r="AB39" s="28" t="s">
        <v>22</v>
      </c>
      <c r="AC39" s="28" t="s">
        <v>22</v>
      </c>
      <c r="AD39" s="79" t="s">
        <v>66</v>
      </c>
      <c r="AE39" s="79" t="s">
        <v>66</v>
      </c>
      <c r="AF39" s="79" t="s">
        <v>66</v>
      </c>
      <c r="AG39" s="79" t="s">
        <v>66</v>
      </c>
      <c r="AH39" s="28" t="s">
        <v>22</v>
      </c>
      <c r="AI39" s="91" t="s">
        <v>22</v>
      </c>
      <c r="AJ39" s="19"/>
      <c r="AK39" s="20"/>
      <c r="AL39" s="21">
        <f t="shared" si="0"/>
        <v>0</v>
      </c>
      <c r="AM39" s="20">
        <f t="shared" si="1"/>
        <v>0</v>
      </c>
      <c r="AN39" s="19"/>
      <c r="AO39" s="20"/>
      <c r="AP39" s="21">
        <f t="shared" si="2"/>
        <v>0</v>
      </c>
      <c r="AQ39" s="20">
        <f t="shared" si="3"/>
        <v>0</v>
      </c>
      <c r="AR39" s="19"/>
      <c r="AS39" s="21">
        <f t="shared" si="4"/>
        <v>19</v>
      </c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</row>
    <row r="40" spans="2:60" ht="15" customHeight="1">
      <c r="B40" s="280" t="s">
        <v>108</v>
      </c>
      <c r="C40" s="88" t="s">
        <v>109</v>
      </c>
      <c r="D40" s="88" t="s">
        <v>110</v>
      </c>
      <c r="E40" s="205" t="s">
        <v>113</v>
      </c>
      <c r="F40" s="205" t="s">
        <v>113</v>
      </c>
      <c r="G40" s="205" t="s">
        <v>113</v>
      </c>
      <c r="H40" s="205" t="s">
        <v>113</v>
      </c>
      <c r="I40" s="103" t="s">
        <v>22</v>
      </c>
      <c r="J40" s="103" t="s">
        <v>22</v>
      </c>
      <c r="K40" s="205" t="s">
        <v>113</v>
      </c>
      <c r="L40" s="205" t="s">
        <v>113</v>
      </c>
      <c r="M40" s="205" t="s">
        <v>113</v>
      </c>
      <c r="N40" s="205" t="s">
        <v>113</v>
      </c>
      <c r="O40" s="205" t="s">
        <v>113</v>
      </c>
      <c r="P40" s="103" t="s">
        <v>22</v>
      </c>
      <c r="Q40" s="103" t="s">
        <v>22</v>
      </c>
      <c r="R40" s="205" t="s">
        <v>113</v>
      </c>
      <c r="S40" s="205" t="s">
        <v>113</v>
      </c>
      <c r="T40" s="205" t="s">
        <v>113</v>
      </c>
      <c r="U40" s="205" t="s">
        <v>113</v>
      </c>
      <c r="V40" s="205" t="s">
        <v>113</v>
      </c>
      <c r="W40" s="103" t="s">
        <v>22</v>
      </c>
      <c r="X40" s="103" t="s">
        <v>22</v>
      </c>
      <c r="Y40" s="205" t="s">
        <v>113</v>
      </c>
      <c r="Z40" s="205" t="s">
        <v>113</v>
      </c>
      <c r="AA40" s="205" t="s">
        <v>113</v>
      </c>
      <c r="AB40" s="205" t="s">
        <v>113</v>
      </c>
      <c r="AC40" s="205" t="s">
        <v>113</v>
      </c>
      <c r="AD40" s="103" t="s">
        <v>22</v>
      </c>
      <c r="AE40" s="103" t="s">
        <v>22</v>
      </c>
      <c r="AF40" s="205" t="s">
        <v>113</v>
      </c>
      <c r="AG40" s="205" t="s">
        <v>113</v>
      </c>
      <c r="AH40" s="205" t="s">
        <v>113</v>
      </c>
      <c r="AI40" s="210" t="s">
        <v>113</v>
      </c>
      <c r="AJ40" s="19"/>
      <c r="AK40" s="20"/>
      <c r="AL40" s="21">
        <f t="shared" si="0"/>
        <v>0</v>
      </c>
      <c r="AM40" s="20">
        <f t="shared" si="1"/>
        <v>0</v>
      </c>
      <c r="AN40" s="19"/>
      <c r="AO40" s="20"/>
      <c r="AP40" s="21">
        <f t="shared" si="2"/>
        <v>0</v>
      </c>
      <c r="AQ40" s="20">
        <f t="shared" si="3"/>
        <v>0</v>
      </c>
      <c r="AR40" s="19"/>
      <c r="AS40" s="21">
        <f t="shared" si="4"/>
        <v>23</v>
      </c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</row>
    <row r="41" spans="2:60">
      <c r="B41" s="276"/>
      <c r="C41" s="22" t="s">
        <v>111</v>
      </c>
      <c r="D41" s="20" t="s">
        <v>112</v>
      </c>
      <c r="E41" s="80" t="s">
        <v>113</v>
      </c>
      <c r="F41" s="80" t="s">
        <v>113</v>
      </c>
      <c r="G41" s="80" t="s">
        <v>113</v>
      </c>
      <c r="H41" s="80" t="s">
        <v>113</v>
      </c>
      <c r="I41" s="28" t="s">
        <v>22</v>
      </c>
      <c r="J41" s="28" t="s">
        <v>22</v>
      </c>
      <c r="K41" s="80" t="s">
        <v>113</v>
      </c>
      <c r="L41" s="80" t="s">
        <v>113</v>
      </c>
      <c r="M41" s="80" t="s">
        <v>113</v>
      </c>
      <c r="N41" s="80" t="s">
        <v>113</v>
      </c>
      <c r="O41" s="80" t="s">
        <v>113</v>
      </c>
      <c r="P41" s="28" t="s">
        <v>22</v>
      </c>
      <c r="Q41" s="28" t="s">
        <v>22</v>
      </c>
      <c r="R41" s="80" t="s">
        <v>113</v>
      </c>
      <c r="S41" s="80" t="s">
        <v>113</v>
      </c>
      <c r="T41" s="80" t="s">
        <v>113</v>
      </c>
      <c r="U41" s="80" t="s">
        <v>113</v>
      </c>
      <c r="V41" s="80" t="s">
        <v>113</v>
      </c>
      <c r="W41" s="28" t="s">
        <v>22</v>
      </c>
      <c r="X41" s="28" t="s">
        <v>22</v>
      </c>
      <c r="Y41" s="80" t="s">
        <v>113</v>
      </c>
      <c r="Z41" s="80" t="s">
        <v>113</v>
      </c>
      <c r="AA41" s="80" t="s">
        <v>113</v>
      </c>
      <c r="AB41" s="80" t="s">
        <v>113</v>
      </c>
      <c r="AC41" s="80" t="s">
        <v>113</v>
      </c>
      <c r="AD41" s="28" t="s">
        <v>22</v>
      </c>
      <c r="AE41" s="28" t="s">
        <v>22</v>
      </c>
      <c r="AF41" s="80" t="s">
        <v>113</v>
      </c>
      <c r="AG41" s="80" t="s">
        <v>113</v>
      </c>
      <c r="AH41" s="80" t="s">
        <v>113</v>
      </c>
      <c r="AI41" s="190" t="s">
        <v>113</v>
      </c>
      <c r="AJ41" s="19"/>
      <c r="AK41" s="20"/>
      <c r="AL41" s="21">
        <f t="shared" si="0"/>
        <v>0</v>
      </c>
      <c r="AM41" s="20">
        <f t="shared" si="1"/>
        <v>0</v>
      </c>
      <c r="AN41" s="19"/>
      <c r="AO41" s="20"/>
      <c r="AP41" s="21">
        <f t="shared" si="2"/>
        <v>0</v>
      </c>
      <c r="AQ41" s="20">
        <f t="shared" si="3"/>
        <v>0</v>
      </c>
      <c r="AR41" s="19"/>
      <c r="AS41" s="21">
        <f t="shared" si="4"/>
        <v>23</v>
      </c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</row>
    <row r="42" spans="2:60">
      <c r="B42" s="276"/>
      <c r="C42" s="20" t="s">
        <v>114</v>
      </c>
      <c r="D42" s="20" t="s">
        <v>115</v>
      </c>
      <c r="E42" s="81" t="s">
        <v>116</v>
      </c>
      <c r="F42" s="81" t="s">
        <v>116</v>
      </c>
      <c r="G42" s="81" t="s">
        <v>116</v>
      </c>
      <c r="H42" s="81" t="s">
        <v>116</v>
      </c>
      <c r="I42" s="28" t="s">
        <v>22</v>
      </c>
      <c r="J42" s="28" t="s">
        <v>22</v>
      </c>
      <c r="K42" s="81" t="s">
        <v>116</v>
      </c>
      <c r="L42" s="81" t="s">
        <v>116</v>
      </c>
      <c r="M42" s="81" t="s">
        <v>116</v>
      </c>
      <c r="N42" s="81" t="s">
        <v>116</v>
      </c>
      <c r="O42" s="81" t="s">
        <v>116</v>
      </c>
      <c r="P42" s="28" t="s">
        <v>22</v>
      </c>
      <c r="Q42" s="28" t="s">
        <v>22</v>
      </c>
      <c r="R42" s="81" t="s">
        <v>116</v>
      </c>
      <c r="S42" s="81" t="s">
        <v>116</v>
      </c>
      <c r="T42" s="81" t="s">
        <v>116</v>
      </c>
      <c r="U42" s="81" t="s">
        <v>116</v>
      </c>
      <c r="V42" s="81" t="s">
        <v>116</v>
      </c>
      <c r="W42" s="28" t="s">
        <v>22</v>
      </c>
      <c r="X42" s="28" t="s">
        <v>22</v>
      </c>
      <c r="Y42" s="81" t="s">
        <v>116</v>
      </c>
      <c r="Z42" s="81" t="s">
        <v>116</v>
      </c>
      <c r="AA42" s="81" t="s">
        <v>116</v>
      </c>
      <c r="AB42" s="81" t="s">
        <v>116</v>
      </c>
      <c r="AC42" s="81" t="s">
        <v>116</v>
      </c>
      <c r="AD42" s="28" t="s">
        <v>22</v>
      </c>
      <c r="AE42" s="28" t="s">
        <v>22</v>
      </c>
      <c r="AF42" s="81" t="s">
        <v>116</v>
      </c>
      <c r="AG42" s="81" t="s">
        <v>116</v>
      </c>
      <c r="AH42" s="81" t="s">
        <v>116</v>
      </c>
      <c r="AI42" s="191" t="s">
        <v>116</v>
      </c>
      <c r="AJ42" s="19"/>
      <c r="AK42" s="20"/>
      <c r="AL42" s="21">
        <f t="shared" si="0"/>
        <v>0</v>
      </c>
      <c r="AM42" s="20">
        <f t="shared" si="1"/>
        <v>0</v>
      </c>
      <c r="AN42" s="19"/>
      <c r="AO42" s="26"/>
      <c r="AP42" s="21">
        <f t="shared" si="2"/>
        <v>0</v>
      </c>
      <c r="AQ42" s="44">
        <f t="shared" si="3"/>
        <v>0</v>
      </c>
      <c r="AR42" s="19"/>
      <c r="AS42" s="21">
        <f t="shared" si="4"/>
        <v>23</v>
      </c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</row>
    <row r="43" spans="2:60">
      <c r="B43" s="276"/>
      <c r="C43" s="22" t="s">
        <v>117</v>
      </c>
      <c r="D43" s="20" t="s">
        <v>118</v>
      </c>
      <c r="E43" s="60" t="s">
        <v>21</v>
      </c>
      <c r="F43" s="60" t="s">
        <v>21</v>
      </c>
      <c r="G43" s="60" t="s">
        <v>21</v>
      </c>
      <c r="H43" s="28" t="s">
        <v>22</v>
      </c>
      <c r="I43" s="28" t="s">
        <v>22</v>
      </c>
      <c r="J43" s="74" t="s">
        <v>23</v>
      </c>
      <c r="K43" s="74" t="s">
        <v>23</v>
      </c>
      <c r="L43" s="74" t="s">
        <v>23</v>
      </c>
      <c r="M43" s="74" t="s">
        <v>23</v>
      </c>
      <c r="N43" s="28" t="s">
        <v>22</v>
      </c>
      <c r="O43" s="28" t="s">
        <v>22</v>
      </c>
      <c r="P43" s="60" t="s">
        <v>21</v>
      </c>
      <c r="Q43" s="60" t="s">
        <v>21</v>
      </c>
      <c r="R43" s="60" t="s">
        <v>21</v>
      </c>
      <c r="S43" s="60" t="s">
        <v>21</v>
      </c>
      <c r="T43" s="28" t="s">
        <v>22</v>
      </c>
      <c r="U43" s="28" t="s">
        <v>22</v>
      </c>
      <c r="V43" s="74" t="s">
        <v>23</v>
      </c>
      <c r="W43" s="74" t="s">
        <v>23</v>
      </c>
      <c r="X43" s="74" t="s">
        <v>23</v>
      </c>
      <c r="Y43" s="74" t="s">
        <v>23</v>
      </c>
      <c r="Z43" s="28" t="s">
        <v>22</v>
      </c>
      <c r="AA43" s="28" t="s">
        <v>22</v>
      </c>
      <c r="AB43" s="60" t="s">
        <v>21</v>
      </c>
      <c r="AC43" s="60" t="s">
        <v>21</v>
      </c>
      <c r="AD43" s="60" t="s">
        <v>21</v>
      </c>
      <c r="AE43" s="60" t="s">
        <v>21</v>
      </c>
      <c r="AF43" s="28" t="s">
        <v>22</v>
      </c>
      <c r="AG43" s="28" t="s">
        <v>22</v>
      </c>
      <c r="AH43" s="74" t="s">
        <v>23</v>
      </c>
      <c r="AI43" s="89" t="s">
        <v>23</v>
      </c>
      <c r="AJ43" s="19"/>
      <c r="AK43" s="20"/>
      <c r="AL43" s="21">
        <f t="shared" si="0"/>
        <v>0</v>
      </c>
      <c r="AM43" s="20">
        <f t="shared" si="1"/>
        <v>0</v>
      </c>
      <c r="AN43" s="19"/>
      <c r="AO43" s="20"/>
      <c r="AP43" s="21">
        <f t="shared" si="2"/>
        <v>0</v>
      </c>
      <c r="AQ43" s="20">
        <f t="shared" si="3"/>
        <v>0</v>
      </c>
      <c r="AR43" s="19"/>
      <c r="AS43" s="21">
        <f t="shared" si="4"/>
        <v>21</v>
      </c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</row>
    <row r="44" spans="2:60">
      <c r="B44" s="276"/>
      <c r="C44" s="20" t="s">
        <v>119</v>
      </c>
      <c r="D44" s="20" t="s">
        <v>120</v>
      </c>
      <c r="E44" s="60" t="s">
        <v>21</v>
      </c>
      <c r="F44" s="60" t="s">
        <v>21</v>
      </c>
      <c r="G44" s="60" t="s">
        <v>21</v>
      </c>
      <c r="H44" s="28" t="s">
        <v>22</v>
      </c>
      <c r="I44" s="28" t="s">
        <v>22</v>
      </c>
      <c r="J44" s="74" t="s">
        <v>23</v>
      </c>
      <c r="K44" s="74" t="s">
        <v>23</v>
      </c>
      <c r="L44" s="74" t="s">
        <v>23</v>
      </c>
      <c r="M44" s="74" t="s">
        <v>23</v>
      </c>
      <c r="N44" s="28" t="s">
        <v>22</v>
      </c>
      <c r="O44" s="28" t="s">
        <v>22</v>
      </c>
      <c r="P44" s="60" t="s">
        <v>21</v>
      </c>
      <c r="Q44" s="60" t="s">
        <v>21</v>
      </c>
      <c r="R44" s="60" t="s">
        <v>21</v>
      </c>
      <c r="S44" s="60" t="s">
        <v>21</v>
      </c>
      <c r="T44" s="28" t="s">
        <v>22</v>
      </c>
      <c r="U44" s="28" t="s">
        <v>22</v>
      </c>
      <c r="V44" s="74" t="s">
        <v>23</v>
      </c>
      <c r="W44" s="74" t="s">
        <v>23</v>
      </c>
      <c r="X44" s="74" t="s">
        <v>23</v>
      </c>
      <c r="Y44" s="74" t="s">
        <v>23</v>
      </c>
      <c r="Z44" s="28" t="s">
        <v>22</v>
      </c>
      <c r="AA44" s="28" t="s">
        <v>22</v>
      </c>
      <c r="AB44" s="60" t="s">
        <v>21</v>
      </c>
      <c r="AC44" s="60" t="s">
        <v>21</v>
      </c>
      <c r="AD44" s="60" t="s">
        <v>21</v>
      </c>
      <c r="AE44" s="60" t="s">
        <v>21</v>
      </c>
      <c r="AF44" s="28" t="s">
        <v>22</v>
      </c>
      <c r="AG44" s="28" t="s">
        <v>22</v>
      </c>
      <c r="AH44" s="74" t="s">
        <v>23</v>
      </c>
      <c r="AI44" s="89" t="s">
        <v>23</v>
      </c>
      <c r="AJ44" s="19"/>
      <c r="AK44" s="20"/>
      <c r="AL44" s="21">
        <f t="shared" si="0"/>
        <v>0</v>
      </c>
      <c r="AM44" s="20">
        <f t="shared" si="1"/>
        <v>0</v>
      </c>
      <c r="AN44" s="19"/>
      <c r="AO44" s="20"/>
      <c r="AP44" s="21">
        <f t="shared" si="2"/>
        <v>0</v>
      </c>
      <c r="AQ44" s="20">
        <f t="shared" si="3"/>
        <v>0</v>
      </c>
      <c r="AR44" s="19"/>
      <c r="AS44" s="21">
        <f t="shared" si="4"/>
        <v>21</v>
      </c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</row>
    <row r="45" spans="2:60">
      <c r="B45" s="276"/>
      <c r="C45" s="22" t="s">
        <v>121</v>
      </c>
      <c r="D45" s="20" t="s">
        <v>122</v>
      </c>
      <c r="E45" s="74" t="s">
        <v>23</v>
      </c>
      <c r="F45" s="28" t="s">
        <v>22</v>
      </c>
      <c r="G45" s="28" t="s">
        <v>22</v>
      </c>
      <c r="H45" s="60" t="s">
        <v>21</v>
      </c>
      <c r="I45" s="60" t="s">
        <v>21</v>
      </c>
      <c r="J45" s="60" t="s">
        <v>21</v>
      </c>
      <c r="K45" s="60" t="s">
        <v>21</v>
      </c>
      <c r="L45" s="28" t="s">
        <v>22</v>
      </c>
      <c r="M45" s="28" t="s">
        <v>22</v>
      </c>
      <c r="N45" s="74" t="s">
        <v>23</v>
      </c>
      <c r="O45" s="74" t="s">
        <v>23</v>
      </c>
      <c r="P45" s="74" t="s">
        <v>23</v>
      </c>
      <c r="Q45" s="74" t="s">
        <v>23</v>
      </c>
      <c r="R45" s="28" t="s">
        <v>22</v>
      </c>
      <c r="S45" s="28" t="s">
        <v>22</v>
      </c>
      <c r="T45" s="60" t="s">
        <v>21</v>
      </c>
      <c r="U45" s="60" t="s">
        <v>21</v>
      </c>
      <c r="V45" s="60" t="s">
        <v>21</v>
      </c>
      <c r="W45" s="60" t="s">
        <v>21</v>
      </c>
      <c r="X45" s="28" t="s">
        <v>22</v>
      </c>
      <c r="Y45" s="28" t="s">
        <v>22</v>
      </c>
      <c r="Z45" s="74" t="s">
        <v>23</v>
      </c>
      <c r="AA45" s="74" t="s">
        <v>23</v>
      </c>
      <c r="AB45" s="74" t="s">
        <v>23</v>
      </c>
      <c r="AC45" s="74" t="s">
        <v>23</v>
      </c>
      <c r="AD45" s="28" t="s">
        <v>22</v>
      </c>
      <c r="AE45" s="28" t="s">
        <v>22</v>
      </c>
      <c r="AF45" s="60" t="s">
        <v>21</v>
      </c>
      <c r="AG45" s="60" t="s">
        <v>21</v>
      </c>
      <c r="AH45" s="60" t="s">
        <v>21</v>
      </c>
      <c r="AI45" s="90" t="s">
        <v>21</v>
      </c>
      <c r="AJ45" s="19"/>
      <c r="AK45" s="20"/>
      <c r="AL45" s="21">
        <f t="shared" si="0"/>
        <v>0</v>
      </c>
      <c r="AM45" s="20">
        <f t="shared" si="1"/>
        <v>0</v>
      </c>
      <c r="AN45" s="19"/>
      <c r="AO45" s="20"/>
      <c r="AP45" s="21">
        <f t="shared" si="2"/>
        <v>0</v>
      </c>
      <c r="AQ45" s="20">
        <f t="shared" si="3"/>
        <v>0</v>
      </c>
      <c r="AR45" s="19"/>
      <c r="AS45" s="21">
        <f t="shared" si="4"/>
        <v>21</v>
      </c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</row>
    <row r="46" spans="2:60" ht="15" customHeight="1">
      <c r="B46" s="276"/>
      <c r="C46" s="20" t="s">
        <v>124</v>
      </c>
      <c r="D46" s="20" t="s">
        <v>125</v>
      </c>
      <c r="E46" s="74" t="s">
        <v>23</v>
      </c>
      <c r="F46" s="28" t="s">
        <v>22</v>
      </c>
      <c r="G46" s="28" t="s">
        <v>22</v>
      </c>
      <c r="H46" s="60" t="s">
        <v>21</v>
      </c>
      <c r="I46" s="60" t="s">
        <v>21</v>
      </c>
      <c r="J46" s="60" t="s">
        <v>21</v>
      </c>
      <c r="K46" s="60" t="s">
        <v>21</v>
      </c>
      <c r="L46" s="28" t="s">
        <v>22</v>
      </c>
      <c r="M46" s="28" t="s">
        <v>22</v>
      </c>
      <c r="N46" s="74" t="s">
        <v>23</v>
      </c>
      <c r="O46" s="74" t="s">
        <v>23</v>
      </c>
      <c r="P46" s="74" t="s">
        <v>23</v>
      </c>
      <c r="Q46" s="74" t="s">
        <v>23</v>
      </c>
      <c r="R46" s="28" t="s">
        <v>22</v>
      </c>
      <c r="S46" s="28" t="s">
        <v>22</v>
      </c>
      <c r="T46" s="60" t="s">
        <v>21</v>
      </c>
      <c r="U46" s="60" t="s">
        <v>21</v>
      </c>
      <c r="V46" s="60" t="s">
        <v>21</v>
      </c>
      <c r="W46" s="60" t="s">
        <v>21</v>
      </c>
      <c r="X46" s="28" t="s">
        <v>22</v>
      </c>
      <c r="Y46" s="28" t="s">
        <v>22</v>
      </c>
      <c r="Z46" s="74" t="s">
        <v>23</v>
      </c>
      <c r="AA46" s="74" t="s">
        <v>23</v>
      </c>
      <c r="AB46" s="74" t="s">
        <v>23</v>
      </c>
      <c r="AC46" s="74" t="s">
        <v>23</v>
      </c>
      <c r="AD46" s="28" t="s">
        <v>22</v>
      </c>
      <c r="AE46" s="28" t="s">
        <v>22</v>
      </c>
      <c r="AF46" s="60" t="s">
        <v>21</v>
      </c>
      <c r="AG46" s="60" t="s">
        <v>21</v>
      </c>
      <c r="AH46" s="60" t="s">
        <v>21</v>
      </c>
      <c r="AI46" s="90" t="s">
        <v>21</v>
      </c>
      <c r="AJ46" s="19"/>
      <c r="AK46" s="20"/>
      <c r="AL46" s="21">
        <f t="shared" si="0"/>
        <v>0</v>
      </c>
      <c r="AM46" s="20">
        <f t="shared" si="1"/>
        <v>0</v>
      </c>
      <c r="AN46" s="19"/>
      <c r="AO46" s="20"/>
      <c r="AP46" s="21">
        <f t="shared" si="2"/>
        <v>0</v>
      </c>
      <c r="AQ46" s="20">
        <f t="shared" si="3"/>
        <v>0</v>
      </c>
      <c r="AR46" s="19"/>
      <c r="AS46" s="21">
        <f t="shared" si="4"/>
        <v>21</v>
      </c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</row>
    <row r="47" spans="2:60">
      <c r="B47" s="281"/>
      <c r="C47" s="92" t="s">
        <v>126</v>
      </c>
      <c r="D47" s="93" t="s">
        <v>127</v>
      </c>
      <c r="E47" s="94" t="s">
        <v>22</v>
      </c>
      <c r="F47" s="96" t="s">
        <v>23</v>
      </c>
      <c r="G47" s="96" t="s">
        <v>23</v>
      </c>
      <c r="H47" s="96" t="s">
        <v>23</v>
      </c>
      <c r="I47" s="96" t="s">
        <v>23</v>
      </c>
      <c r="J47" s="94" t="s">
        <v>22</v>
      </c>
      <c r="K47" s="94" t="s">
        <v>22</v>
      </c>
      <c r="L47" s="95" t="s">
        <v>21</v>
      </c>
      <c r="M47" s="95" t="s">
        <v>21</v>
      </c>
      <c r="N47" s="95" t="s">
        <v>21</v>
      </c>
      <c r="O47" s="95" t="s">
        <v>21</v>
      </c>
      <c r="P47" s="94" t="s">
        <v>22</v>
      </c>
      <c r="Q47" s="94" t="s">
        <v>22</v>
      </c>
      <c r="R47" s="96" t="s">
        <v>23</v>
      </c>
      <c r="S47" s="96" t="s">
        <v>23</v>
      </c>
      <c r="T47" s="96" t="s">
        <v>23</v>
      </c>
      <c r="U47" s="96" t="s">
        <v>23</v>
      </c>
      <c r="V47" s="94" t="s">
        <v>22</v>
      </c>
      <c r="W47" s="94" t="s">
        <v>22</v>
      </c>
      <c r="X47" s="95" t="s">
        <v>21</v>
      </c>
      <c r="Y47" s="95" t="s">
        <v>21</v>
      </c>
      <c r="Z47" s="95" t="s">
        <v>21</v>
      </c>
      <c r="AA47" s="95" t="s">
        <v>21</v>
      </c>
      <c r="AB47" s="94" t="s">
        <v>22</v>
      </c>
      <c r="AC47" s="94" t="s">
        <v>22</v>
      </c>
      <c r="AD47" s="96" t="s">
        <v>23</v>
      </c>
      <c r="AE47" s="96" t="s">
        <v>23</v>
      </c>
      <c r="AF47" s="96" t="s">
        <v>23</v>
      </c>
      <c r="AG47" s="96" t="s">
        <v>23</v>
      </c>
      <c r="AH47" s="94" t="s">
        <v>22</v>
      </c>
      <c r="AI47" s="97" t="s">
        <v>22</v>
      </c>
      <c r="AJ47" s="19"/>
      <c r="AK47" s="20"/>
      <c r="AL47" s="21">
        <f t="shared" si="0"/>
        <v>0</v>
      </c>
      <c r="AM47" s="20">
        <f t="shared" si="1"/>
        <v>0</v>
      </c>
      <c r="AN47" s="19"/>
      <c r="AO47" s="20"/>
      <c r="AP47" s="21">
        <f t="shared" si="2"/>
        <v>0</v>
      </c>
      <c r="AQ47" s="20">
        <f t="shared" si="3"/>
        <v>0</v>
      </c>
      <c r="AR47" s="19"/>
      <c r="AS47" s="21">
        <f t="shared" si="4"/>
        <v>20</v>
      </c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</row>
    <row r="48" spans="2:60">
      <c r="B48" s="42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</row>
    <row r="49" spans="2:60">
      <c r="B49" s="282" t="s">
        <v>252</v>
      </c>
      <c r="C49" s="286" t="s">
        <v>253</v>
      </c>
      <c r="D49" s="286"/>
      <c r="E49" s="21">
        <f>COUNTIF(C5:C47,$C$49)</f>
        <v>0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</row>
    <row r="50" spans="2:60">
      <c r="B50" s="282"/>
      <c r="C50" s="286" t="s">
        <v>253</v>
      </c>
      <c r="D50" s="286"/>
      <c r="E50" s="21">
        <f>COUNTIF(C5:C47,$C$50)</f>
        <v>0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</row>
    <row r="51" spans="2:60">
      <c r="C51" s="286" t="s">
        <v>128</v>
      </c>
      <c r="D51" s="286"/>
      <c r="E51" s="21">
        <f>E49+E50</f>
        <v>0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</row>
    <row r="52" spans="2:60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</row>
    <row r="53" spans="2:60"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</row>
    <row r="54" spans="2:60">
      <c r="C54" s="19"/>
      <c r="D54" s="19"/>
      <c r="E54" s="28" t="s">
        <v>22</v>
      </c>
      <c r="F54" s="250" t="s">
        <v>129</v>
      </c>
      <c r="G54" s="251"/>
      <c r="H54" s="251"/>
      <c r="I54" s="252"/>
      <c r="J54" s="19"/>
      <c r="K54" s="29" t="s">
        <v>130</v>
      </c>
      <c r="L54" s="250" t="s">
        <v>131</v>
      </c>
      <c r="M54" s="251"/>
      <c r="N54" s="251"/>
      <c r="O54" s="252"/>
      <c r="P54" s="19"/>
      <c r="Q54" s="256" t="s">
        <v>132</v>
      </c>
      <c r="R54" s="256"/>
      <c r="S54" s="256"/>
      <c r="T54" s="25"/>
      <c r="V54" s="258" t="s">
        <v>133</v>
      </c>
      <c r="W54" s="258"/>
      <c r="X54" s="258"/>
      <c r="Y54" s="258" t="s">
        <v>134</v>
      </c>
      <c r="Z54" s="258"/>
      <c r="AA54" s="258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</row>
    <row r="55" spans="2:60">
      <c r="C55" s="19"/>
      <c r="D55" s="19"/>
      <c r="E55" s="28" t="s">
        <v>135</v>
      </c>
      <c r="F55" s="250" t="s">
        <v>136</v>
      </c>
      <c r="G55" s="251"/>
      <c r="H55" s="251"/>
      <c r="I55" s="252"/>
      <c r="J55" s="19"/>
      <c r="K55" s="29" t="s">
        <v>123</v>
      </c>
      <c r="L55" s="250" t="s">
        <v>137</v>
      </c>
      <c r="M55" s="251"/>
      <c r="N55" s="251"/>
      <c r="O55" s="252"/>
      <c r="P55" s="19"/>
      <c r="Q55" s="21" t="s">
        <v>20</v>
      </c>
      <c r="R55" s="283" t="s">
        <v>138</v>
      </c>
      <c r="S55" s="284"/>
      <c r="U55" s="57" t="s">
        <v>29</v>
      </c>
      <c r="V55" s="240" t="s">
        <v>139</v>
      </c>
      <c r="W55" s="240"/>
      <c r="X55" s="240"/>
      <c r="Y55" s="240" t="s">
        <v>140</v>
      </c>
      <c r="Z55" s="240"/>
      <c r="AA55" s="240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</row>
    <row r="56" spans="2:60">
      <c r="C56" s="19"/>
      <c r="D56" s="19"/>
      <c r="E56" s="30" t="s">
        <v>20</v>
      </c>
      <c r="F56" s="250" t="s">
        <v>141</v>
      </c>
      <c r="G56" s="251"/>
      <c r="H56" s="251"/>
      <c r="I56" s="252"/>
      <c r="J56" s="19"/>
      <c r="K56" s="28" t="s">
        <v>107</v>
      </c>
      <c r="L56" s="250" t="s">
        <v>142</v>
      </c>
      <c r="M56" s="251"/>
      <c r="N56" s="251"/>
      <c r="O56" s="252"/>
      <c r="P56" s="19"/>
      <c r="Q56" s="21" t="s">
        <v>143</v>
      </c>
      <c r="R56" s="283" t="s">
        <v>144</v>
      </c>
      <c r="S56" s="284"/>
      <c r="U56" s="46" t="s">
        <v>145</v>
      </c>
      <c r="V56" s="240" t="s">
        <v>146</v>
      </c>
      <c r="W56" s="240"/>
      <c r="X56" s="240"/>
      <c r="Y56" s="240" t="s">
        <v>147</v>
      </c>
      <c r="Z56" s="240"/>
      <c r="AA56" s="240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</row>
    <row r="57" spans="2:60">
      <c r="C57" s="19"/>
      <c r="D57" s="19"/>
      <c r="E57" s="31" t="s">
        <v>36</v>
      </c>
      <c r="F57" s="250" t="s">
        <v>148</v>
      </c>
      <c r="G57" s="251"/>
      <c r="H57" s="251"/>
      <c r="I57" s="252"/>
      <c r="J57" s="19"/>
      <c r="K57" s="28" t="s">
        <v>143</v>
      </c>
      <c r="L57" s="250" t="s">
        <v>142</v>
      </c>
      <c r="M57" s="251"/>
      <c r="N57" s="251"/>
      <c r="O57" s="252"/>
      <c r="P57" s="19"/>
      <c r="Q57" s="21" t="s">
        <v>149</v>
      </c>
      <c r="R57" s="259" t="s">
        <v>150</v>
      </c>
      <c r="S57" s="260"/>
      <c r="U57" s="47" t="s">
        <v>151</v>
      </c>
      <c r="V57" s="240" t="s">
        <v>152</v>
      </c>
      <c r="W57" s="240"/>
      <c r="X57" s="240"/>
      <c r="Y57" s="240" t="s">
        <v>153</v>
      </c>
      <c r="Z57" s="240"/>
      <c r="AA57" s="240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</row>
    <row r="58" spans="2:60">
      <c r="C58" s="19"/>
      <c r="D58" s="19"/>
      <c r="E58" s="31" t="s">
        <v>33</v>
      </c>
      <c r="F58" s="250" t="s">
        <v>154</v>
      </c>
      <c r="G58" s="251"/>
      <c r="H58" s="251"/>
      <c r="I58" s="252"/>
      <c r="J58" s="19"/>
      <c r="K58" s="28" t="s">
        <v>155</v>
      </c>
      <c r="L58" s="250" t="s">
        <v>142</v>
      </c>
      <c r="M58" s="251"/>
      <c r="N58" s="251"/>
      <c r="O58" s="252"/>
      <c r="P58" s="19"/>
      <c r="Q58" s="21" t="s">
        <v>156</v>
      </c>
      <c r="R58" s="282" t="s">
        <v>157</v>
      </c>
      <c r="S58" s="282"/>
      <c r="U58" s="58" t="s">
        <v>100</v>
      </c>
      <c r="V58" s="240" t="s">
        <v>158</v>
      </c>
      <c r="W58" s="240"/>
      <c r="X58" s="240"/>
      <c r="Y58" s="240" t="s">
        <v>159</v>
      </c>
      <c r="Z58" s="240"/>
      <c r="AA58" s="240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</row>
    <row r="59" spans="2:60">
      <c r="C59" s="19"/>
      <c r="D59" s="19"/>
      <c r="E59" s="32" t="s">
        <v>20</v>
      </c>
      <c r="F59" s="250" t="s">
        <v>160</v>
      </c>
      <c r="G59" s="251"/>
      <c r="H59" s="251"/>
      <c r="I59" s="252"/>
      <c r="J59" s="19"/>
      <c r="K59" s="33" t="s">
        <v>81</v>
      </c>
      <c r="L59" s="250" t="s">
        <v>161</v>
      </c>
      <c r="M59" s="251"/>
      <c r="N59" s="251"/>
      <c r="O59" s="252"/>
      <c r="P59" s="19"/>
      <c r="Q59" s="21" t="s">
        <v>162</v>
      </c>
      <c r="R59" s="282" t="s">
        <v>163</v>
      </c>
      <c r="S59" s="282"/>
      <c r="U59" s="59" t="s">
        <v>164</v>
      </c>
      <c r="V59" s="240" t="s">
        <v>165</v>
      </c>
      <c r="W59" s="240"/>
      <c r="X59" s="240"/>
      <c r="Y59" s="240" t="s">
        <v>166</v>
      </c>
      <c r="Z59" s="240"/>
      <c r="AA59" s="240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</row>
    <row r="60" spans="2:60">
      <c r="C60" s="19"/>
      <c r="D60" s="19"/>
      <c r="E60" s="32" t="s">
        <v>36</v>
      </c>
      <c r="F60" s="250" t="s">
        <v>167</v>
      </c>
      <c r="G60" s="251"/>
      <c r="H60" s="251"/>
      <c r="I60" s="252"/>
      <c r="J60" s="19"/>
      <c r="K60" s="28" t="s">
        <v>168</v>
      </c>
      <c r="L60" s="250" t="s">
        <v>161</v>
      </c>
      <c r="M60" s="251"/>
      <c r="N60" s="251"/>
      <c r="O60" s="252"/>
      <c r="T60" s="19"/>
      <c r="U60" s="72" t="s">
        <v>169</v>
      </c>
      <c r="V60" s="240" t="s">
        <v>170</v>
      </c>
      <c r="W60" s="240"/>
      <c r="X60" s="240"/>
      <c r="Y60" s="240" t="s">
        <v>171</v>
      </c>
      <c r="Z60" s="240"/>
      <c r="AA60" s="240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</row>
    <row r="61" spans="2:60">
      <c r="C61" s="19"/>
      <c r="D61" s="19"/>
      <c r="E61" s="34" t="s">
        <v>26</v>
      </c>
      <c r="F61" s="250" t="s">
        <v>172</v>
      </c>
      <c r="G61" s="251"/>
      <c r="H61" s="251"/>
      <c r="I61" s="252"/>
      <c r="J61" s="19"/>
      <c r="K61" s="28" t="s">
        <v>173</v>
      </c>
      <c r="L61" s="250" t="s">
        <v>161</v>
      </c>
      <c r="M61" s="251"/>
      <c r="N61" s="251"/>
      <c r="O61" s="252"/>
      <c r="T61" s="19"/>
      <c r="U61" s="60" t="s">
        <v>21</v>
      </c>
      <c r="V61" s="240" t="s">
        <v>174</v>
      </c>
      <c r="W61" s="240"/>
      <c r="X61" s="240"/>
      <c r="Y61" s="240" t="s">
        <v>175</v>
      </c>
      <c r="Z61" s="240"/>
      <c r="AA61" s="240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</row>
    <row r="62" spans="2:60">
      <c r="C62" s="19"/>
      <c r="D62" s="19"/>
      <c r="E62" s="34" t="s">
        <v>176</v>
      </c>
      <c r="F62" s="250" t="s">
        <v>177</v>
      </c>
      <c r="G62" s="251"/>
      <c r="H62" s="251"/>
      <c r="I62" s="252"/>
      <c r="J62" s="19"/>
      <c r="K62" s="28" t="s">
        <v>178</v>
      </c>
      <c r="L62" s="250" t="s">
        <v>161</v>
      </c>
      <c r="M62" s="251"/>
      <c r="N62" s="251"/>
      <c r="O62" s="252"/>
      <c r="T62" s="19"/>
      <c r="U62" s="61" t="s">
        <v>179</v>
      </c>
      <c r="V62" s="240" t="s">
        <v>180</v>
      </c>
      <c r="W62" s="240"/>
      <c r="X62" s="240"/>
      <c r="Y62" s="240" t="s">
        <v>181</v>
      </c>
      <c r="Z62" s="240"/>
      <c r="AA62" s="240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</row>
    <row r="63" spans="2:60">
      <c r="C63" s="19"/>
      <c r="D63" s="19"/>
      <c r="E63" s="32" t="s">
        <v>182</v>
      </c>
      <c r="F63" s="250" t="s">
        <v>183</v>
      </c>
      <c r="G63" s="251"/>
      <c r="H63" s="251"/>
      <c r="I63" s="252"/>
      <c r="J63" s="19"/>
      <c r="K63" s="27" t="s">
        <v>67</v>
      </c>
      <c r="L63" s="250" t="s">
        <v>161</v>
      </c>
      <c r="M63" s="251"/>
      <c r="N63" s="251"/>
      <c r="O63" s="252"/>
      <c r="P63" s="19"/>
      <c r="Q63" s="19"/>
      <c r="R63" s="19"/>
      <c r="S63" s="19"/>
      <c r="T63" s="19"/>
      <c r="U63" s="62" t="s">
        <v>184</v>
      </c>
      <c r="V63" s="240" t="s">
        <v>185</v>
      </c>
      <c r="W63" s="240"/>
      <c r="X63" s="240"/>
      <c r="Y63" s="240" t="s">
        <v>186</v>
      </c>
      <c r="Z63" s="240"/>
      <c r="AA63" s="240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</row>
    <row r="64" spans="2:60">
      <c r="C64" s="19"/>
      <c r="D64" s="19"/>
      <c r="E64" s="33" t="s">
        <v>30</v>
      </c>
      <c r="F64" s="250" t="s">
        <v>187</v>
      </c>
      <c r="G64" s="251"/>
      <c r="H64" s="251"/>
      <c r="I64" s="252"/>
      <c r="J64" s="19"/>
      <c r="K64" s="28" t="s">
        <v>188</v>
      </c>
      <c r="L64" s="250" t="s">
        <v>161</v>
      </c>
      <c r="M64" s="251"/>
      <c r="N64" s="251"/>
      <c r="O64" s="252"/>
      <c r="P64" s="19"/>
      <c r="Q64" s="19"/>
      <c r="R64" s="19"/>
      <c r="S64" s="19"/>
      <c r="T64" s="19"/>
      <c r="U64" s="50" t="s">
        <v>42</v>
      </c>
      <c r="V64" s="240" t="s">
        <v>189</v>
      </c>
      <c r="W64" s="240"/>
      <c r="X64" s="240"/>
      <c r="Y64" s="240" t="s">
        <v>190</v>
      </c>
      <c r="Z64" s="240"/>
      <c r="AA64" s="240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</row>
    <row r="65" spans="3:60">
      <c r="C65" s="19"/>
      <c r="D65" s="19"/>
      <c r="E65" s="35" t="s">
        <v>191</v>
      </c>
      <c r="F65" s="250" t="s">
        <v>192</v>
      </c>
      <c r="G65" s="251"/>
      <c r="H65" s="251"/>
      <c r="I65" s="252"/>
      <c r="J65" s="19"/>
      <c r="K65" s="28" t="s">
        <v>193</v>
      </c>
      <c r="L65" s="250" t="s">
        <v>161</v>
      </c>
      <c r="M65" s="251"/>
      <c r="N65" s="251"/>
      <c r="O65" s="252"/>
      <c r="P65" s="19"/>
      <c r="Q65" s="19"/>
      <c r="R65" s="19"/>
      <c r="S65" s="19"/>
      <c r="T65" s="19"/>
      <c r="U65" s="51" t="s">
        <v>194</v>
      </c>
      <c r="V65" s="240" t="s">
        <v>195</v>
      </c>
      <c r="W65" s="240"/>
      <c r="X65" s="240"/>
      <c r="Y65" s="240" t="s">
        <v>196</v>
      </c>
      <c r="Z65" s="240"/>
      <c r="AA65" s="240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</row>
    <row r="66" spans="3:60">
      <c r="C66" s="19"/>
      <c r="D66" s="19"/>
      <c r="E66" s="36" t="s">
        <v>197</v>
      </c>
      <c r="F66" s="250" t="s">
        <v>198</v>
      </c>
      <c r="G66" s="251"/>
      <c r="H66" s="251"/>
      <c r="I66" s="252"/>
      <c r="J66" s="19"/>
      <c r="K66" s="37" t="s">
        <v>199</v>
      </c>
      <c r="L66" s="250" t="s">
        <v>161</v>
      </c>
      <c r="M66" s="251"/>
      <c r="N66" s="251"/>
      <c r="O66" s="252"/>
      <c r="P66" s="19"/>
      <c r="Q66" s="19"/>
      <c r="R66" s="19"/>
      <c r="S66" s="19"/>
      <c r="T66" s="19"/>
      <c r="U66" s="49" t="s">
        <v>200</v>
      </c>
      <c r="V66" s="240" t="s">
        <v>201</v>
      </c>
      <c r="W66" s="240"/>
      <c r="X66" s="240"/>
      <c r="Y66" s="240" t="s">
        <v>202</v>
      </c>
      <c r="Z66" s="240"/>
      <c r="AA66" s="240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</row>
    <row r="67" spans="3:60">
      <c r="C67" s="19"/>
      <c r="D67" s="19"/>
      <c r="E67" s="27" t="s">
        <v>203</v>
      </c>
      <c r="F67" s="250" t="s">
        <v>204</v>
      </c>
      <c r="G67" s="251"/>
      <c r="H67" s="251"/>
      <c r="I67" s="252"/>
      <c r="J67" s="19"/>
      <c r="K67" s="28" t="s">
        <v>205</v>
      </c>
      <c r="L67" s="250" t="s">
        <v>161</v>
      </c>
      <c r="M67" s="251"/>
      <c r="N67" s="251"/>
      <c r="O67" s="252"/>
      <c r="P67" s="19"/>
      <c r="Q67" s="19"/>
      <c r="R67" s="19"/>
      <c r="S67" s="19"/>
      <c r="T67" s="19"/>
      <c r="U67" s="63" t="s">
        <v>206</v>
      </c>
      <c r="V67" s="240" t="s">
        <v>207</v>
      </c>
      <c r="W67" s="240"/>
      <c r="X67" s="240"/>
      <c r="Y67" s="240" t="s">
        <v>208</v>
      </c>
      <c r="Z67" s="240"/>
      <c r="AA67" s="240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</row>
    <row r="68" spans="3:60">
      <c r="C68" s="19"/>
      <c r="D68" s="19"/>
      <c r="E68" s="36" t="s">
        <v>209</v>
      </c>
      <c r="F68" s="250" t="s">
        <v>210</v>
      </c>
      <c r="G68" s="251"/>
      <c r="H68" s="251"/>
      <c r="I68" s="252"/>
      <c r="J68" s="19"/>
      <c r="K68" s="38" t="s">
        <v>211</v>
      </c>
      <c r="L68" s="250" t="s">
        <v>212</v>
      </c>
      <c r="M68" s="251"/>
      <c r="N68" s="251"/>
      <c r="O68" s="252"/>
      <c r="P68" s="19"/>
      <c r="Q68" s="19"/>
      <c r="R68" s="19"/>
      <c r="S68" s="19"/>
      <c r="T68" s="19"/>
      <c r="U68" s="56" t="s">
        <v>116</v>
      </c>
      <c r="V68" s="240" t="s">
        <v>213</v>
      </c>
      <c r="W68" s="240"/>
      <c r="X68" s="240"/>
      <c r="Y68" s="240" t="s">
        <v>214</v>
      </c>
      <c r="Z68" s="240"/>
      <c r="AA68" s="240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</row>
    <row r="69" spans="3:60">
      <c r="C69" s="19"/>
      <c r="D69" s="19"/>
      <c r="U69" s="54" t="s">
        <v>215</v>
      </c>
      <c r="V69" s="240" t="s">
        <v>216</v>
      </c>
      <c r="W69" s="240"/>
      <c r="X69" s="240"/>
      <c r="Y69" s="240" t="s">
        <v>217</v>
      </c>
      <c r="Z69" s="240"/>
      <c r="AA69" s="240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</row>
    <row r="70" spans="3:60"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55" t="s">
        <v>113</v>
      </c>
      <c r="V70" s="240" t="s">
        <v>218</v>
      </c>
      <c r="W70" s="240"/>
      <c r="X70" s="240"/>
      <c r="Y70" s="240" t="s">
        <v>219</v>
      </c>
      <c r="Z70" s="240"/>
      <c r="AA70" s="240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</row>
    <row r="71" spans="3:60"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64" t="s">
        <v>220</v>
      </c>
      <c r="V71" s="240" t="s">
        <v>221</v>
      </c>
      <c r="W71" s="240"/>
      <c r="X71" s="240"/>
      <c r="Y71" s="240" t="s">
        <v>222</v>
      </c>
      <c r="Z71" s="240"/>
      <c r="AA71" s="240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</row>
    <row r="72" spans="3:60"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65" t="s">
        <v>223</v>
      </c>
      <c r="V72" s="240" t="s">
        <v>224</v>
      </c>
      <c r="W72" s="240"/>
      <c r="X72" s="240"/>
      <c r="Y72" s="240" t="s">
        <v>225</v>
      </c>
      <c r="Z72" s="240"/>
      <c r="AA72" s="240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</row>
    <row r="73" spans="3:60"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66" t="s">
        <v>226</v>
      </c>
      <c r="V73" s="240" t="s">
        <v>227</v>
      </c>
      <c r="W73" s="240"/>
      <c r="X73" s="240"/>
      <c r="Y73" s="240" t="s">
        <v>228</v>
      </c>
      <c r="Z73" s="240"/>
      <c r="AA73" s="240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</row>
    <row r="74" spans="3:60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67" t="s">
        <v>84</v>
      </c>
      <c r="V74" s="240" t="s">
        <v>229</v>
      </c>
      <c r="W74" s="240"/>
      <c r="X74" s="240"/>
      <c r="Y74" s="240" t="s">
        <v>230</v>
      </c>
      <c r="Z74" s="240"/>
      <c r="AA74" s="240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</row>
    <row r="75" spans="3:60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68" t="s">
        <v>41</v>
      </c>
      <c r="V75" s="240" t="s">
        <v>231</v>
      </c>
      <c r="W75" s="240"/>
      <c r="X75" s="240"/>
      <c r="Y75" s="240" t="s">
        <v>232</v>
      </c>
      <c r="Z75" s="240"/>
      <c r="AA75" s="240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</row>
    <row r="76" spans="3:60"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69" t="s">
        <v>233</v>
      </c>
      <c r="V76" s="240" t="s">
        <v>234</v>
      </c>
      <c r="W76" s="240"/>
      <c r="X76" s="240"/>
      <c r="Y76" s="240" t="s">
        <v>235</v>
      </c>
      <c r="Z76" s="240"/>
      <c r="AA76" s="240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</row>
    <row r="77" spans="3:60"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70" t="s">
        <v>66</v>
      </c>
      <c r="V77" s="240" t="s">
        <v>236</v>
      </c>
      <c r="W77" s="240"/>
      <c r="X77" s="240"/>
      <c r="Y77" s="240" t="s">
        <v>237</v>
      </c>
      <c r="Z77" s="240"/>
      <c r="AA77" s="240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</row>
    <row r="78" spans="3:60"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52" t="s">
        <v>23</v>
      </c>
      <c r="V78" s="240" t="s">
        <v>238</v>
      </c>
      <c r="W78" s="240"/>
      <c r="X78" s="240"/>
      <c r="Y78" s="240" t="s">
        <v>239</v>
      </c>
      <c r="Z78" s="240"/>
      <c r="AA78" s="240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</row>
    <row r="79" spans="3:60"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53" t="s">
        <v>240</v>
      </c>
      <c r="V79" s="240" t="s">
        <v>241</v>
      </c>
      <c r="W79" s="240"/>
      <c r="X79" s="240"/>
      <c r="Y79" s="240" t="s">
        <v>242</v>
      </c>
      <c r="Z79" s="240"/>
      <c r="AA79" s="240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</row>
    <row r="80" spans="3:60"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71" t="s">
        <v>243</v>
      </c>
      <c r="V80" s="240" t="s">
        <v>244</v>
      </c>
      <c r="W80" s="240"/>
      <c r="X80" s="240"/>
      <c r="Y80" s="240" t="s">
        <v>245</v>
      </c>
      <c r="Z80" s="240"/>
      <c r="AA80" s="240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</row>
    <row r="81" spans="3:60"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48" t="s">
        <v>246</v>
      </c>
      <c r="V81" s="240" t="s">
        <v>247</v>
      </c>
      <c r="W81" s="240"/>
      <c r="X81" s="240"/>
      <c r="Y81" s="240" t="s">
        <v>248</v>
      </c>
      <c r="Z81" s="240"/>
      <c r="AA81" s="240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</row>
    <row r="82" spans="3:60"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</row>
    <row r="83" spans="3:60"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</row>
    <row r="84" spans="3:60"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</row>
    <row r="85" spans="3:60"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</row>
    <row r="86" spans="3:60"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</row>
    <row r="87" spans="3:60"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</row>
    <row r="88" spans="3:60"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</row>
    <row r="89" spans="3:60"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</row>
    <row r="90" spans="3:60"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</row>
    <row r="91" spans="3:60"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</row>
    <row r="92" spans="3:60"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</row>
    <row r="93" spans="3:60"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</row>
    <row r="94" spans="3:60"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</row>
    <row r="95" spans="3:60"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</row>
    <row r="96" spans="3:60"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</row>
    <row r="97" spans="3:60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</row>
    <row r="98" spans="3:60"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</row>
    <row r="99" spans="3:60"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</row>
    <row r="100" spans="3:60"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</row>
    <row r="101" spans="3:60"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</row>
    <row r="102" spans="3:60"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</row>
    <row r="103" spans="3:60"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</row>
    <row r="104" spans="3:60"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</row>
    <row r="105" spans="3:60"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</row>
    <row r="106" spans="3:60"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</row>
    <row r="107" spans="3:60"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</row>
    <row r="108" spans="3:60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</row>
    <row r="109" spans="3:60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</row>
    <row r="110" spans="3:60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</row>
    <row r="111" spans="3:60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</row>
    <row r="112" spans="3:60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</row>
    <row r="113" spans="3:60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</row>
    <row r="114" spans="3:60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</row>
    <row r="115" spans="3:60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</row>
    <row r="116" spans="3:60"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</row>
    <row r="117" spans="3:60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</row>
    <row r="118" spans="3:60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</row>
    <row r="119" spans="3:60"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</row>
    <row r="120" spans="3:60"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</row>
    <row r="121" spans="3:60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</row>
    <row r="122" spans="3:60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</row>
    <row r="123" spans="3:60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</row>
    <row r="124" spans="3:60"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</row>
    <row r="125" spans="3:60"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</row>
    <row r="126" spans="3:60"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</row>
    <row r="127" spans="3:60"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</row>
    <row r="128" spans="3:60"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</row>
    <row r="129" spans="3:60"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</row>
    <row r="130" spans="3:60"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</row>
    <row r="131" spans="3:60"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</row>
    <row r="132" spans="3:60"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</row>
    <row r="133" spans="3:60"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</row>
    <row r="134" spans="3:60"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</row>
    <row r="135" spans="3:60"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</row>
    <row r="136" spans="3:60"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</row>
    <row r="137" spans="3:60"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</row>
    <row r="138" spans="3:60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</row>
    <row r="139" spans="3:60"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</row>
    <row r="140" spans="3:60"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</row>
    <row r="141" spans="3:60"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</row>
    <row r="142" spans="3:60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</row>
    <row r="143" spans="3:60"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</row>
    <row r="144" spans="3:60"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</row>
    <row r="145" spans="3:60"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</row>
    <row r="146" spans="3:60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</row>
    <row r="147" spans="3:60"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</row>
    <row r="148" spans="3:60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</row>
    <row r="149" spans="3:60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</row>
    <row r="150" spans="3:60"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</row>
    <row r="151" spans="3:60"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</row>
    <row r="152" spans="3:60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</row>
    <row r="153" spans="3:60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</row>
    <row r="154" spans="3:60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</row>
    <row r="155" spans="3:60"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</row>
    <row r="156" spans="3:60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</row>
    <row r="157" spans="3:60"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</row>
    <row r="158" spans="3:60"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</row>
    <row r="159" spans="3:60"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</row>
    <row r="160" spans="3:60"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</row>
    <row r="161" spans="3:60"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</row>
    <row r="162" spans="3:60"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</row>
    <row r="163" spans="3:60"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</row>
    <row r="164" spans="3:60"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</row>
    <row r="165" spans="3:60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</row>
    <row r="166" spans="3:60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</row>
    <row r="167" spans="3:60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</row>
    <row r="168" spans="3:60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</row>
    <row r="169" spans="3:60"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</row>
    <row r="170" spans="3:60"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</row>
    <row r="171" spans="3:60"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</row>
    <row r="172" spans="3:60"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</row>
    <row r="173" spans="3:60"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</row>
    <row r="174" spans="3:60"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</row>
    <row r="175" spans="3:60"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</row>
    <row r="176" spans="3:60"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</row>
    <row r="177" spans="3:60"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</row>
    <row r="178" spans="3:60"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</row>
    <row r="179" spans="3:60"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</row>
    <row r="180" spans="3:60"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</row>
    <row r="181" spans="3:60"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</row>
    <row r="182" spans="3:60"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</row>
    <row r="183" spans="3:60"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</row>
    <row r="184" spans="3:60"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</row>
    <row r="185" spans="3:60"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</row>
    <row r="186" spans="3:60"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</row>
    <row r="187" spans="3:60"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</row>
    <row r="188" spans="3:60"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</row>
    <row r="189" spans="3:60"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</row>
    <row r="190" spans="3:60"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</row>
    <row r="191" spans="3:60"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</row>
    <row r="192" spans="3:60"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</row>
    <row r="193" spans="3:60"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</row>
    <row r="194" spans="3:60"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</row>
    <row r="195" spans="3:60"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</row>
    <row r="196" spans="3:60"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</row>
    <row r="197" spans="3:60"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</row>
    <row r="198" spans="3:60"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</row>
    <row r="199" spans="3:60"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</row>
    <row r="200" spans="3:60"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</row>
    <row r="201" spans="3:60"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</row>
    <row r="202" spans="3:60"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</row>
    <row r="203" spans="3:60"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</row>
    <row r="204" spans="3:60"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</row>
    <row r="205" spans="3:60"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</row>
    <row r="206" spans="3:60"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</row>
    <row r="207" spans="3:60"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</row>
    <row r="208" spans="3:60"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</row>
    <row r="209" spans="3:60"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</row>
    <row r="210" spans="3:60"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</row>
    <row r="211" spans="3:60"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</row>
    <row r="212" spans="3:60"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</row>
    <row r="213" spans="3:60"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</row>
    <row r="214" spans="3:60"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</row>
    <row r="215" spans="3:60"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</row>
    <row r="216" spans="3:60"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</row>
    <row r="217" spans="3:60"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</row>
    <row r="218" spans="3:60"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</row>
    <row r="219" spans="3:60"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</row>
    <row r="220" spans="3:60"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</row>
    <row r="221" spans="3:60"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</row>
    <row r="222" spans="3:60"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</row>
    <row r="223" spans="3:60"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</row>
    <row r="224" spans="3:60"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</row>
    <row r="225" spans="3:60"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</row>
    <row r="226" spans="3:60"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</row>
    <row r="227" spans="3:60"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</row>
    <row r="228" spans="3:60"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</row>
    <row r="229" spans="3:60"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</row>
    <row r="230" spans="3:60"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</row>
    <row r="231" spans="3:60"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</row>
    <row r="232" spans="3:60"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</row>
    <row r="233" spans="3:60"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</row>
    <row r="234" spans="3:60"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</row>
    <row r="235" spans="3:60"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</row>
    <row r="236" spans="3:60"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</row>
    <row r="237" spans="3:60"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</row>
    <row r="238" spans="3:60"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</row>
    <row r="239" spans="3:60"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</row>
    <row r="240" spans="3:60"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</row>
    <row r="241" spans="3:60"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</row>
    <row r="242" spans="3:60"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</row>
    <row r="243" spans="3:60"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</row>
    <row r="244" spans="3:60"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</row>
    <row r="245" spans="3:60"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</row>
    <row r="246" spans="3:60"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</row>
    <row r="247" spans="3:60"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</row>
    <row r="248" spans="3:60"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</row>
    <row r="249" spans="3:60"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</row>
    <row r="250" spans="3:60"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</row>
    <row r="251" spans="3:60"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</row>
    <row r="252" spans="3:60"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</row>
    <row r="253" spans="3:60"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</row>
    <row r="254" spans="3:60"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</row>
    <row r="255" spans="3:60"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</row>
    <row r="256" spans="3:60"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</row>
    <row r="257" spans="3:60"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</row>
    <row r="258" spans="3:60"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</row>
    <row r="259" spans="3:60"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</row>
    <row r="260" spans="3:60"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</row>
    <row r="261" spans="3:60"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</row>
    <row r="262" spans="3:60"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</row>
    <row r="263" spans="3:60"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</row>
    <row r="264" spans="3:60"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</row>
    <row r="265" spans="3:60"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</row>
    <row r="266" spans="3:60"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</row>
    <row r="267" spans="3:60"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</row>
    <row r="268" spans="3:60"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</row>
    <row r="269" spans="3:60"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</row>
    <row r="270" spans="3:60"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</row>
    <row r="271" spans="3:60"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</row>
    <row r="272" spans="3:60"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</row>
    <row r="273" spans="3:60"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</row>
    <row r="274" spans="3:60"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</row>
    <row r="275" spans="3:60"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</row>
    <row r="276" spans="3:60"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</row>
    <row r="277" spans="3:60"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</row>
    <row r="278" spans="3:60"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</row>
    <row r="279" spans="3:60"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</row>
    <row r="280" spans="3:60"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</row>
    <row r="281" spans="3:60"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</row>
    <row r="282" spans="3:60"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</row>
    <row r="283" spans="3:60"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</row>
    <row r="284" spans="3:60"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</row>
    <row r="285" spans="3:60"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</row>
    <row r="286" spans="3:60"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</row>
    <row r="287" spans="3:60"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</row>
    <row r="288" spans="3:60"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</row>
    <row r="289" spans="3:60"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</row>
    <row r="290" spans="3:60"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</row>
    <row r="291" spans="3:60"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</row>
    <row r="292" spans="3:60"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</row>
    <row r="293" spans="3:60"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</row>
    <row r="294" spans="3:60"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</row>
    <row r="295" spans="3:60"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</row>
    <row r="296" spans="3:60"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</row>
    <row r="297" spans="3:60"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</row>
    <row r="298" spans="3:60"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</row>
    <row r="299" spans="3:60"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</row>
    <row r="300" spans="3:60"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</row>
    <row r="301" spans="3:60"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</row>
    <row r="302" spans="3:60"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</row>
    <row r="303" spans="3:60"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</row>
    <row r="304" spans="3:60"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</row>
    <row r="305" spans="3:60"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</row>
    <row r="306" spans="3:60"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</row>
    <row r="307" spans="3:60"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</row>
    <row r="308" spans="3:60"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</row>
    <row r="309" spans="3:60"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</row>
    <row r="310" spans="3:60"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</row>
    <row r="311" spans="3:60"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</row>
    <row r="312" spans="3:60"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</row>
    <row r="313" spans="3:60"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</row>
    <row r="314" spans="3:60"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</row>
    <row r="315" spans="3:60"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</row>
    <row r="316" spans="3:60"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</row>
    <row r="317" spans="3:60"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</row>
    <row r="318" spans="3:60"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</row>
    <row r="319" spans="3:60"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</row>
    <row r="320" spans="3:60"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</row>
    <row r="321" spans="3:60"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</row>
    <row r="322" spans="3:60"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</row>
    <row r="323" spans="3:60"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</row>
    <row r="324" spans="3:60"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</row>
    <row r="325" spans="3:60"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</row>
    <row r="326" spans="3:60"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</row>
    <row r="327" spans="3:60"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</row>
    <row r="328" spans="3:60"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</row>
  </sheetData>
  <mergeCells count="108">
    <mergeCell ref="V80:X80"/>
    <mergeCell ref="Y80:AA80"/>
    <mergeCell ref="V76:X76"/>
    <mergeCell ref="Y76:AA76"/>
    <mergeCell ref="V77:X77"/>
    <mergeCell ref="Y77:AA77"/>
    <mergeCell ref="V78:X78"/>
    <mergeCell ref="Y78:AA78"/>
    <mergeCell ref="F61:I61"/>
    <mergeCell ref="L61:O61"/>
    <mergeCell ref="F62:I62"/>
    <mergeCell ref="L62:O62"/>
    <mergeCell ref="F63:I63"/>
    <mergeCell ref="L63:O63"/>
    <mergeCell ref="F67:I67"/>
    <mergeCell ref="L67:O67"/>
    <mergeCell ref="Y62:AA62"/>
    <mergeCell ref="V62:X62"/>
    <mergeCell ref="V66:X66"/>
    <mergeCell ref="Y61:AA61"/>
    <mergeCell ref="V61:X61"/>
    <mergeCell ref="V63:X63"/>
    <mergeCell ref="Y63:AA63"/>
    <mergeCell ref="V64:X64"/>
    <mergeCell ref="R59:S59"/>
    <mergeCell ref="V57:X57"/>
    <mergeCell ref="Y57:AA57"/>
    <mergeCell ref="V58:X58"/>
    <mergeCell ref="Y58:AA58"/>
    <mergeCell ref="V59:X59"/>
    <mergeCell ref="Y59:AA59"/>
    <mergeCell ref="V79:X79"/>
    <mergeCell ref="Y79:AA79"/>
    <mergeCell ref="Y64:AA64"/>
    <mergeCell ref="V65:X65"/>
    <mergeCell ref="Y65:AA65"/>
    <mergeCell ref="Y74:AA74"/>
    <mergeCell ref="V75:X75"/>
    <mergeCell ref="Y75:AA75"/>
    <mergeCell ref="V70:X70"/>
    <mergeCell ref="Y70:AA70"/>
    <mergeCell ref="V71:X71"/>
    <mergeCell ref="Y71:AA71"/>
    <mergeCell ref="Y66:AA66"/>
    <mergeCell ref="V67:X67"/>
    <mergeCell ref="Y67:AA67"/>
    <mergeCell ref="V72:X72"/>
    <mergeCell ref="Y72:AA72"/>
    <mergeCell ref="V56:X56"/>
    <mergeCell ref="Y56:AA56"/>
    <mergeCell ref="V60:X60"/>
    <mergeCell ref="AK2:AM3"/>
    <mergeCell ref="B2:B4"/>
    <mergeCell ref="C2:D2"/>
    <mergeCell ref="E2:AI2"/>
    <mergeCell ref="C3:D4"/>
    <mergeCell ref="Y60:AA60"/>
    <mergeCell ref="F54:I54"/>
    <mergeCell ref="L54:O54"/>
    <mergeCell ref="Q54:S54"/>
    <mergeCell ref="V54:X54"/>
    <mergeCell ref="Y54:AA54"/>
    <mergeCell ref="V55:X55"/>
    <mergeCell ref="B49:B50"/>
    <mergeCell ref="B25:B35"/>
    <mergeCell ref="C49:D49"/>
    <mergeCell ref="C50:D50"/>
    <mergeCell ref="C51:D51"/>
    <mergeCell ref="F59:I59"/>
    <mergeCell ref="L59:O59"/>
    <mergeCell ref="F60:I60"/>
    <mergeCell ref="L60:O60"/>
    <mergeCell ref="F57:I57"/>
    <mergeCell ref="L57:O57"/>
    <mergeCell ref="F58:I58"/>
    <mergeCell ref="L58:O58"/>
    <mergeCell ref="F55:I55"/>
    <mergeCell ref="L55:O55"/>
    <mergeCell ref="F56:I56"/>
    <mergeCell ref="L56:O56"/>
    <mergeCell ref="R55:S55"/>
    <mergeCell ref="R56:S56"/>
    <mergeCell ref="R57:S57"/>
    <mergeCell ref="R58:S58"/>
    <mergeCell ref="B5:B12"/>
    <mergeCell ref="B13:B24"/>
    <mergeCell ref="B36:B39"/>
    <mergeCell ref="B40:B47"/>
    <mergeCell ref="AO2:AQ3"/>
    <mergeCell ref="AS2:AS4"/>
    <mergeCell ref="V81:X81"/>
    <mergeCell ref="Y81:AA81"/>
    <mergeCell ref="F68:I68"/>
    <mergeCell ref="L68:O68"/>
    <mergeCell ref="F64:I64"/>
    <mergeCell ref="L64:O64"/>
    <mergeCell ref="F65:I65"/>
    <mergeCell ref="L65:O65"/>
    <mergeCell ref="F66:I66"/>
    <mergeCell ref="L66:O66"/>
    <mergeCell ref="V69:X69"/>
    <mergeCell ref="Y69:AA69"/>
    <mergeCell ref="V68:X68"/>
    <mergeCell ref="Y68:AA68"/>
    <mergeCell ref="V73:X73"/>
    <mergeCell ref="Y73:AA73"/>
    <mergeCell ref="V74:X74"/>
    <mergeCell ref="Y55:AA55"/>
  </mergeCells>
  <conditionalFormatting sqref="AM5:AM47">
    <cfRule type="cellIs" dxfId="5" priority="2" operator="greaterThan">
      <formula>1</formula>
    </cfRule>
    <cfRule type="cellIs" dxfId="4" priority="3" operator="equal">
      <formula>1</formula>
    </cfRule>
    <cfRule type="cellIs" dxfId="3" priority="4" operator="greaterThan">
      <formula>0</formula>
    </cfRule>
  </conditionalFormatting>
  <conditionalFormatting sqref="AQ5:AQ47">
    <cfRule type="cellIs" dxfId="2" priority="1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8" operator="equal" id="{607CEA8F-2E4E-4C3A-9EAA-C79AFC64B359}">
            <xm:f>Sheet1!$B$3</xm:f>
            <x14:dxf>
              <fill>
                <patternFill>
                  <bgColor theme="6" tint="0.79998168889431442"/>
                </patternFill>
              </fill>
            </x14:dxf>
          </x14:cfRule>
          <x14:cfRule type="cellIs" priority="9" operator="equal" id="{96B246B5-91F4-4F80-922B-B6CED5DA66D2}">
            <xm:f>Sheet1!$B$2</xm:f>
            <x14:dxf>
              <fill>
                <patternFill>
                  <bgColor rgb="FFFFFF99"/>
                </patternFill>
              </fill>
            </x14:dxf>
          </x14:cfRule>
          <xm:sqref>B2:B4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3E51CF-21C5-4958-BBFC-07605E28A00E}">
          <x14:formula1>
            <xm:f>Sheet1!$B$2:$B$3</xm:f>
          </x14:formula1>
          <xm:sqref>B2:B4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E2D3878C914646AFDAF8DB79C9CBFF" ma:contentTypeVersion="16" ma:contentTypeDescription="Create a new document." ma:contentTypeScope="" ma:versionID="64cef5f809c20957e1bed8db4fd8bd69">
  <xsd:schema xmlns:xsd="http://www.w3.org/2001/XMLSchema" xmlns:xs="http://www.w3.org/2001/XMLSchema" xmlns:p="http://schemas.microsoft.com/office/2006/metadata/properties" xmlns:ns2="8c3af6a4-7f71-4dc2-99e7-9db1cbaccb2c" xmlns:ns3="fa453329-a4c9-4120-b786-6a0f9fa17d90" targetNamespace="http://schemas.microsoft.com/office/2006/metadata/properties" ma:root="true" ma:fieldsID="c9eb64a58f9f8c69f3f340dcbb635673" ns2:_="" ns3:_="">
    <xsd:import namespace="8c3af6a4-7f71-4dc2-99e7-9db1cbaccb2c"/>
    <xsd:import namespace="fa453329-a4c9-4120-b786-6a0f9fa17d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3af6a4-7f71-4dc2-99e7-9db1cbaccb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bf9f0b1-3012-463a-bd97-40a726b447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453329-a4c9-4120-b786-6a0f9fa17d9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9063131-8ea6-4516-bec3-5cdb23247884}" ma:internalName="TaxCatchAll" ma:showField="CatchAllData" ma:web="fa453329-a4c9-4120-b786-6a0f9fa17d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453329-a4c9-4120-b786-6a0f9fa17d90" xsi:nil="true"/>
    <lcf76f155ced4ddcb4097134ff3c332f xmlns="8c3af6a4-7f71-4dc2-99e7-9db1cbaccb2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45EE80-A615-4630-8024-569D081F1B77}"/>
</file>

<file path=customXml/itemProps2.xml><?xml version="1.0" encoding="utf-8"?>
<ds:datastoreItem xmlns:ds="http://schemas.openxmlformats.org/officeDocument/2006/customXml" ds:itemID="{89175F3D-8661-480E-9EAD-6B3F990FF85A}"/>
</file>

<file path=customXml/itemProps3.xml><?xml version="1.0" encoding="utf-8"?>
<ds:datastoreItem xmlns:ds="http://schemas.openxmlformats.org/officeDocument/2006/customXml" ds:itemID="{D4A898B7-0253-4759-B9CA-FB85A1411220}"/>
</file>

<file path=docMetadata/LabelInfo.xml><?xml version="1.0" encoding="utf-8"?>
<clbl:labelList xmlns:clbl="http://schemas.microsoft.com/office/2020/mipLabelMetadata">
  <clbl:label id="{2d1c7476-f302-47ca-97a0-972f32671471}" enabled="1" method="Standard" siteId="{72e15514-5be9-46a8-8b0b-af9b1b77b3b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SILVA, MARIANA</dc:creator>
  <cp:keywords/>
  <dc:description/>
  <cp:lastModifiedBy>CAMPOS, BARBARA</cp:lastModifiedBy>
  <cp:revision/>
  <dcterms:created xsi:type="dcterms:W3CDTF">2025-09-19T14:41:07Z</dcterms:created>
  <dcterms:modified xsi:type="dcterms:W3CDTF">2026-01-09T16:43:02Z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0x0101001EE2D3878C914646AFDAF8DB79C9CBFF</vt:lpwstr>
  </property>
  <property fmtid="{D5CDD505-2E9C-101B-9397-08002B2CF9AE}" pid="3" name="MediaServiceImageTags">
    <vt:lpwstr/>
  </property>
</Properties>
</file>