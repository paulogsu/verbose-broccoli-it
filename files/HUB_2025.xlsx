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lufthansagroup.sharepoint.com/sites/LGSPITTopics/Shared Documents/Horarios Service Center/2025/"/>
    </mc:Choice>
  </mc:AlternateContent>
  <xr:revisionPtr revIDLastSave="1454" documentId="1_{DAA3E453-DA22-497B-97B5-A82B64C5DC59}" xr6:coauthVersionLast="47" xr6:coauthVersionMax="47" xr10:uidLastSave="{B0EE019E-D524-4027-9F39-7EB153166003}"/>
  <bookViews>
    <workbookView xWindow="-120" yWindow="-120" windowWidth="29040" windowHeight="15840" firstSheet="10" activeTab="10" xr2:uid="{02F04E82-04D7-479F-9501-50813B3EB64C}"/>
  </bookViews>
  <sheets>
    <sheet name="JAN25" sheetId="13" r:id="rId1"/>
    <sheet name="FEB25" sheetId="14" r:id="rId2"/>
    <sheet name="MAR25" sheetId="15" r:id="rId3"/>
    <sheet name="APR25" sheetId="16" r:id="rId4"/>
    <sheet name="MAY25" sheetId="17" r:id="rId5"/>
    <sheet name="JUN25" sheetId="18" r:id="rId6"/>
    <sheet name="JUL25" sheetId="26" r:id="rId7"/>
    <sheet name="AUG25" sheetId="20" r:id="rId8"/>
    <sheet name="SEP25" sheetId="21" r:id="rId9"/>
    <sheet name="OCT25" sheetId="22" r:id="rId10"/>
    <sheet name="NOV25" sheetId="23" r:id="rId11"/>
    <sheet name="DEC25" sheetId="24" r:id="rId12"/>
  </sheets>
  <definedNames>
    <definedName name="_xlnm._FilterDatabase" localSheetId="3" hidden="1">'APR25'!$AH$2:$AJ$54</definedName>
    <definedName name="_xlnm._FilterDatabase" localSheetId="7" hidden="1">'AUG25'!$A$4:$B$4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4" i="24" l="1"/>
  <c r="AD64" i="24"/>
  <c r="AG64" i="24"/>
  <c r="AF64" i="24"/>
  <c r="AE64" i="24"/>
  <c r="AB64" i="24"/>
  <c r="AA64" i="24"/>
  <c r="AH56" i="24"/>
  <c r="AH55" i="24"/>
  <c r="AH54" i="24"/>
  <c r="AH53" i="24"/>
  <c r="AH65" i="24"/>
  <c r="AH64" i="24"/>
  <c r="AK51" i="24"/>
  <c r="AI51" i="23"/>
  <c r="AH51" i="23"/>
  <c r="AI38" i="18"/>
  <c r="AI6" i="23"/>
  <c r="AB53" i="24"/>
  <c r="U56" i="23"/>
  <c r="P56" i="23"/>
  <c r="AB56" i="22"/>
  <c r="P56" i="22"/>
  <c r="P55" i="22"/>
  <c r="Q55" i="22"/>
  <c r="R55" i="22"/>
  <c r="S55" i="22"/>
  <c r="T55" i="22"/>
  <c r="U55" i="22"/>
  <c r="V55" i="22"/>
  <c r="W55" i="22"/>
  <c r="X55" i="22"/>
  <c r="Y55" i="22"/>
  <c r="Z55" i="22"/>
  <c r="AA55" i="22"/>
  <c r="AB55" i="22"/>
  <c r="AC55" i="22"/>
  <c r="AD55" i="22"/>
  <c r="AE55" i="22"/>
  <c r="AF55" i="22"/>
  <c r="AG55" i="22"/>
  <c r="D55" i="22"/>
  <c r="E55" i="22"/>
  <c r="F55" i="22"/>
  <c r="G55" i="22"/>
  <c r="H55" i="22"/>
  <c r="I55" i="22"/>
  <c r="J55" i="22"/>
  <c r="K55" i="22"/>
  <c r="L55" i="22"/>
  <c r="M55" i="22"/>
  <c r="N55" i="22"/>
  <c r="O55" i="22"/>
  <c r="C55" i="22"/>
  <c r="C56" i="21"/>
  <c r="AJ15" i="22"/>
  <c r="AI45" i="21"/>
  <c r="AJ45" i="21"/>
  <c r="Q65" i="20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J66" i="21"/>
  <c r="C66" i="21"/>
  <c r="D66" i="21"/>
  <c r="E66" i="21"/>
  <c r="F66" i="21"/>
  <c r="G66" i="21"/>
  <c r="H66" i="21"/>
  <c r="I66" i="21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C65" i="20"/>
  <c r="E66" i="20"/>
  <c r="Z54" i="21"/>
  <c r="AA54" i="21"/>
  <c r="Z55" i="21"/>
  <c r="AA55" i="21"/>
  <c r="Z56" i="21"/>
  <c r="AA56" i="21"/>
  <c r="Z57" i="21"/>
  <c r="AA57" i="21"/>
  <c r="Z67" i="21"/>
  <c r="AA67" i="21"/>
  <c r="AJ51" i="23"/>
  <c r="AJ51" i="24"/>
  <c r="AL51" i="24"/>
  <c r="AK62" i="24"/>
  <c r="AK61" i="24"/>
  <c r="AI62" i="23"/>
  <c r="AI63" i="21"/>
  <c r="AI63" i="26"/>
  <c r="AH25" i="18"/>
  <c r="AH24" i="18"/>
  <c r="AH23" i="18"/>
  <c r="AH22" i="18"/>
  <c r="AH21" i="18"/>
  <c r="AH18" i="18"/>
  <c r="AH17" i="18"/>
  <c r="AH16" i="18"/>
  <c r="AH15" i="18"/>
  <c r="AL69" i="16"/>
  <c r="AL65" i="16"/>
  <c r="AL51" i="16"/>
  <c r="AL26" i="16"/>
  <c r="AL19" i="16"/>
  <c r="AL18" i="16"/>
  <c r="AL17" i="16"/>
  <c r="AL16" i="16"/>
  <c r="AL15" i="16"/>
  <c r="AH65" i="16"/>
  <c r="AH26" i="16"/>
  <c r="AH19" i="16"/>
  <c r="AH18" i="16"/>
  <c r="AH17" i="16"/>
  <c r="AH16" i="16"/>
  <c r="AH15" i="16"/>
  <c r="AM69" i="15"/>
  <c r="AL63" i="14"/>
  <c r="AH63" i="14"/>
  <c r="AK63" i="14"/>
  <c r="AG63" i="14"/>
  <c r="AI69" i="15"/>
  <c r="AG39" i="14"/>
  <c r="AJ64" i="14"/>
  <c r="AJ62" i="14"/>
  <c r="AJ61" i="14"/>
  <c r="AJ60" i="14"/>
  <c r="AJ59" i="14"/>
  <c r="AJ58" i="14"/>
  <c r="AJ49" i="14"/>
  <c r="AJ48" i="14"/>
  <c r="AJ47" i="14"/>
  <c r="AJ46" i="14"/>
  <c r="AJ45" i="14"/>
  <c r="AJ44" i="14"/>
  <c r="AJ43" i="14"/>
  <c r="AJ42" i="14"/>
  <c r="AJ41" i="14"/>
  <c r="AJ40" i="14"/>
  <c r="AJ39" i="14"/>
  <c r="AJ38" i="14"/>
  <c r="AJ35" i="14"/>
  <c r="AJ34" i="14"/>
  <c r="AJ33" i="14"/>
  <c r="AJ32" i="14"/>
  <c r="AJ30" i="14"/>
  <c r="AJ27" i="14"/>
  <c r="AJ26" i="14"/>
  <c r="AJ25" i="14"/>
  <c r="AJ24" i="14"/>
  <c r="AJ23" i="14"/>
  <c r="AJ22" i="14"/>
  <c r="AJ21" i="14"/>
  <c r="AJ18" i="14"/>
  <c r="AJ17" i="14"/>
  <c r="AJ16" i="14"/>
  <c r="AJ15" i="14"/>
  <c r="AJ12" i="14"/>
  <c r="AJ11" i="14"/>
  <c r="AJ10" i="14"/>
  <c r="AJ9" i="14"/>
  <c r="AJ8" i="14"/>
  <c r="AJ7" i="14"/>
  <c r="AJ6" i="14"/>
  <c r="AJ5" i="14"/>
  <c r="AF64" i="14"/>
  <c r="AF62" i="14"/>
  <c r="AF61" i="14"/>
  <c r="AF60" i="14"/>
  <c r="AF59" i="14"/>
  <c r="AF58" i="14"/>
  <c r="AF49" i="14"/>
  <c r="AF48" i="14"/>
  <c r="AF47" i="14"/>
  <c r="AF46" i="14"/>
  <c r="AF45" i="14"/>
  <c r="AF44" i="14"/>
  <c r="AF43" i="14"/>
  <c r="AF42" i="14"/>
  <c r="AF41" i="14"/>
  <c r="AF40" i="14"/>
  <c r="AF39" i="14"/>
  <c r="AF38" i="14"/>
  <c r="AF35" i="14"/>
  <c r="AF34" i="14"/>
  <c r="AF33" i="14"/>
  <c r="AF32" i="14"/>
  <c r="AF31" i="14"/>
  <c r="AF30" i="14"/>
  <c r="AF29" i="14"/>
  <c r="AF28" i="14"/>
  <c r="AF27" i="14"/>
  <c r="AF26" i="14"/>
  <c r="AF25" i="14"/>
  <c r="AF24" i="14"/>
  <c r="AF23" i="14"/>
  <c r="AF22" i="14"/>
  <c r="AF21" i="14"/>
  <c r="AF18" i="14"/>
  <c r="AF17" i="14"/>
  <c r="AF16" i="14"/>
  <c r="AF15" i="14"/>
  <c r="AF12" i="14"/>
  <c r="AF11" i="14"/>
  <c r="AF10" i="14"/>
  <c r="AF9" i="14"/>
  <c r="AF8" i="14"/>
  <c r="AF7" i="14"/>
  <c r="AF6" i="14"/>
  <c r="AF5" i="14"/>
  <c r="AH39" i="14"/>
  <c r="AJ62" i="22"/>
  <c r="AF67" i="21"/>
  <c r="AE67" i="21"/>
  <c r="AD67" i="21"/>
  <c r="AC67" i="21"/>
  <c r="AB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AF57" i="21"/>
  <c r="AE57" i="21"/>
  <c r="AD57" i="21"/>
  <c r="AC57" i="21"/>
  <c r="AB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AF56" i="21"/>
  <c r="AE56" i="21"/>
  <c r="AD56" i="21"/>
  <c r="AC56" i="21"/>
  <c r="AB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AF55" i="21"/>
  <c r="AE55" i="21"/>
  <c r="AD55" i="21"/>
  <c r="AC55" i="21"/>
  <c r="AB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AF54" i="21"/>
  <c r="AE54" i="21"/>
  <c r="AD54" i="21"/>
  <c r="AC54" i="21"/>
  <c r="AB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AI62" i="20"/>
  <c r="C66" i="20"/>
  <c r="AG67" i="26"/>
  <c r="AF67" i="26"/>
  <c r="AE67" i="26"/>
  <c r="AD67" i="26"/>
  <c r="AC67" i="26"/>
  <c r="AB67" i="26"/>
  <c r="AA67" i="26"/>
  <c r="Z67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AG66" i="26"/>
  <c r="AF66" i="26"/>
  <c r="AE66" i="26"/>
  <c r="AD66" i="26"/>
  <c r="AC66" i="26"/>
  <c r="AB66" i="26"/>
  <c r="AA66" i="26"/>
  <c r="Z66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7" i="26"/>
  <c r="D66" i="26"/>
  <c r="AG57" i="26"/>
  <c r="AF57" i="26"/>
  <c r="AE57" i="26"/>
  <c r="AD57" i="26"/>
  <c r="AC57" i="26"/>
  <c r="AB57" i="26"/>
  <c r="AA57" i="26"/>
  <c r="Z57" i="26"/>
  <c r="Y57" i="26"/>
  <c r="X57" i="26"/>
  <c r="W57" i="26"/>
  <c r="V57" i="26"/>
  <c r="U57" i="26"/>
  <c r="T57" i="26"/>
  <c r="S57" i="26"/>
  <c r="R57" i="26"/>
  <c r="Q57" i="26"/>
  <c r="P57" i="26"/>
  <c r="O57" i="26"/>
  <c r="N57" i="26"/>
  <c r="M57" i="26"/>
  <c r="L57" i="26"/>
  <c r="K57" i="26"/>
  <c r="J57" i="26"/>
  <c r="I57" i="26"/>
  <c r="H57" i="26"/>
  <c r="G57" i="26"/>
  <c r="F57" i="26"/>
  <c r="E57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C57" i="26"/>
  <c r="C56" i="26"/>
  <c r="C55" i="26"/>
  <c r="C54" i="26"/>
  <c r="D55" i="26"/>
  <c r="D57" i="26"/>
  <c r="D56" i="26"/>
  <c r="D54" i="26"/>
  <c r="C67" i="26"/>
  <c r="C66" i="26"/>
  <c r="AJ64" i="26"/>
  <c r="AJ62" i="26"/>
  <c r="AJ61" i="26"/>
  <c r="AJ60" i="26"/>
  <c r="AJ52" i="26"/>
  <c r="AJ51" i="26"/>
  <c r="AJ50" i="26"/>
  <c r="AJ49" i="26"/>
  <c r="AJ48" i="26"/>
  <c r="AJ47" i="26"/>
  <c r="AJ46" i="26"/>
  <c r="AJ45" i="26"/>
  <c r="AJ44" i="26"/>
  <c r="AJ43" i="26"/>
  <c r="AJ40" i="26"/>
  <c r="AJ39" i="26"/>
  <c r="AJ38" i="26"/>
  <c r="AJ37" i="26"/>
  <c r="AJ36" i="26"/>
  <c r="AJ35" i="26"/>
  <c r="AJ34" i="26"/>
  <c r="AJ33" i="26"/>
  <c r="AJ32" i="26"/>
  <c r="AJ31" i="26"/>
  <c r="AJ30" i="26"/>
  <c r="AJ29" i="26"/>
  <c r="AJ26" i="26"/>
  <c r="AJ25" i="26"/>
  <c r="AJ24" i="26"/>
  <c r="AJ23" i="26"/>
  <c r="AJ22" i="26"/>
  <c r="AK22" i="26"/>
  <c r="AI15" i="20"/>
  <c r="AJ21" i="26"/>
  <c r="AJ18" i="26"/>
  <c r="AJ17" i="26"/>
  <c r="AJ16" i="26"/>
  <c r="AJ15" i="26"/>
  <c r="AJ12" i="26"/>
  <c r="AJ11" i="26"/>
  <c r="AJ10" i="26"/>
  <c r="AJ9" i="26"/>
  <c r="AJ8" i="26"/>
  <c r="AJ7" i="26"/>
  <c r="AJ6" i="26"/>
  <c r="AJ5" i="26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8" i="13"/>
  <c r="C67" i="13"/>
  <c r="C66" i="13"/>
  <c r="C6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5" i="13"/>
  <c r="C54" i="13"/>
  <c r="C53" i="13"/>
  <c r="C52" i="13"/>
  <c r="C51" i="13"/>
  <c r="AK16" i="24"/>
  <c r="AK17" i="24"/>
  <c r="AK18" i="24"/>
  <c r="AK19" i="24"/>
  <c r="AK20" i="24"/>
  <c r="AK21" i="24"/>
  <c r="AK22" i="24"/>
  <c r="AK15" i="24"/>
  <c r="AI15" i="21"/>
  <c r="AJ23" i="20"/>
  <c r="AJ22" i="20"/>
  <c r="AJ21" i="20"/>
  <c r="AJ20" i="20"/>
  <c r="AJ19" i="20"/>
  <c r="AJ18" i="20"/>
  <c r="AJ17" i="20"/>
  <c r="AJ16" i="20"/>
  <c r="AJ15" i="20"/>
  <c r="AI22" i="23"/>
  <c r="AI21" i="23"/>
  <c r="AI20" i="23"/>
  <c r="AI19" i="23"/>
  <c r="AI18" i="23"/>
  <c r="AI17" i="23"/>
  <c r="AI16" i="23"/>
  <c r="AI15" i="23"/>
  <c r="AJ22" i="22"/>
  <c r="AJ21" i="22"/>
  <c r="AJ20" i="22"/>
  <c r="AJ19" i="22"/>
  <c r="AJ18" i="22"/>
  <c r="AJ17" i="22"/>
  <c r="AJ16" i="22"/>
  <c r="AI16" i="21"/>
  <c r="AI17" i="21"/>
  <c r="AI18" i="21"/>
  <c r="AI19" i="21"/>
  <c r="AI20" i="21"/>
  <c r="AI21" i="21"/>
  <c r="AI22" i="21"/>
  <c r="AI23" i="21"/>
  <c r="AK45" i="24"/>
  <c r="AK46" i="24"/>
  <c r="AK47" i="24"/>
  <c r="AK48" i="24"/>
  <c r="AK49" i="24"/>
  <c r="AK50" i="24"/>
  <c r="AI45" i="23"/>
  <c r="AI46" i="23"/>
  <c r="AI47" i="23"/>
  <c r="AI48" i="23"/>
  <c r="AI49" i="23"/>
  <c r="AI50" i="23"/>
  <c r="AJ45" i="22"/>
  <c r="AJ46" i="22"/>
  <c r="AJ47" i="22"/>
  <c r="AJ48" i="22"/>
  <c r="AJ49" i="22"/>
  <c r="AJ50" i="22"/>
  <c r="AJ51" i="22"/>
  <c r="AI46" i="21"/>
  <c r="AI47" i="21"/>
  <c r="AI48" i="21"/>
  <c r="AI49" i="21"/>
  <c r="AI50" i="21"/>
  <c r="AI51" i="21"/>
  <c r="AI52" i="21"/>
  <c r="AJ45" i="20"/>
  <c r="AJ46" i="20"/>
  <c r="AJ47" i="20"/>
  <c r="AJ48" i="20"/>
  <c r="AJ49" i="20"/>
  <c r="AJ50" i="20"/>
  <c r="AJ51" i="20"/>
  <c r="AK39" i="24"/>
  <c r="AK40" i="24"/>
  <c r="AI39" i="23"/>
  <c r="AI40" i="23"/>
  <c r="AI41" i="23"/>
  <c r="AJ39" i="22"/>
  <c r="AJ40" i="22"/>
  <c r="AI40" i="21"/>
  <c r="AI41" i="21"/>
  <c r="AJ40" i="20"/>
  <c r="AJ41" i="20"/>
  <c r="AJ37" i="20"/>
  <c r="AI35" i="18"/>
  <c r="AI47" i="18"/>
  <c r="AI49" i="18"/>
  <c r="AI51" i="18"/>
  <c r="AI48" i="18"/>
  <c r="AI45" i="18"/>
  <c r="C65" i="24"/>
  <c r="C64" i="24"/>
  <c r="D64" i="24"/>
  <c r="D65" i="24"/>
  <c r="E64" i="24"/>
  <c r="AI61" i="23"/>
  <c r="AJ61" i="22"/>
  <c r="AI62" i="21"/>
  <c r="AJ61" i="20"/>
  <c r="AI62" i="18"/>
  <c r="AJ62" i="18"/>
  <c r="AB70" i="17"/>
  <c r="AA70" i="17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C67" i="18"/>
  <c r="C66" i="18"/>
  <c r="D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C66" i="22"/>
  <c r="C65" i="22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C64" i="23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E65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C55" i="18"/>
  <c r="D56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C56" i="20"/>
  <c r="C55" i="20"/>
  <c r="C54" i="20"/>
  <c r="C53" i="20"/>
  <c r="E57" i="18"/>
  <c r="D57" i="18"/>
  <c r="F57" i="18"/>
  <c r="G57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C57" i="18"/>
  <c r="D55" i="18"/>
  <c r="E55" i="18"/>
  <c r="F55" i="18"/>
  <c r="G55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T55" i="18"/>
  <c r="U55" i="18"/>
  <c r="V55" i="18"/>
  <c r="W55" i="18"/>
  <c r="X55" i="18"/>
  <c r="Y55" i="18"/>
  <c r="Z55" i="18"/>
  <c r="AA55" i="18"/>
  <c r="AB55" i="18"/>
  <c r="AC55" i="18"/>
  <c r="AD55" i="18"/>
  <c r="AE55" i="18"/>
  <c r="AF55" i="18"/>
  <c r="C56" i="18"/>
  <c r="C54" i="18"/>
  <c r="AI50" i="18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AF71" i="17"/>
  <c r="AG71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AD72" i="17"/>
  <c r="AE72" i="17"/>
  <c r="AF72" i="17"/>
  <c r="AG72" i="17"/>
  <c r="N70" i="17"/>
  <c r="N73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C70" i="17"/>
  <c r="AD70" i="17"/>
  <c r="AE70" i="17"/>
  <c r="AF70" i="17"/>
  <c r="AG70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D59" i="17"/>
  <c r="AJ65" i="17"/>
  <c r="AJ69" i="15"/>
  <c r="AK69" i="15"/>
  <c r="AH69" i="16"/>
  <c r="AJ30" i="17"/>
  <c r="AJ31" i="17"/>
  <c r="AJ32" i="17"/>
  <c r="AJ33" i="17"/>
  <c r="AJ34" i="17"/>
  <c r="AJ35" i="17"/>
  <c r="AJ36" i="17"/>
  <c r="AJ37" i="17"/>
  <c r="AJ38" i="17"/>
  <c r="AJ39" i="17"/>
  <c r="AJ40" i="17"/>
  <c r="AJ41" i="17"/>
  <c r="AJ42" i="17"/>
  <c r="AJ43" i="17"/>
  <c r="AJ46" i="17"/>
  <c r="AJ47" i="17"/>
  <c r="AJ48" i="17"/>
  <c r="AJ49" i="17"/>
  <c r="AJ50" i="17"/>
  <c r="AJ51" i="17"/>
  <c r="AJ52" i="17"/>
  <c r="AJ53" i="17"/>
  <c r="AJ29" i="17"/>
  <c r="AI41" i="18"/>
  <c r="AI25" i="18"/>
  <c r="AI15" i="18"/>
  <c r="AI16" i="18"/>
  <c r="AJ16" i="18"/>
  <c r="AI17" i="18"/>
  <c r="AI18" i="18"/>
  <c r="AM26" i="16"/>
  <c r="AI15" i="16"/>
  <c r="AI16" i="16"/>
  <c r="AI17" i="16"/>
  <c r="AI18" i="16"/>
  <c r="AI19" i="16"/>
  <c r="AM15" i="16"/>
  <c r="AM16" i="16"/>
  <c r="AM17" i="16"/>
  <c r="AM18" i="16"/>
  <c r="AM19" i="16"/>
  <c r="AN19" i="16"/>
  <c r="AI19" i="17"/>
  <c r="AN15" i="16"/>
  <c r="AI15" i="17"/>
  <c r="AI26" i="16"/>
  <c r="AJ64" i="17"/>
  <c r="AM65" i="16"/>
  <c r="AN65" i="16"/>
  <c r="AI64" i="17"/>
  <c r="AM64" i="16"/>
  <c r="AI65" i="16"/>
  <c r="AJ65" i="16"/>
  <c r="AI64" i="16"/>
  <c r="AJ62" i="20"/>
  <c r="AK62" i="20"/>
  <c r="AH63" i="21"/>
  <c r="AJ63" i="21"/>
  <c r="AI62" i="22"/>
  <c r="AK62" i="22"/>
  <c r="AH62" i="23"/>
  <c r="AJ62" i="23"/>
  <c r="AJ62" i="24"/>
  <c r="AL62" i="24"/>
  <c r="AJ60" i="20"/>
  <c r="AJ15" i="15"/>
  <c r="AK15" i="15"/>
  <c r="AJ15" i="16"/>
  <c r="AJ16" i="15"/>
  <c r="AK16" i="15"/>
  <c r="AJ17" i="15"/>
  <c r="AK17" i="15"/>
  <c r="AJ18" i="15"/>
  <c r="AK18" i="15"/>
  <c r="AJ19" i="15"/>
  <c r="AK19" i="15"/>
  <c r="AJ19" i="16"/>
  <c r="AJ51" i="15"/>
  <c r="AN18" i="16"/>
  <c r="AI18" i="17"/>
  <c r="AN65" i="15"/>
  <c r="AO65" i="15"/>
  <c r="AK59" i="14"/>
  <c r="AL59" i="14"/>
  <c r="AM64" i="15"/>
  <c r="AN64" i="15"/>
  <c r="AI61" i="18"/>
  <c r="AI61" i="21"/>
  <c r="AK60" i="14"/>
  <c r="AL60" i="14"/>
  <c r="AM66" i="15"/>
  <c r="AN66" i="15"/>
  <c r="AM66" i="16"/>
  <c r="AI64" i="18"/>
  <c r="AI64" i="21"/>
  <c r="C55" i="14"/>
  <c r="C54" i="14"/>
  <c r="C53" i="14"/>
  <c r="C52" i="14"/>
  <c r="C51" i="14"/>
  <c r="AJ43" i="13"/>
  <c r="AK43" i="13"/>
  <c r="AJ44" i="13"/>
  <c r="AK44" i="13"/>
  <c r="AJ46" i="13"/>
  <c r="AK46" i="13"/>
  <c r="AJ47" i="13"/>
  <c r="AK47" i="13"/>
  <c r="AJ48" i="13"/>
  <c r="AK48" i="13"/>
  <c r="AJ49" i="13"/>
  <c r="AK49" i="13"/>
  <c r="AJ42" i="13"/>
  <c r="AK42" i="13"/>
  <c r="AJ40" i="13"/>
  <c r="AK40" i="13"/>
  <c r="AN7" i="15"/>
  <c r="AK8" i="24"/>
  <c r="AK9" i="24"/>
  <c r="AI8" i="23"/>
  <c r="AI9" i="23"/>
  <c r="AJ8" i="22"/>
  <c r="AJ9" i="22"/>
  <c r="AI8" i="21"/>
  <c r="AI9" i="21"/>
  <c r="AJ8" i="20"/>
  <c r="AJ9" i="20"/>
  <c r="AI8" i="18"/>
  <c r="AI9" i="18"/>
  <c r="AJ8" i="17"/>
  <c r="AJ9" i="17"/>
  <c r="AM8" i="16"/>
  <c r="AM9" i="16"/>
  <c r="AI8" i="16"/>
  <c r="AI9" i="16"/>
  <c r="AN8" i="15"/>
  <c r="AN9" i="15"/>
  <c r="AJ8" i="15"/>
  <c r="AJ9" i="15"/>
  <c r="V56" i="16"/>
  <c r="V57" i="16"/>
  <c r="V58" i="16"/>
  <c r="V59" i="16"/>
  <c r="V60" i="16"/>
  <c r="V71" i="16"/>
  <c r="V72" i="16"/>
  <c r="V73" i="16"/>
  <c r="V74" i="16"/>
  <c r="AK8" i="14"/>
  <c r="AK9" i="14"/>
  <c r="AG8" i="14"/>
  <c r="AG9" i="14"/>
  <c r="AN12" i="13"/>
  <c r="AO12" i="13"/>
  <c r="AG40" i="14"/>
  <c r="AH40" i="14"/>
  <c r="AJ16" i="13"/>
  <c r="AK16" i="13"/>
  <c r="AJ17" i="13"/>
  <c r="AK17" i="13"/>
  <c r="AG17" i="14"/>
  <c r="AJ24" i="15"/>
  <c r="AI24" i="16"/>
  <c r="AJ18" i="13"/>
  <c r="AK18" i="13"/>
  <c r="AG18" i="14"/>
  <c r="AJ25" i="15"/>
  <c r="AK15" i="13"/>
  <c r="AJ12" i="13"/>
  <c r="AK12" i="13"/>
  <c r="AN10" i="13"/>
  <c r="AO10" i="13"/>
  <c r="AJ22" i="13"/>
  <c r="AK22" i="13"/>
  <c r="AJ23" i="13"/>
  <c r="AK23" i="13"/>
  <c r="AG23" i="14"/>
  <c r="AJ24" i="13"/>
  <c r="AK24" i="13"/>
  <c r="AJ25" i="13"/>
  <c r="AK25" i="13"/>
  <c r="AJ26" i="13"/>
  <c r="AK26" i="13"/>
  <c r="AJ27" i="13"/>
  <c r="AK27" i="13"/>
  <c r="AJ28" i="13"/>
  <c r="AK28" i="13"/>
  <c r="AJ29" i="13"/>
  <c r="AK29" i="13"/>
  <c r="AJ30" i="13"/>
  <c r="AK30" i="13"/>
  <c r="AJ31" i="13"/>
  <c r="AK31" i="13"/>
  <c r="AJ32" i="13"/>
  <c r="AK32" i="13"/>
  <c r="AJ33" i="13"/>
  <c r="AK33" i="13"/>
  <c r="AJ34" i="13"/>
  <c r="AK34" i="13"/>
  <c r="AJ35" i="13"/>
  <c r="AK35" i="13"/>
  <c r="AJ38" i="13"/>
  <c r="AK38" i="13"/>
  <c r="AJ39" i="13"/>
  <c r="AK39" i="13"/>
  <c r="AG41" i="14"/>
  <c r="AJ47" i="15"/>
  <c r="AJ41" i="13"/>
  <c r="AK41" i="13"/>
  <c r="AJ45" i="13"/>
  <c r="AK45" i="13"/>
  <c r="AJ21" i="13"/>
  <c r="AK21" i="13"/>
  <c r="AJ7" i="13"/>
  <c r="AK7" i="13"/>
  <c r="AJ8" i="13"/>
  <c r="AK8" i="13"/>
  <c r="AJ9" i="13"/>
  <c r="AK9" i="13"/>
  <c r="AJ10" i="13"/>
  <c r="AK10" i="13"/>
  <c r="AJ11" i="13"/>
  <c r="AK11" i="13"/>
  <c r="AN33" i="13"/>
  <c r="AO33" i="13"/>
  <c r="AN34" i="13"/>
  <c r="AO34" i="13"/>
  <c r="AN23" i="13"/>
  <c r="AO23" i="13"/>
  <c r="AK5" i="24"/>
  <c r="AK6" i="24"/>
  <c r="AK7" i="24"/>
  <c r="AK10" i="24"/>
  <c r="AK11" i="24"/>
  <c r="AK12" i="24"/>
  <c r="AK25" i="24"/>
  <c r="AK26" i="24"/>
  <c r="AK27" i="24"/>
  <c r="AK28" i="24"/>
  <c r="AK29" i="24"/>
  <c r="AK30" i="24"/>
  <c r="AK31" i="24"/>
  <c r="AK32" i="24"/>
  <c r="AK33" i="24"/>
  <c r="AK34" i="24"/>
  <c r="AK35" i="24"/>
  <c r="AK36" i="24"/>
  <c r="AK41" i="24"/>
  <c r="C53" i="24"/>
  <c r="D53" i="24"/>
  <c r="E53" i="24"/>
  <c r="F53" i="24"/>
  <c r="G53" i="24"/>
  <c r="H53" i="24"/>
  <c r="I53" i="24"/>
  <c r="J53" i="24"/>
  <c r="K53" i="24"/>
  <c r="L53" i="24"/>
  <c r="M53" i="24"/>
  <c r="N53" i="24"/>
  <c r="O53" i="24"/>
  <c r="P53" i="24"/>
  <c r="Q53" i="24"/>
  <c r="R53" i="24"/>
  <c r="S53" i="24"/>
  <c r="T53" i="24"/>
  <c r="U53" i="24"/>
  <c r="V53" i="24"/>
  <c r="W53" i="24"/>
  <c r="X53" i="24"/>
  <c r="Y53" i="24"/>
  <c r="Z53" i="24"/>
  <c r="AA53" i="24"/>
  <c r="AC53" i="24"/>
  <c r="AD53" i="24"/>
  <c r="AE53" i="24"/>
  <c r="AF53" i="24"/>
  <c r="AG53" i="24"/>
  <c r="C54" i="24"/>
  <c r="D54" i="24"/>
  <c r="E54" i="24"/>
  <c r="F54" i="24"/>
  <c r="G54" i="24"/>
  <c r="H54" i="24"/>
  <c r="I54" i="24"/>
  <c r="J54" i="24"/>
  <c r="K54" i="24"/>
  <c r="L54" i="24"/>
  <c r="M54" i="24"/>
  <c r="N54" i="24"/>
  <c r="O54" i="24"/>
  <c r="P54" i="24"/>
  <c r="Q54" i="24"/>
  <c r="R54" i="24"/>
  <c r="S54" i="24"/>
  <c r="T54" i="24"/>
  <c r="U54" i="24"/>
  <c r="V54" i="24"/>
  <c r="W54" i="24"/>
  <c r="X54" i="24"/>
  <c r="Y54" i="24"/>
  <c r="Z54" i="24"/>
  <c r="AA54" i="24"/>
  <c r="AB54" i="24"/>
  <c r="AC54" i="24"/>
  <c r="AD54" i="24"/>
  <c r="AE54" i="24"/>
  <c r="AF54" i="24"/>
  <c r="AG54" i="24"/>
  <c r="C55" i="24"/>
  <c r="D55" i="24"/>
  <c r="E55" i="24"/>
  <c r="F55" i="24"/>
  <c r="G55" i="24"/>
  <c r="H55" i="24"/>
  <c r="I55" i="24"/>
  <c r="J55" i="24"/>
  <c r="K55" i="24"/>
  <c r="L55" i="24"/>
  <c r="M55" i="24"/>
  <c r="N55" i="24"/>
  <c r="O55" i="24"/>
  <c r="P55" i="24"/>
  <c r="Q55" i="24"/>
  <c r="R55" i="24"/>
  <c r="S55" i="24"/>
  <c r="T55" i="24"/>
  <c r="U55" i="24"/>
  <c r="V55" i="24"/>
  <c r="W55" i="24"/>
  <c r="X55" i="24"/>
  <c r="Y55" i="24"/>
  <c r="Z55" i="24"/>
  <c r="AA55" i="24"/>
  <c r="AB55" i="24"/>
  <c r="AC55" i="24"/>
  <c r="AD55" i="24"/>
  <c r="AE55" i="24"/>
  <c r="AF55" i="24"/>
  <c r="AG55" i="24"/>
  <c r="C56" i="24"/>
  <c r="D56" i="24"/>
  <c r="E56" i="24"/>
  <c r="F56" i="24"/>
  <c r="G56" i="24"/>
  <c r="H56" i="24"/>
  <c r="I56" i="24"/>
  <c r="J56" i="24"/>
  <c r="K56" i="24"/>
  <c r="L56" i="24"/>
  <c r="M56" i="24"/>
  <c r="N56" i="24"/>
  <c r="O56" i="24"/>
  <c r="P56" i="24"/>
  <c r="Q56" i="24"/>
  <c r="R56" i="24"/>
  <c r="S56" i="24"/>
  <c r="T56" i="24"/>
  <c r="U56" i="24"/>
  <c r="V56" i="24"/>
  <c r="W56" i="24"/>
  <c r="X56" i="24"/>
  <c r="Y56" i="24"/>
  <c r="Z56" i="24"/>
  <c r="AA56" i="24"/>
  <c r="AB56" i="24"/>
  <c r="AC56" i="24"/>
  <c r="AD56" i="24"/>
  <c r="AE56" i="24"/>
  <c r="AF56" i="24"/>
  <c r="AG56" i="24"/>
  <c r="AK59" i="24"/>
  <c r="AK60" i="24"/>
  <c r="AI5" i="23"/>
  <c r="AI7" i="23"/>
  <c r="AI10" i="23"/>
  <c r="AI11" i="23"/>
  <c r="AI12" i="23"/>
  <c r="AI25" i="23"/>
  <c r="AI26" i="23"/>
  <c r="AI27" i="23"/>
  <c r="AI28" i="23"/>
  <c r="AI29" i="23"/>
  <c r="AI30" i="23"/>
  <c r="AI31" i="23"/>
  <c r="AI32" i="23"/>
  <c r="AI33" i="23"/>
  <c r="AI34" i="23"/>
  <c r="AI35" i="23"/>
  <c r="AI36" i="23"/>
  <c r="C53" i="23"/>
  <c r="D53" i="23"/>
  <c r="E53" i="23"/>
  <c r="F53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S53" i="23"/>
  <c r="T53" i="23"/>
  <c r="U53" i="23"/>
  <c r="V53" i="23"/>
  <c r="W53" i="23"/>
  <c r="X53" i="23"/>
  <c r="Y53" i="23"/>
  <c r="Z53" i="23"/>
  <c r="AA53" i="23"/>
  <c r="AB53" i="23"/>
  <c r="AC53" i="23"/>
  <c r="AD53" i="23"/>
  <c r="AE53" i="23"/>
  <c r="AF53" i="23"/>
  <c r="C54" i="23"/>
  <c r="D54" i="23"/>
  <c r="E54" i="23"/>
  <c r="F54" i="23"/>
  <c r="G54" i="23"/>
  <c r="H54" i="23"/>
  <c r="I54" i="23"/>
  <c r="J54" i="23"/>
  <c r="K54" i="23"/>
  <c r="L54" i="23"/>
  <c r="M54" i="23"/>
  <c r="N54" i="23"/>
  <c r="O54" i="23"/>
  <c r="P54" i="23"/>
  <c r="Q54" i="23"/>
  <c r="R54" i="23"/>
  <c r="S54" i="23"/>
  <c r="T54" i="23"/>
  <c r="U54" i="23"/>
  <c r="V54" i="23"/>
  <c r="W54" i="23"/>
  <c r="X54" i="23"/>
  <c r="Y54" i="23"/>
  <c r="Z54" i="23"/>
  <c r="AA54" i="23"/>
  <c r="AB54" i="23"/>
  <c r="AC54" i="23"/>
  <c r="AD54" i="23"/>
  <c r="AE54" i="23"/>
  <c r="AF54" i="23"/>
  <c r="C55" i="23"/>
  <c r="D55" i="23"/>
  <c r="E55" i="23"/>
  <c r="F55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S55" i="23"/>
  <c r="T55" i="23"/>
  <c r="U55" i="23"/>
  <c r="V55" i="23"/>
  <c r="W55" i="23"/>
  <c r="X55" i="23"/>
  <c r="Y55" i="23"/>
  <c r="Z55" i="23"/>
  <c r="AA55" i="23"/>
  <c r="AB55" i="23"/>
  <c r="AC55" i="23"/>
  <c r="AD55" i="23"/>
  <c r="AE55" i="23"/>
  <c r="AF55" i="23"/>
  <c r="C56" i="23"/>
  <c r="D56" i="23"/>
  <c r="E56" i="23"/>
  <c r="F56" i="23"/>
  <c r="G56" i="23"/>
  <c r="H56" i="23"/>
  <c r="I56" i="23"/>
  <c r="J56" i="23"/>
  <c r="K56" i="23"/>
  <c r="L56" i="23"/>
  <c r="M56" i="23"/>
  <c r="N56" i="23"/>
  <c r="O56" i="23"/>
  <c r="Q56" i="23"/>
  <c r="R56" i="23"/>
  <c r="S56" i="23"/>
  <c r="T56" i="23"/>
  <c r="V56" i="23"/>
  <c r="W56" i="23"/>
  <c r="X56" i="23"/>
  <c r="Y56" i="23"/>
  <c r="Z56" i="23"/>
  <c r="AA56" i="23"/>
  <c r="AB56" i="23"/>
  <c r="AC56" i="23"/>
  <c r="AD56" i="23"/>
  <c r="AE56" i="23"/>
  <c r="AF56" i="23"/>
  <c r="AI59" i="23"/>
  <c r="AI60" i="23"/>
  <c r="AJ5" i="22"/>
  <c r="AJ6" i="22"/>
  <c r="AJ7" i="22"/>
  <c r="AJ10" i="22"/>
  <c r="AJ11" i="22"/>
  <c r="AJ12" i="22"/>
  <c r="AJ25" i="22"/>
  <c r="AJ26" i="22"/>
  <c r="AJ27" i="22"/>
  <c r="AJ28" i="22"/>
  <c r="AJ29" i="22"/>
  <c r="AJ30" i="22"/>
  <c r="AJ31" i="22"/>
  <c r="AJ32" i="22"/>
  <c r="AJ33" i="22"/>
  <c r="AJ34" i="22"/>
  <c r="AJ35" i="22"/>
  <c r="AJ36" i="22"/>
  <c r="AJ41" i="22"/>
  <c r="C53" i="22"/>
  <c r="D53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S53" i="22"/>
  <c r="T53" i="22"/>
  <c r="U53" i="22"/>
  <c r="V53" i="22"/>
  <c r="W53" i="22"/>
  <c r="X53" i="22"/>
  <c r="Y53" i="22"/>
  <c r="Z53" i="22"/>
  <c r="AA53" i="22"/>
  <c r="AB53" i="22"/>
  <c r="AC53" i="22"/>
  <c r="AD53" i="22"/>
  <c r="AE53" i="22"/>
  <c r="AF53" i="22"/>
  <c r="AG53" i="22"/>
  <c r="C54" i="22"/>
  <c r="D54" i="22"/>
  <c r="E54" i="22"/>
  <c r="F54" i="22"/>
  <c r="G54" i="22"/>
  <c r="H54" i="22"/>
  <c r="I54" i="22"/>
  <c r="J54" i="22"/>
  <c r="K54" i="22"/>
  <c r="L54" i="22"/>
  <c r="M54" i="22"/>
  <c r="N54" i="22"/>
  <c r="O54" i="22"/>
  <c r="P54" i="22"/>
  <c r="Q54" i="22"/>
  <c r="R54" i="22"/>
  <c r="S54" i="22"/>
  <c r="T54" i="22"/>
  <c r="U54" i="22"/>
  <c r="V54" i="22"/>
  <c r="W54" i="22"/>
  <c r="X54" i="22"/>
  <c r="Y54" i="22"/>
  <c r="Z54" i="22"/>
  <c r="AA54" i="22"/>
  <c r="AB54" i="22"/>
  <c r="AC54" i="22"/>
  <c r="AD54" i="22"/>
  <c r="AE54" i="22"/>
  <c r="AF54" i="22"/>
  <c r="AG54" i="22"/>
  <c r="C56" i="22"/>
  <c r="D56" i="22"/>
  <c r="E56" i="22"/>
  <c r="F56" i="22"/>
  <c r="G56" i="22"/>
  <c r="H56" i="22"/>
  <c r="I56" i="22"/>
  <c r="J56" i="22"/>
  <c r="K56" i="22"/>
  <c r="L56" i="22"/>
  <c r="M56" i="22"/>
  <c r="N56" i="22"/>
  <c r="O56" i="22"/>
  <c r="Q56" i="22"/>
  <c r="R56" i="22"/>
  <c r="S56" i="22"/>
  <c r="T56" i="22"/>
  <c r="U56" i="22"/>
  <c r="V56" i="22"/>
  <c r="W56" i="22"/>
  <c r="X56" i="22"/>
  <c r="Y56" i="22"/>
  <c r="Z56" i="22"/>
  <c r="AA56" i="22"/>
  <c r="AC56" i="22"/>
  <c r="AD56" i="22"/>
  <c r="AE56" i="22"/>
  <c r="AF56" i="22"/>
  <c r="AG56" i="22"/>
  <c r="AJ59" i="22"/>
  <c r="AJ60" i="22"/>
  <c r="AJ63" i="22"/>
  <c r="AI5" i="21"/>
  <c r="AI6" i="21"/>
  <c r="AI7" i="21"/>
  <c r="AI10" i="21"/>
  <c r="AI11" i="21"/>
  <c r="AI12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42" i="21"/>
  <c r="C54" i="21"/>
  <c r="C55" i="21"/>
  <c r="C57" i="21"/>
  <c r="AI60" i="21"/>
  <c r="AJ5" i="20"/>
  <c r="AJ6" i="20"/>
  <c r="AJ7" i="20"/>
  <c r="AJ10" i="20"/>
  <c r="AJ11" i="20"/>
  <c r="AJ12" i="20"/>
  <c r="AJ26" i="20"/>
  <c r="AJ27" i="20"/>
  <c r="AJ28" i="20"/>
  <c r="AJ29" i="20"/>
  <c r="AJ30" i="20"/>
  <c r="AJ31" i="20"/>
  <c r="AJ32" i="20"/>
  <c r="AJ33" i="20"/>
  <c r="AJ34" i="20"/>
  <c r="AJ35" i="20"/>
  <c r="AJ36" i="20"/>
  <c r="AJ42" i="20"/>
  <c r="D53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D54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D55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J59" i="20"/>
  <c r="AJ63" i="20"/>
  <c r="AI22" i="18"/>
  <c r="AJ22" i="18"/>
  <c r="AI5" i="18"/>
  <c r="AI6" i="18"/>
  <c r="AI7" i="18"/>
  <c r="AI10" i="18"/>
  <c r="AI11" i="18"/>
  <c r="AI12" i="18"/>
  <c r="AI21" i="18"/>
  <c r="AJ21" i="18"/>
  <c r="AI23" i="18"/>
  <c r="AI24" i="18"/>
  <c r="AI28" i="18"/>
  <c r="AI29" i="18"/>
  <c r="AI30" i="18"/>
  <c r="AI31" i="18"/>
  <c r="AI32" i="18"/>
  <c r="AI33" i="18"/>
  <c r="AI34" i="18"/>
  <c r="AI36" i="18"/>
  <c r="AI37" i="18"/>
  <c r="AI39" i="18"/>
  <c r="AI40" i="18"/>
  <c r="AI44" i="18"/>
  <c r="AI46" i="18"/>
  <c r="AI52" i="18"/>
  <c r="D54" i="18"/>
  <c r="E54" i="18"/>
  <c r="F54" i="18"/>
  <c r="G54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T54" i="18"/>
  <c r="U54" i="18"/>
  <c r="V54" i="18"/>
  <c r="W54" i="18"/>
  <c r="X54" i="18"/>
  <c r="Y54" i="18"/>
  <c r="Z54" i="18"/>
  <c r="AA54" i="18"/>
  <c r="AB54" i="18"/>
  <c r="AC54" i="18"/>
  <c r="AD54" i="18"/>
  <c r="AE54" i="18"/>
  <c r="AF54" i="18"/>
  <c r="D56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AD56" i="18"/>
  <c r="AE56" i="18"/>
  <c r="AF56" i="18"/>
  <c r="AI60" i="18"/>
  <c r="AJ5" i="17"/>
  <c r="AJ6" i="17"/>
  <c r="AJ7" i="17"/>
  <c r="AJ10" i="17"/>
  <c r="AJ11" i="17"/>
  <c r="AJ12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AF55" i="17"/>
  <c r="AG55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AF57" i="17"/>
  <c r="AG57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AD58" i="17"/>
  <c r="AE58" i="17"/>
  <c r="AF58" i="17"/>
  <c r="AG58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AE59" i="17"/>
  <c r="AF59" i="17"/>
  <c r="AG59" i="17"/>
  <c r="AJ62" i="17"/>
  <c r="AJ63" i="17"/>
  <c r="AJ67" i="17"/>
  <c r="AJ66" i="17"/>
  <c r="AJ68" i="17"/>
  <c r="C70" i="17"/>
  <c r="D70" i="17"/>
  <c r="E70" i="17"/>
  <c r="F70" i="17"/>
  <c r="G70" i="17"/>
  <c r="H70" i="17"/>
  <c r="I70" i="17"/>
  <c r="J70" i="17"/>
  <c r="K70" i="17"/>
  <c r="L70" i="17"/>
  <c r="M70" i="17"/>
  <c r="C73" i="17"/>
  <c r="D73" i="17"/>
  <c r="E73" i="17"/>
  <c r="F73" i="17"/>
  <c r="G73" i="17"/>
  <c r="H73" i="17"/>
  <c r="I73" i="17"/>
  <c r="J73" i="17"/>
  <c r="K73" i="17"/>
  <c r="L73" i="17"/>
  <c r="M73" i="17"/>
  <c r="AI5" i="16"/>
  <c r="AM5" i="16"/>
  <c r="AI6" i="16"/>
  <c r="AM6" i="16"/>
  <c r="AI7" i="16"/>
  <c r="AM7" i="16"/>
  <c r="AI10" i="16"/>
  <c r="AM10" i="16"/>
  <c r="AI11" i="16"/>
  <c r="AM11" i="16"/>
  <c r="AI12" i="16"/>
  <c r="AM12" i="16"/>
  <c r="AI22" i="16"/>
  <c r="AM22" i="16"/>
  <c r="AI23" i="16"/>
  <c r="AM23" i="16"/>
  <c r="AM24" i="16"/>
  <c r="AI25" i="16"/>
  <c r="AM25" i="16"/>
  <c r="AI29" i="16"/>
  <c r="AM29" i="16"/>
  <c r="AI30" i="16"/>
  <c r="AM30" i="16"/>
  <c r="AI31" i="16"/>
  <c r="AM31" i="16"/>
  <c r="AI32" i="16"/>
  <c r="AM32" i="16"/>
  <c r="AI33" i="16"/>
  <c r="AM33" i="16"/>
  <c r="AI34" i="16"/>
  <c r="AM34" i="16"/>
  <c r="AI35" i="16"/>
  <c r="AM35" i="16"/>
  <c r="AI36" i="16"/>
  <c r="AM36" i="16"/>
  <c r="AI37" i="16"/>
  <c r="AM37" i="16"/>
  <c r="AI38" i="16"/>
  <c r="AM38" i="16"/>
  <c r="AI39" i="16"/>
  <c r="AM39" i="16"/>
  <c r="AI40" i="16"/>
  <c r="AM40" i="16"/>
  <c r="AI41" i="16"/>
  <c r="AM41" i="16"/>
  <c r="AI42" i="16"/>
  <c r="AM42" i="16"/>
  <c r="AI43" i="16"/>
  <c r="AM43" i="16"/>
  <c r="AI46" i="16"/>
  <c r="AM46" i="16"/>
  <c r="AI47" i="16"/>
  <c r="AM47" i="16"/>
  <c r="AI48" i="16"/>
  <c r="AM48" i="16"/>
  <c r="AI49" i="16"/>
  <c r="AM49" i="16"/>
  <c r="AI50" i="16"/>
  <c r="AM50" i="16"/>
  <c r="AI51" i="16"/>
  <c r="AM51" i="16"/>
  <c r="AI52" i="16"/>
  <c r="AM52" i="16"/>
  <c r="AI53" i="16"/>
  <c r="AM53" i="16"/>
  <c r="AI54" i="16"/>
  <c r="AM54" i="16"/>
  <c r="C56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W56" i="16"/>
  <c r="X56" i="16"/>
  <c r="Y56" i="16"/>
  <c r="Z56" i="16"/>
  <c r="AA56" i="16"/>
  <c r="AB56" i="16"/>
  <c r="AC56" i="16"/>
  <c r="AD56" i="16"/>
  <c r="AE56" i="16"/>
  <c r="AF56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W57" i="16"/>
  <c r="X57" i="16"/>
  <c r="Y57" i="16"/>
  <c r="Z57" i="16"/>
  <c r="AA57" i="16"/>
  <c r="AB57" i="16"/>
  <c r="AC57" i="16"/>
  <c r="AD57" i="16"/>
  <c r="AE57" i="16"/>
  <c r="AF57" i="16"/>
  <c r="C58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W58" i="16"/>
  <c r="X58" i="16"/>
  <c r="Y58" i="16"/>
  <c r="Z58" i="16"/>
  <c r="AA58" i="16"/>
  <c r="AB58" i="16"/>
  <c r="AC58" i="16"/>
  <c r="AD58" i="16"/>
  <c r="AE58" i="16"/>
  <c r="AF58" i="16"/>
  <c r="C59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W59" i="16"/>
  <c r="X59" i="16"/>
  <c r="Y59" i="16"/>
  <c r="Z59" i="16"/>
  <c r="AA59" i="16"/>
  <c r="AB59" i="16"/>
  <c r="AC59" i="16"/>
  <c r="AD59" i="16"/>
  <c r="AE59" i="16"/>
  <c r="AF59" i="16"/>
  <c r="C60" i="16"/>
  <c r="D60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W60" i="16"/>
  <c r="X60" i="16"/>
  <c r="Y60" i="16"/>
  <c r="Z60" i="16"/>
  <c r="AA60" i="16"/>
  <c r="AB60" i="16"/>
  <c r="AC60" i="16"/>
  <c r="AD60" i="16"/>
  <c r="AE60" i="16"/>
  <c r="AF60" i="16"/>
  <c r="AI63" i="16"/>
  <c r="AM63" i="16"/>
  <c r="AI66" i="16"/>
  <c r="AI68" i="16"/>
  <c r="AM68" i="16"/>
  <c r="AI67" i="16"/>
  <c r="AM67" i="16"/>
  <c r="AI69" i="16"/>
  <c r="AM69" i="16"/>
  <c r="C71" i="16"/>
  <c r="D71" i="16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W71" i="16"/>
  <c r="X71" i="16"/>
  <c r="Y71" i="16"/>
  <c r="Z71" i="16"/>
  <c r="AA71" i="16"/>
  <c r="AB71" i="16"/>
  <c r="AC71" i="16"/>
  <c r="AD71" i="16"/>
  <c r="AE71" i="16"/>
  <c r="AF71" i="16"/>
  <c r="C72" i="16"/>
  <c r="D72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W72" i="16"/>
  <c r="X72" i="16"/>
  <c r="Y72" i="16"/>
  <c r="Z72" i="16"/>
  <c r="AA72" i="16"/>
  <c r="AB72" i="16"/>
  <c r="AC72" i="16"/>
  <c r="AD72" i="16"/>
  <c r="AE72" i="16"/>
  <c r="AF72" i="16"/>
  <c r="C73" i="16"/>
  <c r="D73" i="16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W73" i="16"/>
  <c r="X73" i="16"/>
  <c r="Y73" i="16"/>
  <c r="Z73" i="16"/>
  <c r="AA73" i="16"/>
  <c r="AB73" i="16"/>
  <c r="AC73" i="16"/>
  <c r="AD73" i="16"/>
  <c r="AE73" i="16"/>
  <c r="AF73" i="16"/>
  <c r="C74" i="16"/>
  <c r="D74" i="16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W74" i="16"/>
  <c r="X74" i="16"/>
  <c r="Y74" i="16"/>
  <c r="Z74" i="16"/>
  <c r="AA74" i="16"/>
  <c r="AB74" i="16"/>
  <c r="AC74" i="16"/>
  <c r="AD74" i="16"/>
  <c r="AE74" i="16"/>
  <c r="AF74" i="16"/>
  <c r="AJ5" i="15"/>
  <c r="AN5" i="15"/>
  <c r="AJ6" i="15"/>
  <c r="AN6" i="15"/>
  <c r="AJ7" i="15"/>
  <c r="AJ10" i="15"/>
  <c r="AN10" i="15"/>
  <c r="AJ11" i="15"/>
  <c r="AN11" i="15"/>
  <c r="AJ12" i="15"/>
  <c r="AN12" i="15"/>
  <c r="AJ22" i="15"/>
  <c r="AN22" i="15"/>
  <c r="AJ23" i="15"/>
  <c r="AN23" i="15"/>
  <c r="AN24" i="15"/>
  <c r="AN25" i="15"/>
  <c r="AJ29" i="15"/>
  <c r="AN29" i="15"/>
  <c r="AJ30" i="15"/>
  <c r="AN30" i="15"/>
  <c r="AJ31" i="15"/>
  <c r="AN31" i="15"/>
  <c r="AJ32" i="15"/>
  <c r="AN32" i="15"/>
  <c r="AJ33" i="15"/>
  <c r="AN33" i="15"/>
  <c r="AJ34" i="15"/>
  <c r="AN34" i="15"/>
  <c r="AJ35" i="15"/>
  <c r="AN35" i="15"/>
  <c r="AJ36" i="15"/>
  <c r="AN36" i="15"/>
  <c r="AJ37" i="15"/>
  <c r="AN37" i="15"/>
  <c r="AJ38" i="15"/>
  <c r="AN38" i="15"/>
  <c r="AJ39" i="15"/>
  <c r="AN39" i="15"/>
  <c r="AJ40" i="15"/>
  <c r="AN40" i="15"/>
  <c r="AJ41" i="15"/>
  <c r="AN41" i="15"/>
  <c r="AJ42" i="15"/>
  <c r="AN42" i="15"/>
  <c r="AJ43" i="15"/>
  <c r="AN43" i="15"/>
  <c r="AJ46" i="15"/>
  <c r="AN46" i="15"/>
  <c r="AN47" i="15"/>
  <c r="AJ48" i="15"/>
  <c r="AN48" i="15"/>
  <c r="AJ49" i="15"/>
  <c r="AN49" i="15"/>
  <c r="AJ50" i="15"/>
  <c r="AN50" i="15"/>
  <c r="AN51" i="15"/>
  <c r="AJ52" i="15"/>
  <c r="AN52" i="15"/>
  <c r="AJ53" i="15"/>
  <c r="AN53" i="15"/>
  <c r="AJ54" i="15"/>
  <c r="AN54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J63" i="15"/>
  <c r="AN63" i="15"/>
  <c r="AJ64" i="15"/>
  <c r="AJ66" i="15"/>
  <c r="AJ68" i="15"/>
  <c r="AN68" i="15"/>
  <c r="AJ67" i="15"/>
  <c r="AN67" i="15"/>
  <c r="AN69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AG73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G5" i="14"/>
  <c r="AK5" i="14"/>
  <c r="AG6" i="14"/>
  <c r="AK6" i="14"/>
  <c r="AG7" i="14"/>
  <c r="AK7" i="14"/>
  <c r="AG10" i="14"/>
  <c r="AK10" i="14"/>
  <c r="AG11" i="14"/>
  <c r="AK11" i="14"/>
  <c r="AG12" i="14"/>
  <c r="AH12" i="14"/>
  <c r="AK12" i="14"/>
  <c r="AG15" i="14"/>
  <c r="AK15" i="14"/>
  <c r="AG16" i="14"/>
  <c r="AK16" i="14"/>
  <c r="AK17" i="14"/>
  <c r="AK18" i="14"/>
  <c r="AG21" i="14"/>
  <c r="AK21" i="14"/>
  <c r="AG22" i="14"/>
  <c r="AK22" i="14"/>
  <c r="AK23" i="14"/>
  <c r="AG24" i="14"/>
  <c r="AK24" i="14"/>
  <c r="AG25" i="14"/>
  <c r="AK25" i="14"/>
  <c r="AG26" i="14"/>
  <c r="AK26" i="14"/>
  <c r="AG27" i="14"/>
  <c r="AK27" i="14"/>
  <c r="AG28" i="14"/>
  <c r="AK28" i="14"/>
  <c r="AG29" i="14"/>
  <c r="AK29" i="14"/>
  <c r="AG30" i="14"/>
  <c r="AK30" i="14"/>
  <c r="AG31" i="14"/>
  <c r="AK31" i="14"/>
  <c r="AG32" i="14"/>
  <c r="AK32" i="14"/>
  <c r="AG33" i="14"/>
  <c r="AK33" i="14"/>
  <c r="AG34" i="14"/>
  <c r="AK34" i="14"/>
  <c r="AG35" i="14"/>
  <c r="AK35" i="14"/>
  <c r="AG38" i="14"/>
  <c r="AK38" i="14"/>
  <c r="AK40" i="14"/>
  <c r="AK41" i="14"/>
  <c r="AG42" i="14"/>
  <c r="AK42" i="14"/>
  <c r="AL42" i="14"/>
  <c r="AM48" i="15"/>
  <c r="AO48" i="15"/>
  <c r="AG43" i="14"/>
  <c r="AK43" i="14"/>
  <c r="AG44" i="14"/>
  <c r="AK44" i="14"/>
  <c r="AG45" i="14"/>
  <c r="AK45" i="14"/>
  <c r="AG46" i="14"/>
  <c r="AK46" i="14"/>
  <c r="AG47" i="14"/>
  <c r="AK47" i="14"/>
  <c r="AG48" i="14"/>
  <c r="AK48" i="14"/>
  <c r="AG49" i="14"/>
  <c r="AK49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G58" i="14"/>
  <c r="AK58" i="14"/>
  <c r="AG59" i="14"/>
  <c r="AG60" i="14"/>
  <c r="AG62" i="14"/>
  <c r="AK62" i="14"/>
  <c r="AL62" i="14"/>
  <c r="AM68" i="15"/>
  <c r="AO68" i="15"/>
  <c r="AG61" i="14"/>
  <c r="AK61" i="14"/>
  <c r="AL61" i="14"/>
  <c r="AM67" i="15"/>
  <c r="AO67" i="15"/>
  <c r="AL67" i="16"/>
  <c r="AG64" i="14"/>
  <c r="AK64" i="14"/>
  <c r="AL64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J5" i="13"/>
  <c r="AK5" i="13"/>
  <c r="AH5" i="14"/>
  <c r="AN5" i="13"/>
  <c r="AO5" i="13"/>
  <c r="AL5" i="14"/>
  <c r="AM5" i="15"/>
  <c r="AO5" i="15"/>
  <c r="AL5" i="16"/>
  <c r="AJ6" i="13"/>
  <c r="AK6" i="13"/>
  <c r="AH6" i="14"/>
  <c r="AN6" i="13"/>
  <c r="AO6" i="13"/>
  <c r="AL6" i="14"/>
  <c r="AM6" i="15"/>
  <c r="AN7" i="13"/>
  <c r="AO7" i="13"/>
  <c r="AL7" i="14"/>
  <c r="AM7" i="15"/>
  <c r="AO7" i="15"/>
  <c r="AN8" i="13"/>
  <c r="AO8" i="13"/>
  <c r="AL8" i="14"/>
  <c r="AM8" i="15"/>
  <c r="AO8" i="15"/>
  <c r="AN9" i="13"/>
  <c r="AO9" i="13"/>
  <c r="AL9" i="14"/>
  <c r="AM9" i="15"/>
  <c r="AO9" i="15"/>
  <c r="AN11" i="13"/>
  <c r="AO11" i="13"/>
  <c r="AL11" i="14"/>
  <c r="AM11" i="15"/>
  <c r="AO11" i="15"/>
  <c r="AL11" i="16"/>
  <c r="AN15" i="13"/>
  <c r="AO15" i="13"/>
  <c r="AL15" i="14"/>
  <c r="AM22" i="15"/>
  <c r="AO22" i="15"/>
  <c r="AN16" i="13"/>
  <c r="AO16" i="13"/>
  <c r="AL16" i="14"/>
  <c r="AM23" i="15"/>
  <c r="AO23" i="15"/>
  <c r="AN17" i="13"/>
  <c r="AO17" i="13"/>
  <c r="AL17" i="14"/>
  <c r="AM24" i="15"/>
  <c r="AO24" i="15"/>
  <c r="AN18" i="13"/>
  <c r="AO18" i="13"/>
  <c r="AL18" i="14"/>
  <c r="AM25" i="15"/>
  <c r="AO25" i="15"/>
  <c r="AL25" i="16"/>
  <c r="AN21" i="13"/>
  <c r="AO21" i="13"/>
  <c r="AL21" i="14"/>
  <c r="AM29" i="15"/>
  <c r="AO29" i="15"/>
  <c r="AN22" i="13"/>
  <c r="AO22" i="13"/>
  <c r="AL22" i="14"/>
  <c r="AM30" i="15"/>
  <c r="AO30" i="15"/>
  <c r="AN24" i="13"/>
  <c r="AO24" i="13"/>
  <c r="AL24" i="14"/>
  <c r="AM32" i="15"/>
  <c r="AO32" i="15"/>
  <c r="AL32" i="16"/>
  <c r="AN25" i="13"/>
  <c r="AO25" i="13"/>
  <c r="AL25" i="14"/>
  <c r="AM33" i="15"/>
  <c r="AO33" i="15"/>
  <c r="AN26" i="13"/>
  <c r="AO26" i="13"/>
  <c r="AN27" i="13"/>
  <c r="AO27" i="13"/>
  <c r="AL27" i="14"/>
  <c r="AM35" i="15"/>
  <c r="AO35" i="15"/>
  <c r="AN28" i="13"/>
  <c r="AO28" i="13"/>
  <c r="AN29" i="13"/>
  <c r="AO29" i="13"/>
  <c r="AN30" i="13"/>
  <c r="AO30" i="13"/>
  <c r="AL30" i="14"/>
  <c r="AM38" i="15"/>
  <c r="AO38" i="15"/>
  <c r="AN31" i="13"/>
  <c r="AO31" i="13"/>
  <c r="AN32" i="13"/>
  <c r="AO32" i="13"/>
  <c r="AL32" i="14"/>
  <c r="AM40" i="15"/>
  <c r="AO40" i="15"/>
  <c r="AL40" i="16"/>
  <c r="AN35" i="13"/>
  <c r="AO35" i="13"/>
  <c r="AL35" i="14"/>
  <c r="AM43" i="15"/>
  <c r="AO43" i="15"/>
  <c r="AN38" i="13"/>
  <c r="AO38" i="13"/>
  <c r="AL38" i="14"/>
  <c r="AM46" i="15"/>
  <c r="AO46" i="15"/>
  <c r="AL46" i="16"/>
  <c r="AN39" i="13"/>
  <c r="AO39" i="13"/>
  <c r="AN40" i="13"/>
  <c r="AO40" i="13"/>
  <c r="AL41" i="14"/>
  <c r="AM47" i="15"/>
  <c r="AO47" i="15"/>
  <c r="AL47" i="16"/>
  <c r="AN47" i="16"/>
  <c r="AN41" i="13"/>
  <c r="AO41" i="13"/>
  <c r="AN43" i="13"/>
  <c r="AO43" i="13"/>
  <c r="AL43" i="14"/>
  <c r="AM49" i="15"/>
  <c r="AO49" i="15"/>
  <c r="AN44" i="13"/>
  <c r="AO44" i="13"/>
  <c r="AL44" i="14"/>
  <c r="AM50" i="15"/>
  <c r="AO50" i="15"/>
  <c r="AL50" i="16"/>
  <c r="AN45" i="13"/>
  <c r="AO45" i="13"/>
  <c r="AN46" i="13"/>
  <c r="AO46" i="13"/>
  <c r="AN47" i="13"/>
  <c r="AO47" i="13"/>
  <c r="AL47" i="14"/>
  <c r="AM53" i="15"/>
  <c r="AO53" i="15"/>
  <c r="AN48" i="13"/>
  <c r="AO48" i="13"/>
  <c r="AL48" i="14"/>
  <c r="AN49" i="13"/>
  <c r="AO49" i="13"/>
  <c r="AL49" i="14"/>
  <c r="AM54" i="15"/>
  <c r="AO54" i="15"/>
  <c r="AL54" i="16"/>
  <c r="AJ58" i="13"/>
  <c r="AK58" i="13"/>
  <c r="AH58" i="14"/>
  <c r="AI63" i="15"/>
  <c r="AN58" i="13"/>
  <c r="AO58" i="13"/>
  <c r="AL58" i="14"/>
  <c r="AM63" i="15"/>
  <c r="AO63" i="15"/>
  <c r="AJ59" i="13"/>
  <c r="AK59" i="13"/>
  <c r="AN59" i="13"/>
  <c r="AO59" i="13"/>
  <c r="AJ60" i="13"/>
  <c r="AK60" i="13"/>
  <c r="AH60" i="14"/>
  <c r="AN60" i="13"/>
  <c r="AO60" i="13"/>
  <c r="AJ61" i="13"/>
  <c r="AK61" i="13"/>
  <c r="AH62" i="14"/>
  <c r="AN61" i="13"/>
  <c r="AO61" i="13"/>
  <c r="AJ62" i="13"/>
  <c r="AK62" i="13"/>
  <c r="AH61" i="14"/>
  <c r="AN62" i="13"/>
  <c r="AO62" i="13"/>
  <c r="AJ63" i="13"/>
  <c r="AK63" i="13"/>
  <c r="AH64" i="14"/>
  <c r="AI51" i="15"/>
  <c r="AN63" i="13"/>
  <c r="AO63" i="13"/>
  <c r="AL45" i="14"/>
  <c r="AH45" i="14"/>
  <c r="AL40" i="14"/>
  <c r="AJ23" i="18"/>
  <c r="AO51" i="15"/>
  <c r="AN51" i="16"/>
  <c r="AO69" i="15"/>
  <c r="AN69" i="16"/>
  <c r="AH44" i="14"/>
  <c r="AH8" i="14"/>
  <c r="AH10" i="14"/>
  <c r="AJ29" i="14"/>
  <c r="AL29" i="14"/>
  <c r="AM37" i="15"/>
  <c r="AO37" i="15"/>
  <c r="AJ31" i="14"/>
  <c r="AL31" i="14"/>
  <c r="AM39" i="15"/>
  <c r="AO39" i="15"/>
  <c r="AJ28" i="14"/>
  <c r="AL28" i="14"/>
  <c r="AM36" i="15"/>
  <c r="AO36" i="15"/>
  <c r="AL36" i="16"/>
  <c r="AK51" i="15"/>
  <c r="AH51" i="16"/>
  <c r="AI62" i="26"/>
  <c r="AK62" i="26"/>
  <c r="AI61" i="20"/>
  <c r="AK61" i="20"/>
  <c r="AL22" i="16"/>
  <c r="AN22" i="16"/>
  <c r="AI22" i="17"/>
  <c r="AI5" i="15"/>
  <c r="AK5" i="15"/>
  <c r="AH5" i="16"/>
  <c r="AJ5" i="16"/>
  <c r="AL48" i="16"/>
  <c r="AN48" i="16"/>
  <c r="AI47" i="17"/>
  <c r="AK47" i="17"/>
  <c r="AI50" i="15"/>
  <c r="AK50" i="15"/>
  <c r="AH50" i="16"/>
  <c r="AJ50" i="16"/>
  <c r="AL38" i="16"/>
  <c r="AN38" i="16"/>
  <c r="AI38" i="17"/>
  <c r="AK38" i="17"/>
  <c r="AH37" i="18"/>
  <c r="AJ37" i="18"/>
  <c r="AI37" i="26"/>
  <c r="AK37" i="26"/>
  <c r="AI34" i="20"/>
  <c r="AK34" i="20"/>
  <c r="AH34" i="21"/>
  <c r="AJ34" i="21"/>
  <c r="AI33" i="22"/>
  <c r="AL39" i="16"/>
  <c r="AN39" i="16"/>
  <c r="AI39" i="17"/>
  <c r="AK39" i="17"/>
  <c r="AH38" i="18"/>
  <c r="AL63" i="16"/>
  <c r="AN63" i="16"/>
  <c r="AI62" i="17"/>
  <c r="AK62" i="17"/>
  <c r="AH60" i="18"/>
  <c r="AJ60" i="18"/>
  <c r="AI60" i="26"/>
  <c r="AL53" i="16"/>
  <c r="AN53" i="16"/>
  <c r="AI52" i="17"/>
  <c r="AK52" i="17"/>
  <c r="AH52" i="18"/>
  <c r="AJ52" i="18"/>
  <c r="AI52" i="26"/>
  <c r="AL30" i="16"/>
  <c r="AN30" i="16"/>
  <c r="AI30" i="17"/>
  <c r="AK30" i="17"/>
  <c r="AH29" i="18"/>
  <c r="AJ29" i="18"/>
  <c r="AI29" i="26"/>
  <c r="AK29" i="26"/>
  <c r="AI26" i="20"/>
  <c r="AK26" i="20"/>
  <c r="AL9" i="16"/>
  <c r="AN9" i="16"/>
  <c r="AI9" i="17"/>
  <c r="AK9" i="17"/>
  <c r="AH9" i="18"/>
  <c r="AJ9" i="18"/>
  <c r="AI9" i="26"/>
  <c r="AK9" i="26"/>
  <c r="AI9" i="20"/>
  <c r="AK9" i="20"/>
  <c r="AH9" i="21"/>
  <c r="AJ9" i="21"/>
  <c r="AI12" i="15"/>
  <c r="AK12" i="15"/>
  <c r="AH12" i="16"/>
  <c r="AJ12" i="16"/>
  <c r="AL33" i="16"/>
  <c r="AN33" i="16"/>
  <c r="AI33" i="17"/>
  <c r="AK33" i="17"/>
  <c r="AH32" i="18"/>
  <c r="AJ32" i="18"/>
  <c r="AI32" i="26"/>
  <c r="AK32" i="26"/>
  <c r="AI29" i="20"/>
  <c r="AK29" i="20"/>
  <c r="AI67" i="15"/>
  <c r="AK67" i="15"/>
  <c r="AH67" i="16"/>
  <c r="AJ67" i="16"/>
  <c r="AL37" i="16"/>
  <c r="AN37" i="16"/>
  <c r="AI37" i="17"/>
  <c r="AK37" i="17"/>
  <c r="AL29" i="16"/>
  <c r="AN29" i="16"/>
  <c r="AI29" i="17"/>
  <c r="AK29" i="17"/>
  <c r="AH28" i="18"/>
  <c r="AJ28" i="18"/>
  <c r="AL8" i="16"/>
  <c r="AN8" i="16"/>
  <c r="AI8" i="17"/>
  <c r="AK8" i="17"/>
  <c r="AH8" i="18"/>
  <c r="AJ8" i="18"/>
  <c r="AI8" i="26"/>
  <c r="AK8" i="26"/>
  <c r="AI8" i="20"/>
  <c r="AK8" i="20"/>
  <c r="AL7" i="16"/>
  <c r="AN7" i="16"/>
  <c r="AI7" i="17"/>
  <c r="AK7" i="17"/>
  <c r="AH7" i="18"/>
  <c r="AJ7" i="18"/>
  <c r="AI7" i="26"/>
  <c r="AK7" i="26"/>
  <c r="AI7" i="20"/>
  <c r="AK7" i="20"/>
  <c r="AI8" i="15"/>
  <c r="AK8" i="15"/>
  <c r="AH8" i="16"/>
  <c r="AJ8" i="16"/>
  <c r="AI66" i="15"/>
  <c r="AK66" i="15"/>
  <c r="AH66" i="16"/>
  <c r="AJ66" i="16"/>
  <c r="AI68" i="15"/>
  <c r="AK68" i="15"/>
  <c r="AH68" i="16"/>
  <c r="AJ68" i="16"/>
  <c r="AL43" i="16"/>
  <c r="AN43" i="16"/>
  <c r="AI43" i="17"/>
  <c r="AK43" i="17"/>
  <c r="AH41" i="18"/>
  <c r="AJ41" i="18"/>
  <c r="AI45" i="26"/>
  <c r="AL35" i="16"/>
  <c r="AN35" i="16"/>
  <c r="AI35" i="17"/>
  <c r="AK35" i="17"/>
  <c r="AH34" i="18"/>
  <c r="AJ34" i="18"/>
  <c r="AI34" i="26"/>
  <c r="AK34" i="26"/>
  <c r="AI31" i="20"/>
  <c r="AK31" i="20"/>
  <c r="AL24" i="16"/>
  <c r="AN24" i="16"/>
  <c r="AI24" i="17"/>
  <c r="AL68" i="16"/>
  <c r="AN68" i="16"/>
  <c r="AI67" i="17"/>
  <c r="AK67" i="17"/>
  <c r="AH47" i="18"/>
  <c r="AJ47" i="18"/>
  <c r="AI47" i="26"/>
  <c r="AK47" i="26"/>
  <c r="AI46" i="20"/>
  <c r="AK46" i="20"/>
  <c r="AI10" i="15"/>
  <c r="AK10" i="15"/>
  <c r="AH10" i="16"/>
  <c r="AJ10" i="16"/>
  <c r="AL49" i="16"/>
  <c r="AN49" i="16"/>
  <c r="AI48" i="17"/>
  <c r="AK48" i="17"/>
  <c r="AH46" i="18"/>
  <c r="AJ46" i="18"/>
  <c r="AI46" i="26"/>
  <c r="AK46" i="26"/>
  <c r="AI45" i="20"/>
  <c r="AK45" i="20"/>
  <c r="AL23" i="16"/>
  <c r="AN23" i="16"/>
  <c r="AI23" i="17"/>
  <c r="AI6" i="15"/>
  <c r="AK6" i="15"/>
  <c r="AH6" i="16"/>
  <c r="AJ6" i="16"/>
  <c r="AK64" i="17"/>
  <c r="AH63" i="18"/>
  <c r="AI68" i="17"/>
  <c r="AK68" i="17"/>
  <c r="AH49" i="18"/>
  <c r="AJ49" i="18"/>
  <c r="AI49" i="26"/>
  <c r="AK49" i="26"/>
  <c r="AI48" i="20"/>
  <c r="AK48" i="20"/>
  <c r="AI50" i="17"/>
  <c r="AK50" i="17"/>
  <c r="AH48" i="18"/>
  <c r="AJ48" i="18"/>
  <c r="AI48" i="26"/>
  <c r="AK48" i="26"/>
  <c r="AI47" i="20"/>
  <c r="AK47" i="20"/>
  <c r="AI23" i="26"/>
  <c r="AK23" i="26"/>
  <c r="AI16" i="20"/>
  <c r="AK16" i="20"/>
  <c r="AH16" i="21"/>
  <c r="AJ16" i="21"/>
  <c r="AI24" i="26"/>
  <c r="AK24" i="26"/>
  <c r="AI17" i="20"/>
  <c r="AK17" i="20"/>
  <c r="AH17" i="21"/>
  <c r="AJ17" i="21"/>
  <c r="AI21" i="26"/>
  <c r="AK21" i="26"/>
  <c r="AI22" i="20"/>
  <c r="AK22" i="20"/>
  <c r="AH22" i="21"/>
  <c r="AJ22" i="21"/>
  <c r="AI16" i="26"/>
  <c r="AK16" i="26"/>
  <c r="AI18" i="20"/>
  <c r="AK18" i="20"/>
  <c r="AH18" i="21"/>
  <c r="AJ18" i="21"/>
  <c r="AJ17" i="18"/>
  <c r="AJ15" i="18"/>
  <c r="AJ25" i="18"/>
  <c r="AN17" i="16"/>
  <c r="AI17" i="17"/>
  <c r="AN67" i="16"/>
  <c r="AN50" i="16"/>
  <c r="AN36" i="16"/>
  <c r="AN54" i="16"/>
  <c r="AN40" i="16"/>
  <c r="AN25" i="16"/>
  <c r="AI25" i="17"/>
  <c r="AN46" i="16"/>
  <c r="AN32" i="16"/>
  <c r="AJ18" i="16"/>
  <c r="AJ16" i="16"/>
  <c r="AN11" i="16"/>
  <c r="AN5" i="16"/>
  <c r="AJ17" i="16"/>
  <c r="AN16" i="16"/>
  <c r="AI16" i="17"/>
  <c r="AJ69" i="16"/>
  <c r="AJ51" i="16"/>
  <c r="AJ26" i="16"/>
  <c r="AN26" i="16"/>
  <c r="AI26" i="17"/>
  <c r="AK63" i="15"/>
  <c r="AO6" i="15"/>
  <c r="AO66" i="15"/>
  <c r="AO64" i="15"/>
  <c r="AH59" i="14"/>
  <c r="AL46" i="14"/>
  <c r="AM52" i="15"/>
  <c r="AO52" i="15"/>
  <c r="AL26" i="14"/>
  <c r="AM34" i="15"/>
  <c r="AO34" i="15"/>
  <c r="AH17" i="14"/>
  <c r="AL23" i="14"/>
  <c r="AM31" i="15"/>
  <c r="AO31" i="15"/>
  <c r="AH26" i="14"/>
  <c r="AL10" i="14"/>
  <c r="AM10" i="15"/>
  <c r="AO10" i="15"/>
  <c r="AL34" i="14"/>
  <c r="AM42" i="15"/>
  <c r="AO42" i="15"/>
  <c r="AH33" i="14"/>
  <c r="AL12" i="14"/>
  <c r="AM12" i="15"/>
  <c r="AO12" i="15"/>
  <c r="AH41" i="14"/>
  <c r="AH43" i="14"/>
  <c r="AL33" i="14"/>
  <c r="AM41" i="15"/>
  <c r="AO41" i="15"/>
  <c r="AH7" i="14"/>
  <c r="AH32" i="14"/>
  <c r="AH25" i="14"/>
  <c r="AH42" i="14"/>
  <c r="AH21" i="14"/>
  <c r="AH38" i="14"/>
  <c r="AH31" i="14"/>
  <c r="AH49" i="14"/>
  <c r="AH30" i="14"/>
  <c r="AH24" i="14"/>
  <c r="AH15" i="14"/>
  <c r="AH48" i="14"/>
  <c r="AI65" i="15"/>
  <c r="AH35" i="14"/>
  <c r="AH29" i="14"/>
  <c r="AH16" i="14"/>
  <c r="AH47" i="14"/>
  <c r="AH11" i="14"/>
  <c r="AH34" i="14"/>
  <c r="AH28" i="14"/>
  <c r="AH23" i="14"/>
  <c r="AH46" i="14"/>
  <c r="AH9" i="14"/>
  <c r="AH27" i="14"/>
  <c r="AH22" i="14"/>
  <c r="AH18" i="14"/>
  <c r="AK15" i="20"/>
  <c r="AJ18" i="18"/>
  <c r="AJ24" i="18"/>
  <c r="AI53" i="15"/>
  <c r="AK53" i="15"/>
  <c r="AH53" i="16"/>
  <c r="AJ53" i="16"/>
  <c r="AI23" i="15"/>
  <c r="AK23" i="15"/>
  <c r="AH23" i="16"/>
  <c r="AJ23" i="16"/>
  <c r="AI24" i="15"/>
  <c r="AK24" i="15"/>
  <c r="AH24" i="16"/>
  <c r="AJ24" i="16"/>
  <c r="AI37" i="15"/>
  <c r="AK37" i="15"/>
  <c r="AH37" i="16"/>
  <c r="AJ37" i="16"/>
  <c r="AL31" i="16"/>
  <c r="AN31" i="16"/>
  <c r="AI31" i="17"/>
  <c r="AK31" i="17"/>
  <c r="AH30" i="18"/>
  <c r="AJ30" i="18"/>
  <c r="AI30" i="26"/>
  <c r="AK30" i="26"/>
  <c r="AI27" i="20"/>
  <c r="AK27" i="20"/>
  <c r="AH27" i="21"/>
  <c r="AJ27" i="21"/>
  <c r="AI26" i="22"/>
  <c r="AK26" i="22"/>
  <c r="AI39" i="15"/>
  <c r="AK39" i="15"/>
  <c r="AH39" i="16"/>
  <c r="AJ39" i="16"/>
  <c r="AI46" i="15"/>
  <c r="AK46" i="15"/>
  <c r="AH46" i="16"/>
  <c r="AJ46" i="16"/>
  <c r="AL12" i="16"/>
  <c r="AN12" i="16"/>
  <c r="AI12" i="17"/>
  <c r="AK12" i="17"/>
  <c r="AH12" i="18"/>
  <c r="AJ12" i="18"/>
  <c r="AI12" i="26"/>
  <c r="AK12" i="26"/>
  <c r="AI12" i="20"/>
  <c r="AK12" i="20"/>
  <c r="AH12" i="21"/>
  <c r="AJ12" i="21"/>
  <c r="AI12" i="22"/>
  <c r="AK12" i="22"/>
  <c r="AI30" i="15"/>
  <c r="AK30" i="15"/>
  <c r="AH30" i="16"/>
  <c r="AJ30" i="16"/>
  <c r="AI54" i="15"/>
  <c r="AK54" i="15"/>
  <c r="AH54" i="16"/>
  <c r="AJ54" i="16"/>
  <c r="AI35" i="15"/>
  <c r="AK35" i="15"/>
  <c r="AH35" i="16"/>
  <c r="AJ35" i="16"/>
  <c r="AI49" i="15"/>
  <c r="AK49" i="15"/>
  <c r="AH49" i="16"/>
  <c r="AJ49" i="16"/>
  <c r="AI9" i="15"/>
  <c r="AK9" i="15"/>
  <c r="AH9" i="16"/>
  <c r="AJ9" i="16"/>
  <c r="AL34" i="16"/>
  <c r="AN34" i="16"/>
  <c r="AI34" i="17"/>
  <c r="AK34" i="17"/>
  <c r="AH33" i="18"/>
  <c r="AJ33" i="18"/>
  <c r="AI33" i="26"/>
  <c r="AK33" i="26"/>
  <c r="AI30" i="20"/>
  <c r="AK30" i="20"/>
  <c r="AH30" i="21"/>
  <c r="AJ30" i="21"/>
  <c r="AK29" i="22"/>
  <c r="AL52" i="16"/>
  <c r="AN52" i="16"/>
  <c r="AI51" i="17"/>
  <c r="AK51" i="17"/>
  <c r="AH51" i="18"/>
  <c r="AJ51" i="18"/>
  <c r="AI51" i="26"/>
  <c r="AK51" i="26"/>
  <c r="AI50" i="20"/>
  <c r="AK50" i="20"/>
  <c r="AH51" i="21"/>
  <c r="AJ51" i="21"/>
  <c r="AK50" i="22"/>
  <c r="AI48" i="15"/>
  <c r="AK48" i="15"/>
  <c r="AH48" i="16"/>
  <c r="AJ48" i="16"/>
  <c r="AI41" i="15"/>
  <c r="AK41" i="15"/>
  <c r="AH41" i="16"/>
  <c r="AJ41" i="16"/>
  <c r="AI64" i="15"/>
  <c r="AK64" i="15"/>
  <c r="AH64" i="16"/>
  <c r="AJ64" i="16"/>
  <c r="AI36" i="15"/>
  <c r="AK36" i="15"/>
  <c r="AH36" i="16"/>
  <c r="AJ36" i="16"/>
  <c r="AI22" i="15"/>
  <c r="AK22" i="15"/>
  <c r="AH22" i="16"/>
  <c r="AJ22" i="16"/>
  <c r="AI33" i="15"/>
  <c r="AK33" i="15"/>
  <c r="AH33" i="16"/>
  <c r="AJ33" i="16"/>
  <c r="AL42" i="16"/>
  <c r="AN42" i="16"/>
  <c r="AI42" i="17"/>
  <c r="AK42" i="17"/>
  <c r="AL64" i="16"/>
  <c r="AN64" i="16"/>
  <c r="AI63" i="17"/>
  <c r="AK63" i="17"/>
  <c r="AH61" i="18"/>
  <c r="AJ61" i="18"/>
  <c r="AI61" i="26"/>
  <c r="AK61" i="26"/>
  <c r="AI60" i="20"/>
  <c r="AK60" i="20"/>
  <c r="AH61" i="21"/>
  <c r="AJ61" i="21"/>
  <c r="AI60" i="22"/>
  <c r="AK60" i="22"/>
  <c r="AL41" i="16"/>
  <c r="AN41" i="16"/>
  <c r="AI41" i="17"/>
  <c r="AK41" i="17"/>
  <c r="AH40" i="18"/>
  <c r="AJ40" i="18"/>
  <c r="AI40" i="26"/>
  <c r="AK40" i="26"/>
  <c r="AI37" i="20"/>
  <c r="AK37" i="20"/>
  <c r="AH37" i="21"/>
  <c r="AJ37" i="21"/>
  <c r="AK36" i="22"/>
  <c r="AI47" i="15"/>
  <c r="AK47" i="15"/>
  <c r="AH47" i="16"/>
  <c r="AJ47" i="16"/>
  <c r="AI52" i="15"/>
  <c r="AK52" i="15"/>
  <c r="AH52" i="16"/>
  <c r="AJ52" i="16"/>
  <c r="AI43" i="15"/>
  <c r="AK43" i="15"/>
  <c r="AH43" i="16"/>
  <c r="AJ43" i="16"/>
  <c r="AI29" i="15"/>
  <c r="AK29" i="15"/>
  <c r="AH29" i="16"/>
  <c r="AJ29" i="16"/>
  <c r="AI31" i="15"/>
  <c r="AK31" i="15"/>
  <c r="AH31" i="16"/>
  <c r="AJ31" i="16"/>
  <c r="AI42" i="15"/>
  <c r="AK42" i="15"/>
  <c r="AH42" i="16"/>
  <c r="AJ42" i="16"/>
  <c r="AI32" i="15"/>
  <c r="AK32" i="15"/>
  <c r="AH32" i="16"/>
  <c r="AJ32" i="16"/>
  <c r="AI40" i="15"/>
  <c r="AK40" i="15"/>
  <c r="AH40" i="16"/>
  <c r="AJ40" i="16"/>
  <c r="AL10" i="16"/>
  <c r="AN10" i="16"/>
  <c r="AI10" i="17"/>
  <c r="AK10" i="17"/>
  <c r="AH10" i="18"/>
  <c r="AJ10" i="18"/>
  <c r="AI10" i="26"/>
  <c r="AK10" i="26"/>
  <c r="AI10" i="20"/>
  <c r="AK10" i="20"/>
  <c r="AH10" i="21"/>
  <c r="AJ10" i="21"/>
  <c r="AI10" i="22"/>
  <c r="AK10" i="22"/>
  <c r="AL66" i="16"/>
  <c r="AN66" i="16"/>
  <c r="AI65" i="17"/>
  <c r="AK65" i="17"/>
  <c r="AH64" i="18"/>
  <c r="AJ64" i="18"/>
  <c r="AI64" i="26"/>
  <c r="AK64" i="26"/>
  <c r="AI63" i="20"/>
  <c r="AK63" i="20"/>
  <c r="AH64" i="21"/>
  <c r="AJ64" i="21"/>
  <c r="AI63" i="22"/>
  <c r="AK63" i="22"/>
  <c r="AI25" i="15"/>
  <c r="AK25" i="15"/>
  <c r="AH25" i="16"/>
  <c r="AJ25" i="16"/>
  <c r="AI11" i="15"/>
  <c r="AK11" i="15"/>
  <c r="AH11" i="16"/>
  <c r="AJ11" i="16"/>
  <c r="AI38" i="15"/>
  <c r="AK38" i="15"/>
  <c r="AH38" i="16"/>
  <c r="AJ38" i="16"/>
  <c r="AI7" i="15"/>
  <c r="AK7" i="15"/>
  <c r="AH7" i="16"/>
  <c r="AJ7" i="16"/>
  <c r="AI34" i="15"/>
  <c r="AK34" i="15"/>
  <c r="AH34" i="16"/>
  <c r="AJ34" i="16"/>
  <c r="AL6" i="16"/>
  <c r="AN6" i="16"/>
  <c r="AI6" i="17"/>
  <c r="AK6" i="17"/>
  <c r="AH6" i="18"/>
  <c r="AJ6" i="18"/>
  <c r="AI6" i="26"/>
  <c r="AK6" i="26"/>
  <c r="AI6" i="20"/>
  <c r="AK6" i="20"/>
  <c r="AH6" i="21"/>
  <c r="AJ6" i="21"/>
  <c r="AI6" i="22"/>
  <c r="AK6" i="22"/>
  <c r="AH6" i="23"/>
  <c r="AJ6" i="23"/>
  <c r="AH63" i="16"/>
  <c r="AJ63" i="16"/>
  <c r="AI36" i="17"/>
  <c r="AK36" i="17"/>
  <c r="AH35" i="18"/>
  <c r="AJ35" i="18"/>
  <c r="AI35" i="26"/>
  <c r="AK35" i="26"/>
  <c r="AI32" i="20"/>
  <c r="AK32" i="20"/>
  <c r="AH32" i="21"/>
  <c r="AJ32" i="21"/>
  <c r="AI31" i="22"/>
  <c r="AK31" i="22"/>
  <c r="AI40" i="17"/>
  <c r="AK40" i="17"/>
  <c r="AH39" i="18"/>
  <c r="AJ39" i="18"/>
  <c r="AI39" i="26"/>
  <c r="AK39" i="26"/>
  <c r="AI36" i="20"/>
  <c r="AK36" i="20"/>
  <c r="AH36" i="21"/>
  <c r="AJ36" i="21"/>
  <c r="AI35" i="22"/>
  <c r="AK35" i="22"/>
  <c r="AI11" i="17"/>
  <c r="AK11" i="17"/>
  <c r="AH11" i="18"/>
  <c r="AJ11" i="18"/>
  <c r="AI11" i="26"/>
  <c r="AK11" i="26"/>
  <c r="AI11" i="20"/>
  <c r="AK11" i="20"/>
  <c r="AH11" i="21"/>
  <c r="AJ11" i="21"/>
  <c r="AI11" i="22"/>
  <c r="AK11" i="22"/>
  <c r="AI53" i="17"/>
  <c r="AK53" i="17"/>
  <c r="AH45" i="18"/>
  <c r="AJ45" i="18"/>
  <c r="AI44" i="26"/>
  <c r="AK44" i="26"/>
  <c r="AI41" i="20"/>
  <c r="AK41" i="20"/>
  <c r="AH41" i="21"/>
  <c r="AJ41" i="21"/>
  <c r="AI40" i="22"/>
  <c r="AK40" i="22"/>
  <c r="AI32" i="17"/>
  <c r="AK32" i="17"/>
  <c r="AH31" i="18"/>
  <c r="AJ31" i="18"/>
  <c r="AI31" i="26"/>
  <c r="AK31" i="26"/>
  <c r="AI28" i="20"/>
  <c r="AK28" i="20"/>
  <c r="AH28" i="21"/>
  <c r="AJ28" i="21"/>
  <c r="AK27" i="22"/>
  <c r="AI66" i="17"/>
  <c r="AK66" i="17"/>
  <c r="AI5" i="17"/>
  <c r="AK5" i="17"/>
  <c r="AH5" i="18"/>
  <c r="AJ5" i="18"/>
  <c r="AI5" i="26"/>
  <c r="AK5" i="26"/>
  <c r="AI5" i="20"/>
  <c r="AK5" i="20"/>
  <c r="AI49" i="17"/>
  <c r="AK49" i="17"/>
  <c r="AH50" i="18"/>
  <c r="AJ50" i="18"/>
  <c r="AI50" i="26"/>
  <c r="AK50" i="26"/>
  <c r="AI49" i="20"/>
  <c r="AK49" i="20"/>
  <c r="AH50" i="21"/>
  <c r="AJ50" i="21"/>
  <c r="AK49" i="22"/>
  <c r="AI46" i="17"/>
  <c r="AK46" i="17"/>
  <c r="AH44" i="18"/>
  <c r="AJ44" i="18"/>
  <c r="AI43" i="26"/>
  <c r="AK43" i="26"/>
  <c r="AI40" i="20"/>
  <c r="AK40" i="20"/>
  <c r="AH40" i="21"/>
  <c r="AJ40" i="21"/>
  <c r="AI39" i="22"/>
  <c r="AK39" i="22"/>
  <c r="AH36" i="18"/>
  <c r="AJ36" i="18"/>
  <c r="AI36" i="26"/>
  <c r="AK36" i="26"/>
  <c r="AI33" i="20"/>
  <c r="AK33" i="20"/>
  <c r="AH33" i="21"/>
  <c r="AJ33" i="21"/>
  <c r="AI17" i="26"/>
  <c r="AK17" i="26"/>
  <c r="AI21" i="20"/>
  <c r="AK21" i="20"/>
  <c r="AH21" i="21"/>
  <c r="AJ21" i="21"/>
  <c r="AK21" i="22"/>
  <c r="AI18" i="26"/>
  <c r="AK18" i="26"/>
  <c r="AI25" i="26"/>
  <c r="AK25" i="26"/>
  <c r="AI23" i="20"/>
  <c r="AK23" i="20"/>
  <c r="AH23" i="21"/>
  <c r="AJ23" i="21"/>
  <c r="AI26" i="26"/>
  <c r="AK26" i="26"/>
  <c r="AI19" i="20"/>
  <c r="AK19" i="20"/>
  <c r="AH19" i="21"/>
  <c r="AJ19" i="21"/>
  <c r="AI19" i="22"/>
  <c r="AK19" i="22"/>
  <c r="AI15" i="26"/>
  <c r="AK15" i="26"/>
  <c r="AI20" i="20"/>
  <c r="AK20" i="20"/>
  <c r="AH20" i="21"/>
  <c r="AJ20" i="21"/>
  <c r="AK20" i="22"/>
  <c r="AK60" i="26"/>
  <c r="AI59" i="20"/>
  <c r="AK59" i="20"/>
  <c r="AH60" i="21"/>
  <c r="AJ60" i="21"/>
  <c r="AI59" i="22"/>
  <c r="AK59" i="22"/>
  <c r="AK52" i="26"/>
  <c r="AI51" i="20"/>
  <c r="AK51" i="20"/>
  <c r="AH52" i="21"/>
  <c r="AJ52" i="21"/>
  <c r="AI51" i="22"/>
  <c r="AK51" i="22"/>
  <c r="AK45" i="26"/>
  <c r="AI42" i="20"/>
  <c r="AK42" i="20"/>
  <c r="AH42" i="21"/>
  <c r="AJ42" i="21"/>
  <c r="AK41" i="22"/>
  <c r="AJ38" i="18"/>
  <c r="AI38" i="26"/>
  <c r="AH15" i="21"/>
  <c r="AJ15" i="21"/>
  <c r="AH31" i="21"/>
  <c r="AJ31" i="21"/>
  <c r="AI30" i="22"/>
  <c r="AK30" i="22"/>
  <c r="AH49" i="21"/>
  <c r="AJ49" i="21"/>
  <c r="AK48" i="22"/>
  <c r="AH48" i="21"/>
  <c r="AJ48" i="21"/>
  <c r="AI47" i="22"/>
  <c r="AK47" i="22"/>
  <c r="AH47" i="21"/>
  <c r="AJ47" i="21"/>
  <c r="AI46" i="22"/>
  <c r="AK46" i="22"/>
  <c r="AH46" i="21"/>
  <c r="AJ46" i="21"/>
  <c r="AI45" i="22"/>
  <c r="AK45" i="22"/>
  <c r="AH8" i="21"/>
  <c r="AJ8" i="21"/>
  <c r="AI8" i="22"/>
  <c r="AK8" i="22"/>
  <c r="AH62" i="21"/>
  <c r="AJ62" i="21"/>
  <c r="AI61" i="22"/>
  <c r="AK61" i="22"/>
  <c r="AH29" i="21"/>
  <c r="AJ29" i="21"/>
  <c r="AK28" i="22"/>
  <c r="AH26" i="21"/>
  <c r="AJ26" i="21"/>
  <c r="AI25" i="22"/>
  <c r="AK25" i="22"/>
  <c r="AH7" i="21"/>
  <c r="AJ7" i="21"/>
  <c r="AI7" i="22"/>
  <c r="AK7" i="22"/>
  <c r="AI18" i="22"/>
  <c r="AK18" i="22"/>
  <c r="AI22" i="22"/>
  <c r="AK22" i="22"/>
  <c r="AI16" i="22"/>
  <c r="AK16" i="22"/>
  <c r="AK33" i="22"/>
  <c r="AI17" i="22"/>
  <c r="AK17" i="22"/>
  <c r="AI32" i="22"/>
  <c r="AK32" i="22"/>
  <c r="AI15" i="22"/>
  <c r="AK15" i="22"/>
  <c r="AJ6" i="24"/>
  <c r="AL6" i="24"/>
  <c r="AH41" i="23"/>
  <c r="AJ41" i="23"/>
  <c r="AJ41" i="24"/>
  <c r="AL41" i="24"/>
  <c r="AH10" i="23"/>
  <c r="AJ10" i="23"/>
  <c r="AJ10" i="24"/>
  <c r="AL10" i="24"/>
  <c r="AH32" i="23"/>
  <c r="AJ32" i="23"/>
  <c r="AJ32" i="24"/>
  <c r="AL32" i="24"/>
  <c r="AH16" i="23"/>
  <c r="AJ16" i="23"/>
  <c r="AJ16" i="24"/>
  <c r="AL16" i="24"/>
  <c r="AH27" i="23"/>
  <c r="AJ27" i="23"/>
  <c r="AJ27" i="24"/>
  <c r="AL27" i="24"/>
  <c r="AH50" i="23"/>
  <c r="AJ50" i="23"/>
  <c r="AJ50" i="24"/>
  <c r="AL50" i="24"/>
  <c r="AH19" i="23"/>
  <c r="AJ19" i="23"/>
  <c r="AJ19" i="24"/>
  <c r="AL19" i="24"/>
  <c r="AH22" i="23"/>
  <c r="AJ22" i="23"/>
  <c r="AJ22" i="24"/>
  <c r="AL22" i="24"/>
  <c r="AH31" i="23"/>
  <c r="AJ31" i="23"/>
  <c r="AJ31" i="24"/>
  <c r="AL31" i="24"/>
  <c r="AH49" i="23"/>
  <c r="AJ49" i="23"/>
  <c r="AJ49" i="24"/>
  <c r="AL49" i="24"/>
  <c r="AH33" i="23"/>
  <c r="AJ33" i="23"/>
  <c r="AJ33" i="24"/>
  <c r="AL33" i="24"/>
  <c r="AH47" i="23"/>
  <c r="AJ47" i="23"/>
  <c r="AJ47" i="24"/>
  <c r="AL47" i="24"/>
  <c r="AH61" i="23"/>
  <c r="AJ61" i="23"/>
  <c r="AJ61" i="24"/>
  <c r="AL61" i="24"/>
  <c r="AH30" i="23"/>
  <c r="AJ30" i="23"/>
  <c r="AJ30" i="24"/>
  <c r="AL30" i="24"/>
  <c r="AH36" i="23"/>
  <c r="AJ36" i="23"/>
  <c r="AJ36" i="24"/>
  <c r="AL36" i="24"/>
  <c r="AH39" i="23"/>
  <c r="AJ39" i="23"/>
  <c r="AJ39" i="24"/>
  <c r="AL39" i="24"/>
  <c r="AH35" i="23"/>
  <c r="AJ35" i="23"/>
  <c r="AJ35" i="24"/>
  <c r="AL35" i="24"/>
  <c r="AH40" i="23"/>
  <c r="AJ40" i="23"/>
  <c r="AJ40" i="24"/>
  <c r="AL40" i="24"/>
  <c r="AH15" i="23"/>
  <c r="AJ15" i="23"/>
  <c r="AJ15" i="24"/>
  <c r="AL15" i="24"/>
  <c r="AH60" i="23"/>
  <c r="AJ60" i="23"/>
  <c r="AJ60" i="24"/>
  <c r="AL60" i="24"/>
  <c r="AH46" i="23"/>
  <c r="AJ46" i="23"/>
  <c r="AJ46" i="24"/>
  <c r="AL46" i="24"/>
  <c r="AH11" i="23"/>
  <c r="AJ11" i="23"/>
  <c r="AJ11" i="24"/>
  <c r="AL11" i="24"/>
  <c r="AH20" i="23"/>
  <c r="AJ20" i="23"/>
  <c r="AJ20" i="24"/>
  <c r="AL20" i="24"/>
  <c r="AH8" i="23"/>
  <c r="AJ8" i="23"/>
  <c r="AJ8" i="24"/>
  <c r="AL8" i="24"/>
  <c r="AH26" i="23"/>
  <c r="AJ26" i="23"/>
  <c r="AJ26" i="24"/>
  <c r="AL26" i="24"/>
  <c r="AH59" i="23"/>
  <c r="AJ59" i="23"/>
  <c r="AJ59" i="24"/>
  <c r="AL59" i="24"/>
  <c r="AH25" i="23"/>
  <c r="AJ25" i="23"/>
  <c r="AJ25" i="24"/>
  <c r="AL25" i="24"/>
  <c r="AH28" i="23"/>
  <c r="AJ28" i="23"/>
  <c r="AJ28" i="24"/>
  <c r="AL28" i="24"/>
  <c r="AH21" i="23"/>
  <c r="AJ21" i="23"/>
  <c r="AJ21" i="24"/>
  <c r="AL21" i="24"/>
  <c r="AH18" i="23"/>
  <c r="AJ18" i="23"/>
  <c r="AJ18" i="24"/>
  <c r="AL18" i="24"/>
  <c r="AH48" i="23"/>
  <c r="AJ48" i="23"/>
  <c r="AJ48" i="24"/>
  <c r="AL48" i="24"/>
  <c r="AH17" i="23"/>
  <c r="AJ17" i="23"/>
  <c r="AJ17" i="24"/>
  <c r="AL17" i="24"/>
  <c r="AH7" i="23"/>
  <c r="AJ7" i="23"/>
  <c r="AJ7" i="24"/>
  <c r="AL7" i="24"/>
  <c r="AH45" i="23"/>
  <c r="AJ45" i="23"/>
  <c r="AJ45" i="24"/>
  <c r="AL45" i="24"/>
  <c r="AH12" i="23"/>
  <c r="AJ12" i="23"/>
  <c r="AJ12" i="24"/>
  <c r="AL12" i="24"/>
  <c r="AH29" i="23"/>
  <c r="AJ29" i="23"/>
  <c r="AJ29" i="24"/>
  <c r="AL29" i="24"/>
  <c r="AK38" i="26"/>
  <c r="AI35" i="20"/>
  <c r="AK35" i="20"/>
  <c r="AH35" i="21"/>
  <c r="AJ35" i="21"/>
  <c r="AH5" i="21"/>
  <c r="AJ5" i="21"/>
  <c r="AI34" i="22"/>
  <c r="AK34" i="22"/>
  <c r="AH34" i="23"/>
  <c r="AJ34" i="23"/>
  <c r="AJ34" i="24"/>
  <c r="AL34" i="24"/>
  <c r="AI9" i="22"/>
  <c r="AK9" i="22"/>
  <c r="AI5" i="22"/>
  <c r="AK5" i="22"/>
  <c r="AH5" i="23"/>
  <c r="AJ5" i="23"/>
  <c r="AJ5" i="24"/>
  <c r="AL5" i="24"/>
  <c r="AH9" i="23"/>
  <c r="AJ9" i="23"/>
  <c r="AJ9" i="24"/>
  <c r="AL9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tc={006CBC05-5B0B-40FA-98DB-D6CF9B4BAABB}</author>
    <author>tc={EB87BDA4-CB0E-4CAF-94C7-D1F9EBF576E7}</author>
    <author>tc={8E293C21-6145-439A-8873-EA2B9711B53D}</author>
    <author>tc={D7F6C2A2-A59F-4D88-A7C8-D1969D2F8563}</author>
    <author>tc={A2EE1ED2-F562-4C17-A603-9CBF785CCF1B}</author>
    <author>FERREIRA, CRISTIANA MARGARIDA</author>
    <author>tc={533EB987-E3D5-4FF8-82C2-A202484E4CF3}</author>
    <author>tc={C9A3B85C-1747-4A10-9A3F-162765427174}</author>
    <author>tc={5A26B229-B49D-493B-8C68-C6FD3B1A61F4}</author>
    <author>tc={46A1AB91-BF0A-44CB-B4E3-2F6C9AA437D4}</author>
    <author>tc={167A2E32-E25E-4C8E-9B6D-386294FFAC7B}</author>
    <author>tc={BA338321-A2FE-4ED4-BF15-9151FB15D417}</author>
    <author>tc={55D2AAB3-3FAE-473B-AB1F-54FCB3F4B97B}</author>
  </authors>
  <commentList>
    <comment ref="AP6" authorId="0" shapeId="0" xr:uid="{006CBC05-5B0B-40FA-98DB-D6CF9B4BAABB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 de SDP desde 2020; lancar 3 S3 nas ferias de 2025; ja retificado em Abril 2025</t>
      </text>
    </comment>
    <comment ref="T11" authorId="1" shapeId="0" xr:uid="{EB87BDA4-CB0E-4CAF-94C7-D1F9EBF576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
</t>
      </text>
    </comment>
    <comment ref="Z15" authorId="2" shapeId="0" xr:uid="{8E293C21-6145-439A-8873-EA2B9711B53D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+ INAD Hubs</t>
      </text>
    </comment>
    <comment ref="AP15" authorId="3" shapeId="0" xr:uid="{D7F6C2A2-A59F-4D88-A7C8-D1969D2F85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27 Marco 2024 lancado como UA, erro. Para igualar S3 a 3 Janeiro 2025
</t>
      </text>
    </comment>
    <comment ref="L16" authorId="4" shapeId="0" xr:uid="{A2EE1ED2-F562-4C17-A603-9CBF785CCF1B}">
      <text>
        <t>[Threaded comment]
Your version of Excel allows you to read this threaded comment; however, any edits to it will get removed if the file is opened in a newer version of Excel. Learn more: https://go.microsoft.com/fwlink/?linkid=870924
Comment:
    FAL training 14h-15h</t>
      </text>
    </comment>
    <comment ref="AD16" authorId="5" shapeId="0" xr:uid="{BA2375ED-616C-42A2-AC91-9A770FD823C6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L17" authorId="6" shapeId="0" xr:uid="{533EB987-E3D5-4FF8-82C2-A202484E4CF3}">
      <text>
        <t>[Threaded comment]
Your version of Excel allows you to read this threaded comment; however, any edits to it will get removed if the file is opened in a newer version of Excel. Learn more: https://go.microsoft.com/fwlink/?linkid=870924
Comment:
    FAL training - 10h-11h</t>
      </text>
    </comment>
    <comment ref="AP17" authorId="7" shapeId="0" xr:uid="{C9A3B85C-1747-4A10-9A3F-162765427174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 no horario 2024, passagem de Jan para Fev Staff Travel. ainda tem 1 dia de 2024</t>
      </text>
    </comment>
    <comment ref="J18" authorId="8" shapeId="0" xr:uid="{5A26B229-B49D-493B-8C68-C6FD3B1A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FAL training 15h-16h</t>
      </text>
    </comment>
    <comment ref="AP26" authorId="9" shapeId="0" xr:uid="{46A1AB91-BF0A-44CB-B4E3-2F6C9AA437D4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 1 de Maio lancado como U no SDP, lancar um UA como S3; ja retificado em Marco 2025</t>
      </text>
    </comment>
    <comment ref="T30" authorId="10" shapeId="0" xr:uid="{167A2E32-E25E-4C8E-9B6D-386294FFA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AP30" authorId="11" shapeId="0" xr:uid="{BA338321-A2FE-4ED4-BF15-9151FB15D417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erro: em 2024 apenas tinha 20 dias de ferias em vez de 21; para que nao seja prejudicado S3 lancado a 13 Jan</t>
      </text>
    </comment>
    <comment ref="AP42" authorId="12" shapeId="0" xr:uid="{55D2AAB3-3FAE-473B-AB1F-54FCB3F4B9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lancar o primeiro dia de ferias de 2025 como S3, ja corrigido a 4 FEv 25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tc={D3F02E92-51C9-427B-94CD-1B48C3A29F59}</author>
    <author>tc={F0419624-E53C-4A03-BC4A-8E95B44001C1}</author>
    <author>tc={FD823B80-1BC8-457E-AFD6-BDF6FEA07337}</author>
    <author>tc={45BABD44-EB0C-49EB-9D6B-02BA7B6D3833}</author>
    <author>tc={07C2F655-1E5E-4A9C-8095-A2A4263C5F6D}</author>
    <author>tc={CBA4A34A-8C72-43BC-A766-9EED702711BE}</author>
    <author>tc={8E9AA865-375C-4D4E-9F4C-DBC4B0F96114}</author>
    <author>tc={F0CE4C01-8951-4868-B9C4-CFC15F794851}</author>
    <author>tc={1F3545BC-4399-492B-B252-536D0717EA78}</author>
    <author>tc={28E121F0-EB31-4D1A-8788-78C4AB559F51}</author>
    <author>tc={7ED649A2-CE41-4C97-9DEF-5BC134F6A583}</author>
    <author>FERREIRA, CRISTIANA MARGARIDA</author>
    <author>tc={C28E625C-F442-4AE2-9F76-3E1B594B1CC3}</author>
    <author>tc={DDC029DB-6845-40B0-B718-B4FC8CBA1FBE}</author>
    <author>tc={0056FBA6-19FB-4435-B371-5D9D4E9CBD43}</author>
    <author>tc={729D04D7-D84F-4379-B926-857DDDA2B5F7}</author>
    <author>tc={F24D8833-2F8C-48A7-A85D-35050E760D99}</author>
    <author>tc={5531F7E4-3885-4C1C-90FE-45DCCDF02106}</author>
  </authors>
  <commentList>
    <comment ref="N6" authorId="0" shapeId="0" xr:uid="{D3F02E92-51C9-427B-94CD-1B48C3A29F59}">
      <text>
        <t>[Threaded comment]
Your version of Excel allows you to read this threaded comment; however, any edits to it will get removed if the file is opened in a newer version of Excel. Learn more: https://go.microsoft.com/fwlink/?linkid=870924
Comment:
    Marta Vieira</t>
      </text>
    </comment>
    <comment ref="Q6" authorId="1" shapeId="0" xr:uid="{F0419624-E53C-4A03-BC4A-8E95B44001C1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15-18FEB</t>
      </text>
    </comment>
    <comment ref="R6" authorId="2" shapeId="0" xr:uid="{FD823B80-1BC8-457E-AFD6-BDF6FEA07337}">
      <text>
        <t>[Threaded comment]
Your version of Excel allows you to read this threaded comment; however, any edits to it will get removed if the file is opened in a newer version of Excel. Learn more: https://go.microsoft.com/fwlink/?linkid=870924
Comment:
    11h50-19h50
Aeroporto 15-18FEB</t>
      </text>
    </comment>
    <comment ref="S6" authorId="3" shapeId="0" xr:uid="{45BABD44-EB0C-49EB-9D6B-02BA7B6D3833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15-18FEB</t>
      </text>
    </comment>
    <comment ref="T6" authorId="4" shapeId="0" xr:uid="{07C2F655-1E5E-4A9C-8095-A2A4263C5F6D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15-18FEB</t>
      </text>
    </comment>
    <comment ref="L8" authorId="5" shapeId="0" xr:uid="{CBA4A34A-8C72-43BC-A766-9EED702711BE}">
      <text>
        <t>[Threaded comment]
Your version of Excel allows you to read this threaded comment; however, any edits to it will get removed if the file is opened in a newer version of Excel. Learn more: https://go.microsoft.com/fwlink/?linkid=870924
Comment:
    Marta Vieira</t>
      </text>
    </comment>
    <comment ref="S15" authorId="6" shapeId="0" xr:uid="{8E9AA865-375C-4D4E-9F4C-DBC4B0F96114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17-20FEB</t>
      </text>
    </comment>
    <comment ref="T15" authorId="7" shapeId="0" xr:uid="{F0CE4C01-8951-4868-B9C4-CFC15F794851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17-20FEB</t>
      </text>
    </comment>
    <comment ref="U15" authorId="8" shapeId="0" xr:uid="{1F3545BC-4399-492B-B252-536D0717EA78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17-20FEB</t>
      </text>
    </comment>
    <comment ref="V15" authorId="9" shapeId="0" xr:uid="{28E121F0-EB31-4D1A-8788-78C4AB559F51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17-20FEB</t>
      </text>
    </comment>
    <comment ref="AA15" authorId="10" shapeId="0" xr:uid="{7ED649A2-CE41-4C97-9DEF-5BC134F6A583}">
      <text>
        <t>[Threaded comment]
Your version of Excel allows you to read this threaded comment; however, any edits to it will get removed if the file is opened in a newer version of Excel. Learn more: https://go.microsoft.com/fwlink/?linkid=870924
Comment:
    07:30-11:00 + 5H's A comp 13JAN 17:00-22:00</t>
      </text>
    </comment>
    <comment ref="P16" authorId="11" shapeId="0" xr:uid="{351900F1-7F10-459D-BB64-D38F92E1B5BE}">
      <text>
        <r>
          <rPr>
            <sz val="11"/>
            <color theme="1"/>
            <rFont val="Aptos Narrow"/>
            <family val="2"/>
            <scheme val="minor"/>
          </rPr>
          <t xml:space="preserve">FERREIRA, CRISTIANA MARGARIDA:
INADs e Marshals
</t>
        </r>
      </text>
    </comment>
    <comment ref="Q16" authorId="11" shapeId="0" xr:uid="{ADB9C5F1-30B5-4228-9710-FF87C394C01B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AC16" authorId="11" shapeId="0" xr:uid="{9010B81F-F796-4E3B-A083-723C1D8D1F02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D17" authorId="11" shapeId="0" xr:uid="{DB8C73EF-A604-4987-ADEE-D6A5EBE5270C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E17" authorId="11" shapeId="0" xr:uid="{E818E946-150D-47D2-BD77-6144B8D7916D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F17" authorId="11" shapeId="0" xr:uid="{83CAF1D6-CCD7-4053-AA7C-E3AA5DEA2447}">
      <text>
        <r>
          <rPr>
            <sz val="11"/>
            <color theme="1"/>
            <rFont val="Aptos Narrow"/>
            <family val="2"/>
            <scheme val="minor"/>
          </rPr>
          <t xml:space="preserve">FERREIRA, CRISTIANA MARGARIDA:
INADs e Marshals
</t>
        </r>
      </text>
    </comment>
    <comment ref="K17" authorId="11" shapeId="0" xr:uid="{5C248F34-ED7A-4283-8599-963C8AD8FFAA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L17" authorId="11" shapeId="0" xr:uid="{917C2F61-B137-4A30-9B2E-79EDF0B90015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M17" authorId="11" shapeId="0" xr:uid="{7B445C92-855C-4924-96B6-43FC76A47F35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R17" authorId="11" shapeId="0" xr:uid="{A1807BCF-6CB9-4AAF-A1EA-7404669DDF9A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S17" authorId="11" shapeId="0" xr:uid="{A2CD9F7B-8FB0-453B-8FEC-2672EBBA757C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X17" authorId="11" shapeId="0" xr:uid="{1CC63ACC-5607-4771-BE61-F8D697EB488E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Y17" authorId="11" shapeId="0" xr:uid="{CF5C0E68-861B-4C5B-87C6-76C2B92BACCA}">
      <text>
        <r>
          <rPr>
            <sz val="11"/>
            <color theme="1"/>
            <rFont val="Aptos Narrow"/>
            <family val="2"/>
            <scheme val="minor"/>
          </rPr>
          <t>FERREIRA, CRISTIANA MARGARIDA:
INADs e Marshals</t>
        </r>
      </text>
    </comment>
    <comment ref="Y18" authorId="11" shapeId="0" xr:uid="{FC9D70AF-AF08-48FF-B499-58C2D6856BAF}">
      <text>
        <r>
          <rPr>
            <sz val="11"/>
            <color theme="1"/>
            <rFont val="Aptos Narrow"/>
            <family val="2"/>
            <scheme val="minor"/>
          </rPr>
          <t>FERREIRA, CRISTIANA MARGARIDA:
troca de folga de dia 20Feb</t>
        </r>
      </text>
    </comment>
    <comment ref="J26" authorId="12" shapeId="0" xr:uid="{C28E625C-F442-4AE2-9F76-3E1B594B1CC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K27" authorId="13" shapeId="0" xr:uid="{DDC029DB-6845-40B0-B718-B4FC8CBA1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I34" authorId="14" shapeId="0" xr:uid="{0056FBA6-19FB-4435-B371-5D9D4E9CB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G35" authorId="15" shapeId="0" xr:uid="{729D04D7-D84F-4379-B926-857DDDA2B5F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compensacao folga 26</t>
      </text>
    </comment>
    <comment ref="C42" authorId="16" shapeId="0" xr:uid="{F24D8833-2F8C-48A7-A85D-35050E760D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Ajuste de folgas - formação EW
</t>
      </text>
    </comment>
    <comment ref="Y46" authorId="17" shapeId="0" xr:uid="{5531F7E4-3885-4C1C-90FE-45DCCDF021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tc={FBEE86AF-F93A-4021-9B08-9A12FEA95370}</author>
    <author>tc={7CFF8EFA-6047-4268-9800-4029FDE161B6}</author>
    <author>tc={2E4AAFBF-4CF0-462F-A17A-3CFB4908B95F}</author>
    <author>tc={C16F166F-C1F1-47D9-91E0-6834364FBCF3}</author>
    <author>tc={6203B099-2854-489D-BAB1-28DAB7B38378}</author>
    <author>tc={4420E123-DCCA-4855-A670-E33146784F0A}</author>
    <author>tc={C99945F0-5D58-4D9C-83FE-19914B2E0596}</author>
    <author>tc={DC1D5927-EF57-4498-B9F7-E019D79FB6F3}</author>
    <author>tc={62F406A1-06A8-43FC-ADCC-332A33948FC4}</author>
    <author>tc={B8A9C69A-76F0-4E67-BB77-ECBA3C1A4F40}</author>
    <author>tc={E327230F-1136-4612-AAF6-7C95E035095C}</author>
    <author>tc={530E2C84-0A45-4A69-AF70-BCB7BCBB344E}</author>
    <author>tc={B7BF7FAA-D028-4C49-9707-696B97F44EF9}</author>
    <author>tc={2ED06868-CAF5-4BDB-8A51-F36C0118B914}</author>
    <author>tc={A2354359-181B-4D89-82CA-82C7CC0353D1}</author>
    <author>tc={3CC3EB47-A131-4310-9513-788859E6698F}</author>
    <author>tc={DD03FCA7-D981-45B0-B2D7-118DE7872FE4}</author>
    <author>tc={1E7DEDD6-87B7-45CD-8984-2F1FE40E1B4B}</author>
    <author>tc={F9F95508-E5E8-48B0-82F2-9FFD228472E4}</author>
    <author>tc={39958E38-ACA4-4A96-BFFA-C9D53AD1F3AF}</author>
    <author>tc={9A61D470-D637-4693-B550-FABF8904D2B8}</author>
    <author>tc={DDC72714-F2D6-4482-BB0F-1396B7E4640E}</author>
    <author>tc={2ADEB70B-EBC2-4263-8E50-0B00956F56E5}</author>
    <author>tc={06D28D41-8A7F-4295-AD9B-27829371D358}</author>
    <author>tc={EBD7C677-574A-4FF3-B2FC-56CADF58529E}</author>
    <author>tc={7BEC8BF5-9674-44AF-B9BC-27FD9D578695}</author>
    <author>tc={AEFAE344-4363-4031-A4C3-51DD333AF40A}</author>
    <author>tc={73D068BD-5256-48C7-A5DD-ADBA5BA2598C}</author>
    <author>tc={4312E7E0-4197-4840-8949-305C5EA73B73}</author>
    <author>tc={C43CF473-348D-4E69-9DF8-09FAADD02535}</author>
    <author>tc={040F61C3-3834-413A-9136-1BA9AFE7A878}</author>
    <author>tc={98155BDE-54FF-4CF4-A182-EB57B48260D8}</author>
    <author>tc={9043FE27-5A9F-43DF-943E-2616F5A4555B}</author>
    <author>tc={95BE91EA-A67F-403E-BA89-8D11FEAD643E}</author>
    <author>tc={6EF6E735-0D20-4A85-BC54-2B7843DA9E3F}</author>
    <author>tc={544C732F-CB06-41B9-A078-A8930AE341F1}</author>
    <author>tc={EB53B717-9A04-4864-A6C3-F5F95D23A932}</author>
    <author>tc={EEBFF3E3-2C89-4C1C-A873-78650152F9BD}</author>
    <author>tc={16030E6E-19B7-40EF-BB8B-F88C18D787A7}</author>
    <author>tc={0E3166F0-4567-4CA6-9DD4-76D0523AB106}</author>
    <author>tc={7D273BCD-E217-4118-80A6-936CD0A2180E}</author>
    <author>tc={D7EA145D-94DD-48BB-ADDB-9109346A9B1B}</author>
    <author>tc={1CC478B7-8ADE-426A-A26B-43EABD679AB4}</author>
    <author>tc={6921208D-B368-4B49-90A3-5E99475AC43D}</author>
    <author>tc={1390BC1F-A7D2-49CF-8885-C6E227755262}</author>
    <author>tc={7D333859-0783-4198-AA16-76D1B3E07883}</author>
  </authors>
  <commentList>
    <comment ref="O10" authorId="0" shapeId="0" xr:uid="{FBEE86AF-F93A-4021-9B08-9A12FEA9537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P10" authorId="1" shapeId="0" xr:uid="{7CFF8EFA-6047-4268-9800-4029FDE16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M11" authorId="2" shapeId="0" xr:uid="{2E4AAFBF-4CF0-462F-A17A-3CFB4908B95F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AF11" authorId="3" shapeId="0" xr:uid="{C16F166F-C1F1-47D9-91E0-6834364FBCF3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</t>
      </text>
    </comment>
    <comment ref="AG11" authorId="4" shapeId="0" xr:uid="{6203B099-2854-489D-BAB1-28DAB7B38378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</t>
      </text>
    </comment>
    <comment ref="T12" authorId="5" shapeId="0" xr:uid="{4420E123-DCCA-4855-A670-E33146784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F15" authorId="6" shapeId="0" xr:uid="{C99945F0-5D58-4D9C-83FE-19914B2E0596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AE15" authorId="7" shapeId="0" xr:uid="{DC1D5927-EF57-4498-B9F7-E019D79FB6F3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apoio Marshals</t>
      </text>
    </comment>
    <comment ref="AF15" authorId="8" shapeId="0" xr:uid="{62F406A1-06A8-43FC-ADCC-332A33948FC4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e apoio Marshals</t>
      </text>
    </comment>
    <comment ref="AG15" authorId="9" shapeId="0" xr:uid="{B8A9C69A-76F0-4E67-BB77-ECBA3C1A4F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apoio Marshals</t>
      </text>
    </comment>
    <comment ref="D16" authorId="10" shapeId="0" xr:uid="{E327230F-1136-4612-AAF6-7C95E035095C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E16" authorId="11" shapeId="0" xr:uid="{530E2C84-0A45-4A69-AF70-BCB7BCBB344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H16" authorId="12" shapeId="0" xr:uid="{B7BF7FAA-D028-4C49-9707-696B97F44EF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I16" authorId="13" shapeId="0" xr:uid="{2ED06868-CAF5-4BDB-8A51-F36C0118B914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J16" authorId="14" shapeId="0" xr:uid="{A2354359-181B-4D89-82CA-82C7CC0353D1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K16" authorId="15" shapeId="0" xr:uid="{3CC3EB47-A131-4310-9513-788859E6698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N16" authorId="16" shapeId="0" xr:uid="{DD03FCA7-D981-45B0-B2D7-118DE7872FE4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O16" authorId="17" shapeId="0" xr:uid="{1E7DEDD6-87B7-45CD-8984-2F1FE40E1B4B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P16" authorId="18" shapeId="0" xr:uid="{F9F95508-E5E8-48B0-82F2-9FFD228472E4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Q16" authorId="19" shapeId="0" xr:uid="{39958E38-ACA4-4A96-BFFA-C9D53AD1F3A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T16" authorId="20" shapeId="0" xr:uid="{9A61D470-D637-4693-B550-FABF8904D2B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piso 2</t>
      </text>
    </comment>
    <comment ref="U16" authorId="21" shapeId="0" xr:uid="{DDC72714-F2D6-4482-BB0F-1396B7E4640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V16" authorId="22" shapeId="0" xr:uid="{2ADEB70B-EBC2-4263-8E50-0B00956F56E5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W16" authorId="23" shapeId="0" xr:uid="{06D28D41-8A7F-4295-AD9B-27829371D35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Z16" authorId="24" shapeId="0" xr:uid="{EBD7C677-574A-4FF3-B2FC-56CADF58529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AA16" authorId="25" shapeId="0" xr:uid="{7BEC8BF5-9674-44AF-B9BC-27FD9D578695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AB16" authorId="26" shapeId="0" xr:uid="{AEFAE344-4363-4031-A4C3-51DD333AF40A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AG16" authorId="27" shapeId="0" xr:uid="{73D068BD-5256-48C7-A5DD-ADBA5BA2598C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piso 2</t>
      </text>
    </comment>
    <comment ref="F17" authorId="28" shapeId="0" xr:uid="{4312E7E0-4197-4840-8949-305C5EA73B73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de turno com 07MAR</t>
      </text>
    </comment>
    <comment ref="AE22" authorId="29" shapeId="0" xr:uid="{C43CF473-348D-4E69-9DF8-09FAADD02535}">
      <text>
        <t>[Threaded comment]
Your version of Excel allows you to read this threaded comment; however, any edits to it will get removed if the file is opened in a newer version of Excel. Learn more: https://go.microsoft.com/fwlink/?linkid=870924
Comment:
    apoio Marshals e INADs</t>
      </text>
    </comment>
    <comment ref="D23" authorId="30" shapeId="0" xr:uid="{040F61C3-3834-413A-9136-1BA9AFE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J23" authorId="31" shapeId="0" xr:uid="{98155BDE-54FF-4CF4-A182-EB57B48260D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AD23" authorId="32" shapeId="0" xr:uid="{9043FE27-5A9F-43DF-943E-2616F5A4555B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</t>
      </text>
    </comment>
    <comment ref="AE23" authorId="33" shapeId="0" xr:uid="{95BE91EA-A67F-403E-BA89-8D11FEAD643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apoio Marshals</t>
      </text>
    </comment>
    <comment ref="C24" authorId="34" shapeId="0" xr:uid="{6EF6E735-0D20-4A85-BC54-2B7843DA9E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O30" authorId="35" shapeId="0" xr:uid="{544C732F-CB06-41B9-A078-A8930AE341F1}">
      <text>
        <t>[Threaded comment]
Your version of Excel allows you to read this threaded comment; however, any edits to it will get removed if the file is opened in a newer version of Excel. Learn more: https://go.microsoft.com/fwlink/?linkid=870924
Comment:
    K: 12</t>
      </text>
    </comment>
    <comment ref="P30" authorId="36" shapeId="0" xr:uid="{EB53B717-9A04-4864-A6C3-F5F95D23A932}">
      <text>
        <t>[Threaded comment]
Your version of Excel allows you to read this threaded comment; however, any edits to it will get removed if the file is opened in a newer version of Excel. Learn more: https://go.microsoft.com/fwlink/?linkid=870924
Comment:
    K: 13</t>
      </text>
    </comment>
    <comment ref="I33" authorId="37" shapeId="0" xr:uid="{EEBFF3E3-2C89-4C1C-A873-78650152F9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
</t>
      </text>
    </comment>
    <comment ref="K43" authorId="38" shapeId="0" xr:uid="{16030E6E-19B7-40EF-BB8B-F88C18D787A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Q46" authorId="39" shapeId="0" xr:uid="{0E3166F0-4567-4CA6-9DD4-76D0523AB1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Compensacao folga 26/02
</t>
      </text>
    </comment>
    <comment ref="Z46" authorId="40" shapeId="0" xr:uid="{7D273BCD-E217-4118-80A6-936CD0A2180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Z48" authorId="41" shapeId="0" xr:uid="{D7EA145D-94DD-48BB-ADDB-9109346A9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Z51" authorId="42" shapeId="0" xr:uid="{1CC478B7-8ADE-426A-A26B-43EABD679AB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</t>
      </text>
    </comment>
    <comment ref="Q53" authorId="43" shapeId="0" xr:uid="{6921208D-B368-4B49-90A3-5E99475AC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X54" authorId="44" shapeId="0" xr:uid="{1390BC1F-A7D2-49CF-8885-C6E227755262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</t>
      </text>
    </comment>
    <comment ref="AF67" authorId="45" shapeId="0" xr:uid="{7D333859-0783-4198-AA16-76D1B3E07883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tc={21DB4D0A-D784-4E35-AEDE-C56092C66508}</author>
    <author>tc={95E40948-0A8B-4774-826B-46E644447DD4}</author>
    <author>tc={F4250843-27D2-496C-AE98-7E6C3D064529}</author>
    <author>tc={9AA3726F-9413-429C-849D-FE4C80910DF9}</author>
    <author>tc={AFCFD69C-8241-4B14-B6F5-8942097E6E0B}</author>
    <author>tc={D0453C03-BF80-418F-A161-B7341D58626E}</author>
    <author>tc={F5755AD4-5677-40AF-AC14-D4C9C4139204}</author>
    <author>tc={E04C646D-E995-480D-BE21-58A39143FF09}</author>
    <author>tc={1E4A2B77-7C13-413D-9DF9-5A62533E169E}</author>
    <author>tc={550BD204-1AD8-42A8-BF80-CEB4348497B0}</author>
    <author>tc={F12C1717-77F6-4573-9D25-4CDE5E5A92B1}</author>
    <author>tc={BADB2AC0-903E-4B6D-BE36-D4091B8E8D8D}</author>
    <author>tc={E8B4970B-DCCA-4D13-AA80-C7010153284E}</author>
    <author>tc={A8BA0960-52AC-4589-97F9-F86231539A6D}</author>
    <author>tc={5496EAE2-711C-4A21-93DB-720A71244EAE}</author>
    <author>tc={2BE5E5FF-17F2-4182-AACE-F1D662EEE4C0}</author>
    <author>tc={4DB11E7D-93DB-48F6-AE31-F07D356484F9}</author>
    <author>tc={90DB0EB6-A779-4D3C-B0A9-4062A0294278}</author>
    <author>tc={4812AC9A-C4FD-4BED-8DBC-4BA0902B4358}</author>
    <author>tc={A9BA9AB1-AD93-44D2-8C81-D7B23CDF60B4}</author>
    <author>tc={88290D29-C78B-4DCE-870A-95F4233C1A30}</author>
    <author>tc={50A86355-EF9D-4537-8FE4-66A04B376493}</author>
    <author>tc={527CACA9-93D4-4D4F-B757-42268B672407}</author>
    <author>tc={491581C9-3B03-40D3-962F-BFB02F849672}</author>
    <author>tc={13D00AFE-BBC8-4288-991A-622B29A24D98}</author>
    <author>tc={9C05785B-FC6B-4777-985F-1EF811AC6E35}</author>
    <author>tc={034DE893-0151-4677-B931-6956E9BDDB1F}</author>
    <author>tc={BB46798C-DD33-4FE7-907E-3F5AF6D5AFB7}</author>
    <author>tc={EE456EE4-5D26-44B1-BAD4-A9EB6236663B}</author>
    <author>tc={89A7006D-E8ED-4C6C-9221-54D2EB0A01F8}</author>
    <author>tc={09D5321F-6BF0-4062-ACDE-AC618CEE83B6}</author>
    <author>tc={6EB54673-1A41-47DA-BD8E-AEF96277FDBE}</author>
    <author>tc={76702212-7A8A-4152-9E93-32FBF6DF4F3C}</author>
    <author>tc={CCFBFA14-3ACF-401F-B744-B4F457D21DAD}</author>
    <author>tc={11AE2747-181C-4883-9B9D-FAF49007745D}</author>
    <author>tc={D462223D-33BA-411D-8E22-110CE75D9F49}</author>
    <author>tc={7BC6A38C-31C9-41DA-AEA8-0B3B99FC9CCB}</author>
    <author>tc={F0406FA5-6834-4ECE-9AA1-F2F0125C347A}</author>
    <author>tc={F72ACBEE-75BA-45A3-AA1E-7E276BB51501}</author>
    <author>tc={F942032A-F7E4-45EB-9233-31440E80D45A}</author>
    <author>tc={43E27185-3E03-4B9F-A5EE-B9DF718C795F}</author>
    <author>tc={DB73CDB6-8C97-4632-9DD9-533C5FDBD4B7}</author>
    <author>tc={DCFEF40B-5051-4BB1-A13F-CD3035B88797}</author>
    <author>tc={24324D46-5DDE-43D8-91D7-EEC9DDCDF351}</author>
    <author>tc={9A1734EC-DC7E-4310-886E-B7BF50D1D3D6}</author>
    <author>tc={F8D40E4B-0470-40E6-960A-2151BE782A38}</author>
    <author>tc={77F393B4-2F80-4A67-AB42-99E49BD6729F}</author>
    <author>tc={55AFEDC7-BB92-4530-99E1-6C8AB21BD312}</author>
    <author>tc={8DBC1499-EBDD-40A1-9918-160EF0ECCCE9}</author>
    <author>tc={38D09FC3-D004-4DFC-A6AB-811B1841993B}</author>
  </authors>
  <commentList>
    <comment ref="R6" authorId="0" shapeId="0" xr:uid="{21DB4D0A-D784-4E35-AEDE-C56092C66508}">
      <text>
        <t>[Threaded comment]
Your version of Excel allows you to read this threaded comment; however, any edits to it will get removed if the file is opened in a newer version of Excel. Learn more: https://go.microsoft.com/fwlink/?linkid=870924
Comment:
    S3 - U</t>
      </text>
    </comment>
    <comment ref="S6" authorId="1" shapeId="0" xr:uid="{95E40948-0A8B-4774-826B-46E644447DD4}">
      <text>
        <t>[Threaded comment]
Your version of Excel allows you to read this threaded comment; however, any edits to it will get removed if the file is opened in a newer version of Excel. Learn more: https://go.microsoft.com/fwlink/?linkid=870924
Comment:
    S3 - U</t>
      </text>
    </comment>
    <comment ref="X6" authorId="2" shapeId="0" xr:uid="{F4250843-27D2-496C-AE98-7E6C3D064529}">
      <text>
        <t>[Threaded comment]
Your version of Excel allows you to read this threaded comment; however, any edits to it will get removed if the file is opened in a newer version of Excel. Learn more: https://go.microsoft.com/fwlink/?linkid=870924
Comment:
    S3 - U</t>
      </text>
    </comment>
    <comment ref="V9" authorId="3" shapeId="0" xr:uid="{9AA3726F-9413-429C-849D-FE4C80910DF9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W9" authorId="4" shapeId="0" xr:uid="{AFCFD69C-8241-4B14-B6F5-8942097E6E0B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X9" authorId="5" shapeId="0" xr:uid="{D0453C03-BF80-418F-A161-B7341D58626E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Y9" authorId="6" shapeId="0" xr:uid="{F5755AD4-5677-40AF-AC14-D4C9C4139204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AC11" authorId="7" shapeId="0" xr:uid="{E04C646D-E995-480D-BE21-58A39143FF09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AD11" authorId="8" shapeId="0" xr:uid="{1E4A2B77-7C13-413D-9DF9-5A62533E169E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AE11" authorId="9" shapeId="0" xr:uid="{550BD204-1AD8-42A8-BF80-CEB4348497B0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AF11" authorId="10" shapeId="0" xr:uid="{F12C1717-77F6-4573-9D25-4CDE5E5A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F15" authorId="11" shapeId="0" xr:uid="{BADB2AC0-903E-4B6D-BE36-D4091B8E8D8D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piso 2</t>
      </text>
    </comment>
    <comment ref="G15" authorId="12" shapeId="0" xr:uid="{E8B4970B-DCCA-4D13-AA80-C7010153284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piso 2</t>
      </text>
    </comment>
    <comment ref="H15" authorId="13" shapeId="0" xr:uid="{A8BA0960-52AC-4589-97F9-F86231539A6D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W15" authorId="14" shapeId="0" xr:uid="{5496EAE2-711C-4A21-93DB-720A71244EAE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</t>
      </text>
    </comment>
    <comment ref="X15" authorId="15" shapeId="0" xr:uid="{2BE5E5FF-17F2-4182-AACE-F1D662EEE4C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</t>
      </text>
    </comment>
    <comment ref="Y15" authorId="16" shapeId="0" xr:uid="{4DB11E7D-93DB-48F6-AE31-F07D356484F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Z15" authorId="17" shapeId="0" xr:uid="{90DB0EB6-A779-4D3C-B0A9-4062A029427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AC15" authorId="18" shapeId="0" xr:uid="{4812AC9A-C4FD-4BED-8DBC-4BA0902B435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AD15" authorId="19" shapeId="0" xr:uid="{A9BA9AB1-AD93-44D2-8C81-D7B23CDF60B4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C16" authorId="20" shapeId="0" xr:uid="{88290D29-C78B-4DCE-870A-95F4233C1A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D16" authorId="21" shapeId="0" xr:uid="{50A86355-EF9D-4537-8FE4-66A04B376493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G16" authorId="22" shapeId="0" xr:uid="{527CACA9-93D4-4D4F-B757-42268B672407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piso 2</t>
      </text>
    </comment>
    <comment ref="H16" authorId="23" shapeId="0" xr:uid="{491581C9-3B03-40D3-962F-BFB02F849672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piso 2</t>
      </text>
    </comment>
    <comment ref="I16" authorId="24" shapeId="0" xr:uid="{13D00AFE-BBC8-4288-991A-622B29A24D9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J16" authorId="25" shapeId="0" xr:uid="{9C05785B-FC6B-4777-985F-1EF811AC6E35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piso 2</t>
      </text>
    </comment>
    <comment ref="M16" authorId="26" shapeId="0" xr:uid="{034DE893-0151-4677-B931-6956E9BDDB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piso 2</t>
      </text>
    </comment>
    <comment ref="N16" authorId="27" shapeId="0" xr:uid="{BB46798C-DD33-4FE7-907E-3F5AF6D5AFB7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piso 2</t>
      </text>
    </comment>
    <comment ref="O16" authorId="28" shapeId="0" xr:uid="{EE456EE4-5D26-44B1-BAD4-A9EB6236663B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e inads</t>
      </text>
    </comment>
    <comment ref="Z16" authorId="29" shapeId="0" xr:uid="{89A7006D-E8ED-4C6C-9221-54D2EB0A0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e depo</t>
      </text>
    </comment>
    <comment ref="AA16" authorId="30" shapeId="0" xr:uid="{09D5321F-6BF0-4062-ACDE-AC618CEE83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e depo</t>
      </text>
    </comment>
    <comment ref="AB16" authorId="31" shapeId="0" xr:uid="{6EB54673-1A41-47DA-BD8E-AEF96277FD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marshals </t>
      </text>
    </comment>
    <comment ref="N17" authorId="32" shapeId="0" xr:uid="{76702212-7A8A-4152-9E93-32FBF6DF4F3C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e depo</t>
      </text>
    </comment>
    <comment ref="AA17" authorId="33" shapeId="0" xr:uid="{CCFBFA14-3ACF-401F-B744-B4F457D2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J18" authorId="34" shapeId="0" xr:uid="{11AE2747-181C-4883-9B9D-FAF49007745D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M18" authorId="35" shapeId="0" xr:uid="{D462223D-33BA-411D-8E22-110CE75D9F49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P18" authorId="36" shapeId="0" xr:uid="{7BC6A38C-31C9-41DA-AEA8-0B3B99FC9CCB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Y18" authorId="37" shapeId="0" xr:uid="{F0406FA5-6834-4ECE-9AA1-F2F0125C347A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AB18" authorId="38" shapeId="0" xr:uid="{F72ACBEE-75BA-45A3-AA1E-7E276BB51501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C23" authorId="39" shapeId="0" xr:uid="{F942032A-F7E4-45EB-9233-31440E80D45A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apoio marshals</t>
      </text>
    </comment>
    <comment ref="D23" authorId="40" shapeId="0" xr:uid="{43E27185-3E03-4B9F-A5EE-B9DF718C795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apoio marshals</t>
      </text>
    </comment>
    <comment ref="I23" authorId="41" shapeId="0" xr:uid="{DB73CDB6-8C97-4632-9DD9-533C5FDBD4B7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J23" authorId="42" shapeId="0" xr:uid="{DCFEF40B-5051-4BB1-A13F-CD3035B88797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AD23" authorId="43" shapeId="0" xr:uid="{24324D46-5DDE-43D8-91D7-EEC9DDCDF351}">
      <text>
        <t>[Threaded comment]
Your version of Excel allows you to read this threaded comment; however, any edits to it will get removed if the file is opened in a newer version of Excel. Learn more: https://go.microsoft.com/fwlink/?linkid=870924
Comment:
    Evento H.A</t>
      </text>
    </comment>
    <comment ref="Y24" authorId="44" shapeId="0" xr:uid="{9A1734EC-DC7E-4310-886E-B7BF50D1D3D6}">
      <text>
        <t>[Threaded comment]
Your version of Excel allows you to read this threaded comment; however, any edits to it will get removed if the file is opened in a newer version of Excel. Learn more: https://go.microsoft.com/fwlink/?linkid=870924
Comment:
    RST</t>
      </text>
    </comment>
    <comment ref="Z24" authorId="45" shapeId="0" xr:uid="{F8D40E4B-0470-40E6-960A-2151BE782A38}">
      <text>
        <t>[Threaded comment]
Your version of Excel allows you to read this threaded comment; however, any edits to it will get removed if the file is opened in a newer version of Excel. Learn more: https://go.microsoft.com/fwlink/?linkid=870924
Comment:
    RST</t>
      </text>
    </comment>
    <comment ref="AA24" authorId="46" shapeId="0" xr:uid="{77F393B4-2F80-4A67-AB42-99E49BD6729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e inads</t>
      </text>
    </comment>
    <comment ref="S32" authorId="47" shapeId="0" xr:uid="{55AFEDC7-BB92-4530-99E1-6C8AB21BD312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de compensação PIYC - 3may</t>
      </text>
    </comment>
    <comment ref="H51" authorId="48" shapeId="0" xr:uid="{8DBC1499-EBDD-40A1-9918-160EF0ECCCE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AA54" authorId="49" shapeId="0" xr:uid="{38D09FC3-D004-4DFC-A6AB-811B1841993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tc={FF643AF5-AE31-4B91-B149-C593880DA889}</author>
    <author>tc={D9C89768-5059-4264-AA0D-E81071003577}</author>
    <author>tc={3B044A71-4DC8-4B71-81AB-F06D7A4C94B0}</author>
    <author>tc={8B985B10-2769-4F5A-82A9-B7045E5CD00B}</author>
    <author>tc={BF00358C-6206-43EE-952F-F9C054C7FE9B}</author>
    <author>tc={A985E7EA-F4C3-4319-B1C9-16C849E672FC}</author>
    <author>tc={D0EE7547-691B-4FF3-AECE-9CDD5F01C751}</author>
    <author>tc={BEECBB49-2493-449C-89C5-23E02FFF121D}</author>
    <author>tc={93F76795-CCDB-4265-BFAD-0EEE5ECF5385}</author>
    <author>tc={D58A27E2-4321-4542-9EE1-77EAFC460976}</author>
    <author>tc={F88EEC2C-D85E-46B1-9A3C-05F28F074460}</author>
    <author>tc={1734B66D-5573-49EA-82E5-6B021F5D98AE}</author>
    <author>tc={C040FD54-961B-48FC-92F4-30FF8F1BFDFB}</author>
    <author>tc={C42F8FD7-3A12-4FCD-A8AF-F5CC82458639}</author>
    <author>tc={FA85A79B-3237-4951-80AC-BE8A154E0D55}</author>
    <author>tc={86065ABE-9745-4A7E-82C2-4D5B219A861F}</author>
    <author>tc={DE87F3EF-E69B-43B7-9162-6BA409E24FA4}</author>
    <author>tc={A49A95FF-4BD8-4023-837D-4098E6F06C86}</author>
    <author>tc={A44FB9B4-C0BC-46BE-BA4F-D121ACA1EA46}</author>
    <author>tc={0F782D2D-E2F6-43CF-86E0-A000EBA03AC1}</author>
    <author>tc={CC498964-4C94-4615-88A8-7A86C996B50B}</author>
    <author>tc={2E79EA06-E431-4E4C-AF7E-BCAC8F3F1E6E}</author>
    <author>tc={93BACDD0-6297-432E-B08D-10BCA80C509F}</author>
    <author>tc={3199DCEC-B7C6-4F5A-8504-9C9DD52F85DC}</author>
    <author>tc={1E6F75D9-E55C-4E12-9B41-21CB5B044EE8}</author>
    <author>tc={92C78F4A-6BBD-4ABA-9446-E7E222CAD6FC}</author>
    <author>tc={57DED5CF-4C1F-4E25-8B56-72E3FD7CC074}</author>
    <author>tc={8DCF8A26-3C44-4409-9A75-5B611BB6D20E}</author>
    <author>tc={894C4090-323B-4C07-AB5A-C0E2F11DFE28}</author>
    <author>tc={D789D843-B2E9-4A07-B5E2-B46DE588A08C}</author>
    <author>tc={A7AF8313-4CAE-422E-9516-03370F9D5FB3}</author>
    <author>tc={399EB661-914A-4FB4-A50F-8637E1E77F5B}</author>
    <author>tc={00AE1EEB-4748-444A-9F9F-C5EFF02915C5}</author>
    <author>tc={9915F3D7-5865-41AF-B9C8-22E3866C293E}</author>
    <author>tc={C4CE7566-E089-4BCB-86BE-95C9FC10155D}</author>
    <author>tc={01A279E6-3785-4C8D-B3C0-F50FA3DD2FE5}</author>
    <author>tc={7DF3D009-0B4F-4E4F-9B09-F8925CE33F3F}</author>
    <author>tc={27616F6E-16FA-41CF-B2AA-1AADC57A1877}</author>
    <author>tc={3236F648-6B2C-4417-BE59-BB097B2735E5}</author>
    <author>tc={2B802B5C-027B-4972-AFB6-6A29DF629FD3}</author>
    <author>tc={EEC04143-E83B-4B60-BB00-BF345DBCB005}</author>
    <author>tc={677CE902-AB4F-4E94-9E66-E3C2927A0953}</author>
    <author>tc={BD500117-6C3A-4B81-9B88-7FEE5E22B4F9}</author>
    <author>tc={0E6C6374-55F5-4FD6-8664-E6442B23A770}</author>
    <author>tc={24BAA2C9-1989-429C-A866-A94E40DE0D5C}</author>
    <author>tc={6898FC50-8C61-46F7-A1C2-742D2F49D4B2}</author>
    <author>tc={D57B8AEB-B334-461F-9357-D7F07483114E}</author>
    <author>tc={CC696A0E-AE7C-4862-84EE-203B44ACC86B}</author>
    <author>tc={3D35E9A9-4743-498E-8257-8208C6E2245E}</author>
    <author>tc={C9863657-C99D-4551-BCEB-198BB1FCDD26}</author>
    <author>tc={2EFB9E7C-DF05-4B35-8234-C822ACB00E5A}</author>
    <author>tc={B60C4204-C901-4823-B02C-90CB56D7498E}</author>
    <author>tc={1FD87BB9-2650-4AF3-9B7E-32EF0EB6BBAE}</author>
    <author>tc={B175E91D-F380-457C-B699-DCC383D2B3A7}</author>
    <author>tc={DB7B87BC-9B29-490C-AD48-62CE3FCD79A8}</author>
    <author>tc={43829521-296D-4FEB-9509-207861FD60A3}</author>
    <author>tc={7E5A2135-2A64-42AF-8A24-5202A26FA9AD}</author>
    <author>tc={EC26BB5B-6C33-450B-8A67-0F5816CB3FE4}</author>
    <author>tc={F81ECE26-274A-47FB-B010-A689E2D99B53}</author>
    <author>tc={B6F78135-C5FE-4746-B7C0-83F8EECD56B7}</author>
    <author>tc={F3FDBD5E-DBC4-4FFE-A5C2-AB0532C233D2}</author>
    <author>tc={14E69A27-54E2-435C-9B04-816563E58C3E}</author>
    <author>tc={7E0F44E3-FD59-49D4-9BEA-4645E2679A6F}</author>
    <author>tc={EAC7340D-2E9D-4DA0-AB77-7A0161A0B6E9}</author>
    <author>tc={E1A60122-EE48-4652-B1A1-D0ED1B59C78F}</author>
    <author>tc={BDD8EBAF-357B-4A75-AAF4-0BDCBD0154DB}</author>
    <author>tc={39C5565F-5117-46B3-A8F4-05809A39B83D}</author>
    <author>tc={02398223-C31B-45B9-A76D-645A884919DE}</author>
    <author>tc={EA7E3709-72CA-4550-A677-3C0D4C8049E2}</author>
  </authors>
  <commentList>
    <comment ref="N7" authorId="0" shapeId="0" xr:uid="{FF643AF5-AE31-4B91-B149-C593880DA889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- 11H50</t>
      </text>
    </comment>
    <comment ref="O7" authorId="1" shapeId="0" xr:uid="{D9C89768-5059-4264-AA0D-E81071003577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P7" authorId="2" shapeId="0" xr:uid="{3B044A71-4DC8-4B71-81AB-F06D7A4C94B0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Q7" authorId="3" shapeId="0" xr:uid="{8B985B10-2769-4F5A-82A9-B7045E5CD00B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- 11H50</t>
      </text>
    </comment>
    <comment ref="AC8" authorId="4" shapeId="0" xr:uid="{BF00358C-6206-43EE-952F-F9C054C7FE9B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o Duarte</t>
      </text>
    </comment>
    <comment ref="H10" authorId="5" shapeId="0" xr:uid="{A985E7EA-F4C3-4319-B1C9-16C849E672FC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I10" authorId="6" shapeId="0" xr:uid="{D0EE7547-691B-4FF3-AECE-9CDD5F01C751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J10" authorId="7" shapeId="0" xr:uid="{BEECBB49-2493-449C-89C5-23E02FFF121D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K10" authorId="8" shapeId="0" xr:uid="{93F76795-CCDB-4265-BFAD-0EEE5ECF5385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</t>
      </text>
    </comment>
    <comment ref="X10" authorId="9" shapeId="0" xr:uid="{D58A27E2-4321-4542-9EE1-77EAFC46097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AA10" authorId="10" shapeId="0" xr:uid="{F88EEC2C-D85E-46B1-9A3C-05F28F07446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N11" authorId="11" shapeId="0" xr:uid="{1734B66D-5573-49EA-82E5-6B021F5D98A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O11" authorId="12" shapeId="0" xr:uid="{C040FD54-961B-48FC-92F4-30FF8F1BF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F12" authorId="13" shapeId="0" xr:uid="{C42F8FD7-3A12-4FCD-A8AF-F5CC8245863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J12" authorId="14" shapeId="0" xr:uid="{FA85A79B-3237-4951-80AC-BE8A154E0D55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- 11H50</t>
      </text>
    </comment>
    <comment ref="K12" authorId="15" shapeId="0" xr:uid="{86065ABE-9745-4A7E-82C2-4D5B219A861F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- 11H50</t>
      </text>
    </comment>
    <comment ref="L12" authorId="16" shapeId="0" xr:uid="{DE87F3EF-E69B-43B7-9162-6BA409E24FA4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- 11H50</t>
      </text>
    </comment>
    <comment ref="M12" authorId="17" shapeId="0" xr:uid="{A49A95FF-4BD8-4023-837D-4098E6F06C86}">
      <text>
        <t>[Threaded comment]
Your version of Excel allows you to read this threaded comment; however, any edits to it will get removed if the file is opened in a newer version of Excel. Learn more: https://go.microsoft.com/fwlink/?linkid=870924
Comment:
    Aeroporto - 11H50</t>
      </text>
    </comment>
    <comment ref="G15" authorId="18" shapeId="0" xr:uid="{A44FB9B4-C0BC-46BE-BA4F-D121ACA1EA46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H15" authorId="19" shapeId="0" xr:uid="{0F782D2D-E2F6-43CF-86E0-A000EBA03AC1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X15" authorId="20" shapeId="0" xr:uid="{CC498964-4C94-4615-88A8-7A86C996B50B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Turno SM e INADs</t>
      </text>
    </comment>
    <comment ref="Y15" authorId="21" shapeId="0" xr:uid="{2E79EA06-E431-4E4C-AF7E-BCAC8F3F1E6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</t>
      </text>
    </comment>
    <comment ref="Z15" authorId="22" shapeId="0" xr:uid="{93BACDD0-6297-432E-B08D-10BCA80C509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e SM</t>
      </text>
    </comment>
    <comment ref="AC15" authorId="23" shapeId="0" xr:uid="{3199DCEC-B7C6-4F5A-8504-9C9DD52F85DC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</t>
      </text>
    </comment>
    <comment ref="AD15" authorId="24" shapeId="0" xr:uid="{1E6F75D9-E55C-4E12-9B41-21CB5B044EE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</t>
      </text>
    </comment>
    <comment ref="AE15" authorId="25" shapeId="0" xr:uid="{92C78F4A-6BBD-4ABA-9446-E7E222CAD6FC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</t>
      </text>
    </comment>
    <comment ref="AF15" authorId="26" shapeId="0" xr:uid="{57DED5CF-4C1F-4E25-8B56-72E3FD7CC074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</t>
      </text>
    </comment>
    <comment ref="I16" authorId="27" shapeId="0" xr:uid="{8DCF8A26-3C44-4409-9A75-5B611BB6D20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e Marshals</t>
      </text>
    </comment>
    <comment ref="J16" authorId="28" shapeId="0" xr:uid="{894C4090-323B-4C07-AB5A-C0E2F11DFE2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e Marshals</t>
      </text>
    </comment>
    <comment ref="M16" authorId="29" shapeId="0" xr:uid="{D789D843-B2E9-4A07-B5E2-B46DE588A08C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e INAD</t>
      </text>
    </comment>
    <comment ref="N16" authorId="30" shapeId="0" xr:uid="{A7AF8313-4CAE-422E-9516-03370F9D5FB3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e INAD</t>
      </text>
    </comment>
    <comment ref="Y16" authorId="31" shapeId="0" xr:uid="{399EB661-914A-4FB4-A50F-8637E1E77F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Marshals INAD </t>
      </text>
    </comment>
    <comment ref="Z16" authorId="32" shapeId="0" xr:uid="{00AE1EEB-4748-444A-9F9F-C5EFF02915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e DEPO</t>
      </text>
    </comment>
    <comment ref="AA16" authorId="33" shapeId="0" xr:uid="{9915F3D7-5865-41AF-B9C8-22E3866C29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Marshals INAD /DEPO </t>
      </text>
    </comment>
    <comment ref="AB16" authorId="34" shapeId="0" xr:uid="{C4CE7566-E089-4BCB-86BE-95C9FC10155D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INAD</t>
      </text>
    </comment>
    <comment ref="M17" authorId="35" shapeId="0" xr:uid="{01A279E6-3785-4C8D-B3C0-F50FA3DD2FE5}">
      <text>
        <t>[Threaded comment]
Your version of Excel allows you to read this threaded comment; however, any edits to it will get removed if the file is opened in a newer version of Excel. Learn more: https://go.microsoft.com/fwlink/?linkid=870924
Comment:
    TRSC refresh</t>
      </text>
    </comment>
    <comment ref="N17" authorId="36" shapeId="0" xr:uid="{7DF3D009-0B4F-4E4F-9B09-F8925CE3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TRSC refresh</t>
      </text>
    </comment>
    <comment ref="Q17" authorId="37" shapeId="0" xr:uid="{27616F6E-16FA-41CF-B2AA-1AADC57A1877}">
      <text>
        <t>[Threaded comment]
Your version of Excel allows you to read this threaded comment; however, any edits to it will get removed if the file is opened in a newer version of Excel. Learn more: https://go.microsoft.com/fwlink/?linkid=870924
Comment:
    TRSC refresh</t>
      </text>
    </comment>
    <comment ref="R17" authorId="38" shapeId="0" xr:uid="{3236F648-6B2C-4417-BE59-BB097B2735E5}">
      <text>
        <t>[Threaded comment]
Your version of Excel allows you to read this threaded comment; however, any edits to it will get removed if the file is opened in a newer version of Excel. Learn more: https://go.microsoft.com/fwlink/?linkid=870924
Comment:
    TRSC refresh</t>
      </text>
    </comment>
    <comment ref="S17" authorId="39" shapeId="0" xr:uid="{2B802B5C-027B-4972-AFB6-6A29DF629FD3}">
      <text>
        <t>[Threaded comment]
Your version of Excel allows you to read this threaded comment; however, any edits to it will get removed if the file is opened in a newer version of Excel. Learn more: https://go.microsoft.com/fwlink/?linkid=870924
Comment:
    TRSC refresh</t>
      </text>
    </comment>
    <comment ref="T17" authorId="40" shapeId="0" xr:uid="{EEC04143-E83B-4B60-BB00-BF345DBCB005}">
      <text>
        <t>[Threaded comment]
Your version of Excel allows you to read this threaded comment; however, any edits to it will get removed if the file is opened in a newer version of Excel. Learn more: https://go.microsoft.com/fwlink/?linkid=870924
Comment:
    TRSC refresh</t>
      </text>
    </comment>
    <comment ref="F18" authorId="41" shapeId="0" xr:uid="{677CE902-AB4F-4E94-9E66-E3C2927A0953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I18" authorId="42" shapeId="0" xr:uid="{BD500117-6C3A-4B81-9B88-7FEE5E22B4F9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J18" authorId="43" shapeId="0" xr:uid="{0E6C6374-55F5-4FD6-8664-E6442B23A770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X18" authorId="44" shapeId="0" xr:uid="{24BAA2C9-1989-429C-A866-A94E40DE0D5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Segurança Burgo - 11H30</t>
      </text>
    </comment>
    <comment ref="AA18" authorId="45" shapeId="0" xr:uid="{6898FC50-8C61-46F7-A1C2-742D2F49D4B2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 e Marshals</t>
      </text>
    </comment>
    <comment ref="Q22" authorId="46" shapeId="0" xr:uid="{D57B8AEB-B334-461F-9357-D7F07483114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Compensar - Dia F trabalhado 29MAR</t>
      </text>
    </comment>
    <comment ref="N23" authorId="47" shapeId="0" xr:uid="{CC696A0E-AE7C-4862-84EE-203B44ACC86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PNR History</t>
      </text>
    </comment>
    <comment ref="X23" authorId="48" shapeId="0" xr:uid="{3D35E9A9-4743-498E-8257-8208C6E2245E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de compensacao relativa a dia 12MAY25</t>
      </text>
    </comment>
    <comment ref="Y26" authorId="49" shapeId="0" xr:uid="{C9863657-C99D-4551-BCEB-198BB1FCDD2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Segurança Burgo - 11:30H
Reply:
    Formacao RST</t>
      </text>
    </comment>
    <comment ref="AB26" authorId="50" shapeId="0" xr:uid="{2EFB9E7C-DF05-4B35-8234-C822ACB00E5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RST</t>
      </text>
    </comment>
    <comment ref="AC26" authorId="51" shapeId="0" xr:uid="{B60C4204-C901-4823-B02C-90CB56D7498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RST</t>
      </text>
    </comment>
    <comment ref="Q29" authorId="52" shapeId="0" xr:uid="{1FD87BB9-2650-4AF3-9B7E-32EF0EB6B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N30" authorId="53" shapeId="0" xr:uid="{B175E91D-F380-457C-B699-DCC383D2B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O30" authorId="54" shapeId="0" xr:uid="{DB7B87BC-9B29-490C-AD48-62CE3FCD79A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AF31" authorId="55" shapeId="0" xr:uid="{43829521-296D-4FEB-9509-207861FD60A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E32" authorId="56" shapeId="0" xr:uid="{7E5A2135-2A64-42AF-8A24-5202A26FA9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Folga de compensação PIYC  - 17APR </t>
      </text>
    </comment>
    <comment ref="AC35" authorId="57" shapeId="0" xr:uid="{EC26BB5B-6C33-450B-8A67-0F5816CB3FE4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de folga com Ana Magalhães</t>
      </text>
    </comment>
    <comment ref="P37" authorId="58" shapeId="0" xr:uid="{F81ECE26-274A-47FB-B010-A689E2D99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AC37" authorId="59" shapeId="0" xr:uid="{B6F78135-C5FE-4746-B7C0-83F8EECD56B7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Trainings - 11H30 às 16H</t>
      </text>
    </comment>
    <comment ref="Q40" authorId="60" shapeId="0" xr:uid="{F3FDBD5E-DBC4-4FFE-A5C2-AB0532C233D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AD40" authorId="61" shapeId="0" xr:uid="{14E69A27-54E2-435C-9B04-816563E58C3E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Trainings - 11H30 às 16H</t>
      </text>
    </comment>
    <comment ref="AC48" authorId="62" shapeId="0" xr:uid="{7E0F44E3-FD59-49D4-9BEA-4645E2679A6F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Trainings - 11H30 às 16H</t>
      </text>
    </comment>
    <comment ref="Q49" authorId="63" shapeId="0" xr:uid="{EAC7340D-2E9D-4DA0-AB77-7A0161A0B6E9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Trainings - 11H30 às 16H</t>
      </text>
    </comment>
    <comment ref="R50" authorId="64" shapeId="0" xr:uid="{E1A60122-EE48-4652-B1A1-D0ED1B59C78F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Trainings - 11H30 às 16H</t>
      </text>
    </comment>
    <comment ref="V50" authorId="65" shapeId="0" xr:uid="{BDD8EBAF-357B-4A75-AAF4-0BDCBD01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compensacao 16Maio</t>
      </text>
    </comment>
    <comment ref="AD52" authorId="66" shapeId="0" xr:uid="{39C5565F-5117-46B3-A8F4-05809A39B83D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Trainings - 11H30 às 16H</t>
      </text>
    </comment>
    <comment ref="AC53" authorId="67" shapeId="0" xr:uid="{02398223-C31B-45B9-A76D-645A884919DE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Trainings - 11H30 às 16H</t>
      </text>
    </comment>
    <comment ref="AD53" authorId="68" shapeId="0" xr:uid="{EA7E3709-72CA-4550-A677-3C0D4C8049E2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Trainings - 11H30 às 16H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tc={65A0DEF4-CAB0-43B2-A8EE-E3493C7E95B1}</author>
    <author>tc={262711C6-130F-4A9F-8876-225D1E6C6E22}</author>
    <author>tc={AE1595F6-C87C-4347-B833-CDCFEDD436DD}</author>
    <author>tc={27AFFEB5-66B1-4207-8788-E870D26848B5}</author>
    <author>tc={A959ADB0-73C2-45E8-BB90-445C85349EEB}</author>
    <author>tc={1B84A9D4-1261-474F-8730-D585B0C72882}</author>
    <author>tc={71CB3E95-F947-4CA0-BE70-DA2A180C3360}</author>
    <author>tc={496414BD-D54A-41CD-9E29-412ED3ADBF5B}</author>
    <author>tc={1AA0C184-1C99-4982-8CF2-C9AF45BE3C06}</author>
    <author>tc={62C8FAD9-DEE4-4998-B729-F2965F2B5DA1}</author>
    <author>tc={3704B898-CCB6-4754-9E52-3D5DB18A1126}</author>
    <author>tc={80B55490-C5BB-4638-B555-E5896A7EF976}</author>
    <author>tc={3CBA5532-4551-4A8F-81EB-36C3A8C5212E}</author>
    <author>tc={502D6C0D-8AF6-4CF9-9479-76253B7C9EE6}</author>
    <author>tc={BC2C6E4B-ABC9-45E6-8767-37DE69F9BAF6}</author>
    <author>tc={4809ADA5-7CFE-4292-BA9A-5674A95AA721}</author>
    <author>tc={35D9729F-5D8F-4B41-A86A-A91192718B07}</author>
    <author>tc={4D89B53C-E109-4E98-A969-3295ADA75103}</author>
    <author>tc={182FC59A-6DC1-4960-B436-1C80254EAF41}</author>
    <author>tc={11C1610A-7FEF-4F76-B1FA-32C66FE42C1B}</author>
    <author>tc={0A180EDC-6A33-433B-BC87-D69E02B468AB}</author>
    <author>tc={C5A276CC-6581-4946-94A5-868EFCDEF49C}</author>
    <author>tc={94AF50ED-60ED-474E-90C2-0E209F0F9CAB}</author>
    <author>tc={9E0F948F-763A-4658-AABC-ECC79C06194B}</author>
    <author>tc={B768EB66-62E3-46BC-8C7F-B1892830163C}</author>
    <author>tc={D6045229-3E92-43BD-A208-67A89DBD3774}</author>
    <author>tc={A9386BA9-0331-49C1-89D7-BB42E67AAC0B}</author>
    <author>tc={61D0EB4E-2F44-4AFF-81D9-A16FAD222FE8}</author>
    <author>tc={FD4E9863-FA67-461B-A5D5-49C0030339E8}</author>
    <author>tc={635D5D59-3880-47CE-A9E8-36153FD9A270}</author>
    <author>tc={BF8DC158-DEEF-4B68-ADFA-FA52AD7D2355}</author>
    <author>tc={459BE5D7-1FDE-4B43-A217-539835541996}</author>
    <author>tc={4896E527-7198-4273-AA67-53AE60DAE275}</author>
    <author>tc={A5E402B4-9847-46C4-88C9-0BCB093E7C6B}</author>
    <author>tc={B1218148-9C76-4095-81F8-87E83DF3EB19}</author>
    <author>tc={21F9B48A-13CC-4A71-9D4D-71110193F600}</author>
    <author>tc={BDB85927-F967-4405-A3B4-A85C3ABFB990}</author>
    <author>tc={C54B7509-2C76-4B32-BF95-C4ECED2AD2B7}</author>
    <author>tc={780C646B-A761-4E4E-A2DD-CDB9094BAA19}</author>
    <author>tc={5FD83524-6D0E-4142-B264-A599BFA7CFB2}</author>
    <author>tc={EECAC8EA-DBEE-42C9-B1A1-3D409F5BD9B6}</author>
    <author>tc={414783C8-24CF-4332-A5A5-609FD478C6DA}</author>
    <author>tc={1B726BF3-18EB-467A-B52F-BF426B809A08}</author>
    <author>tc={BC2299B1-4962-4EC3-B24A-E8EAD5F771E8}</author>
    <author>tc={C8F34013-83B8-465B-AA36-76E2F72AC189}</author>
    <author>tc={8E39FB3B-DAD1-4736-9AB1-E4E12AB51BBE}</author>
    <author>tc={F4AE8169-11F4-42B3-882D-0729A43C1DFA}</author>
    <author>tc={A00F5209-E575-4399-AB1B-F9203E698EA2}</author>
    <author>tc={25042B92-28AF-4E55-83F4-1FDB7B56B352}</author>
    <author>tc={E8BCACD5-E67C-49DB-8745-82CA68BE065E}</author>
    <author>tc={15F76F20-02AB-4E09-99CE-A03177631C20}</author>
    <author>tc={8D9A6E02-9426-4602-B343-02D29344E8DB}</author>
    <author>tc={DE9AC54E-1995-40DB-B7AC-63AF244AB88B}</author>
    <author>tc={67C55363-CFA9-467A-A1BE-C8151FF99C76}</author>
    <author>tc={E97D7D26-553B-458F-853F-31A57A261032}</author>
    <author>tc={364E38D0-DC77-4ED4-9971-92DEF022D567}</author>
    <author>tc={E29D1702-21DD-4493-81F3-23A24F3CB97D}</author>
    <author>tc={5B1D406C-6C66-4CD9-8984-533965DCB40D}</author>
    <author>tc={906AC52E-2364-4887-B3B8-EE06E83D268E}</author>
    <author>tc={62B6B3BB-BB79-428E-AA91-5B06551EFF7C}</author>
  </authors>
  <commentList>
    <comment ref="U6" authorId="0" shapeId="0" xr:uid="{65A0DEF4-CAB0-43B2-A8EE-E3493C7E95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Reforço turno RBC</t>
      </text>
    </comment>
    <comment ref="P7" authorId="1" shapeId="0" xr:uid="{262711C6-130F-4A9F-8876-225D1E6C6E22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a Ana Magalhães</t>
      </text>
    </comment>
    <comment ref="AC7" authorId="2" shapeId="0" xr:uid="{AE1595F6-C87C-4347-B833-CDCFEDD436D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E8" authorId="3" shapeId="0" xr:uid="{27AFFEB5-66B1-4207-8788-E870D26848B5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o Duarte</t>
      </text>
    </comment>
    <comment ref="P8" authorId="4" shapeId="0" xr:uid="{A959ADB0-73C2-45E8-BB90-445C85349EEB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o joão santos silva</t>
      </text>
    </comment>
    <comment ref="X10" authorId="5" shapeId="0" xr:uid="{1B84A9D4-1261-474F-8730-D585B0C7288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K11" authorId="6" shapeId="0" xr:uid="{71CB3E95-F947-4CA0-BE70-DA2A180C336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EN</t>
      </text>
    </comment>
    <comment ref="AE11" authorId="7" shapeId="0" xr:uid="{496414BD-D54A-41CD-9E29-412ED3ADB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D15" authorId="8" shapeId="0" xr:uid="{1AA0C184-1C99-4982-8CF2-C9AF45BE3C06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N15" authorId="9" shapeId="0" xr:uid="{62C8FAD9-DEE4-4998-B729-F2965F2B5DA1}">
      <text>
        <t>[Threaded comment]
Your version of Excel allows you to read this threaded comment; however, any edits to it will get removed if the file is opened in a newer version of Excel. Learn more: https://go.microsoft.com/fwlink/?linkid=870924
Comment:
    SM + INAD a partir de 19H</t>
      </text>
    </comment>
    <comment ref="C16" authorId="10" shapeId="0" xr:uid="{3704B898-CCB6-4754-9E52-3D5DB18A1126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D16" authorId="11" shapeId="0" xr:uid="{80B55490-C5BB-4638-B555-E5896A7EF976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</t>
      </text>
    </comment>
    <comment ref="I16" authorId="12" shapeId="0" xr:uid="{3CBA5532-4551-4A8F-81EB-36C3A8C5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e Marshals</t>
      </text>
    </comment>
    <comment ref="J16" authorId="13" shapeId="0" xr:uid="{502D6C0D-8AF6-4CF9-9479-76253B7C9EE6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</t>
      </text>
    </comment>
    <comment ref="M16" authorId="14" shapeId="0" xr:uid="{BC2C6E4B-ABC9-45E6-8767-37DE69F9BAF6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N16" authorId="15" shapeId="0" xr:uid="{4809ADA5-7CFE-4292-BA9A-5674A95AA721}">
      <text>
        <t>[Threaded comment]
Your version of Excel allows you to read this threaded comment; however, any edits to it will get removed if the file is opened in a newer version of Excel. Learn more: https://go.microsoft.com/fwlink/?linkid=870924
Comment:
    DEPO</t>
      </text>
    </comment>
    <comment ref="O16" authorId="16" shapeId="0" xr:uid="{35D9729F-5D8F-4B41-A86A-A91192718B0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P16" authorId="17" shapeId="0" xr:uid="{4D89B53C-E109-4E98-A969-3295ADA75103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S16" authorId="18" shapeId="0" xr:uid="{182FC59A-6DC1-4960-B436-1C80254EAF41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U16" authorId="19" shapeId="0" xr:uid="{11C1610A-7FEF-4F76-B1FA-32C66FE42C1B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V16" authorId="20" shapeId="0" xr:uid="{0A180EDC-6A33-433B-BC87-D69E02B468AB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Y16" authorId="21" shapeId="0" xr:uid="{C5A276CC-6581-4946-94A5-868EFCDEF49C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Z16" authorId="22" shapeId="0" xr:uid="{94AF50ED-60ED-474E-90C2-0E209F0F9CAB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AA16" authorId="23" shapeId="0" xr:uid="{9E0F948F-763A-4658-AABC-ECC79C06194B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</t>
      </text>
    </comment>
    <comment ref="AB16" authorId="24" shapeId="0" xr:uid="{B768EB66-62E3-46BC-8C7F-B1892830163C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</t>
      </text>
    </comment>
    <comment ref="G17" authorId="25" shapeId="0" xr:uid="{D6045229-3E92-43BD-A208-67A89DBD3774}">
      <text>
        <t>[Threaded comment]
Your version of Excel allows you to read this threaded comment; however, any edits to it will get removed if the file is opened in a newer version of Excel. Learn more: https://go.microsoft.com/fwlink/?linkid=870924
Comment:
    TRSC</t>
      </text>
    </comment>
    <comment ref="H17" authorId="26" shapeId="0" xr:uid="{A9386BA9-0331-49C1-89D7-BB42E67AAC0B}">
      <text>
        <t>[Threaded comment]
Your version of Excel allows you to read this threaded comment; however, any edits to it will get removed if the file is opened in a newer version of Excel. Learn more: https://go.microsoft.com/fwlink/?linkid=870924
Comment:
    TRSC</t>
      </text>
    </comment>
    <comment ref="C22" authorId="27" shapeId="0" xr:uid="{61D0EB4E-2F44-4AFF-81D9-A16FAD222FE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 e INADs</t>
      </text>
    </comment>
    <comment ref="Q22" authorId="28" shapeId="0" xr:uid="{FD4E9863-FA67-461B-A5D5-49C00303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R22" authorId="29" shapeId="0" xr:uid="{635D5D59-3880-47CE-A9E8-36153FD9A270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W22" authorId="30" shapeId="0" xr:uid="{BF8DC158-DEEF-4B68-ADFA-FA52AD7D2355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X22" authorId="31" shapeId="0" xr:uid="{459BE5D7-1FDE-4B43-A217-539835541996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K23" authorId="32" shapeId="0" xr:uid="{4896E527-7198-4273-AA67-53AE60DAE275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</t>
      </text>
    </comment>
    <comment ref="L23" authorId="33" shapeId="0" xr:uid="{A5E402B4-9847-46C4-88C9-0BCB093E7C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Marshals
</t>
      </text>
    </comment>
    <comment ref="Q23" authorId="34" shapeId="0" xr:uid="{B1218148-9C76-4095-81F8-87E83DF3EB19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</t>
      </text>
    </comment>
    <comment ref="R23" authorId="35" shapeId="0" xr:uid="{21F9B48A-13CC-4A71-9D4D-71110193F6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
Reply:
    formacao seguranca aeroporto</t>
      </text>
    </comment>
    <comment ref="W23" authorId="36" shapeId="0" xr:uid="{BDB85927-F967-4405-A3B4-A85C3ABFB99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</t>
      </text>
    </comment>
    <comment ref="X23" authorId="37" shapeId="0" xr:uid="{C54B7509-2C76-4B32-BF95-C4ECED2AD2B7}">
      <text>
        <t>[Threaded comment]
Your version of Excel allows you to read this threaded comment; however, any edits to it will get removed if the file is opened in a newer version of Excel. Learn more: https://go.microsoft.com/fwlink/?linkid=870924
Comment:
    Marshals</t>
      </text>
    </comment>
    <comment ref="AC23" authorId="38" shapeId="0" xr:uid="{780C646B-A761-4E4E-A2DD-CDB9094BAA1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INAD+SM</t>
      </text>
    </comment>
    <comment ref="AD23" authorId="39" shapeId="0" xr:uid="{5FD83524-6D0E-4142-B264-A599BFA7CFB2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INAD+SM</t>
      </text>
    </comment>
    <comment ref="J24" authorId="40" shapeId="0" xr:uid="{EECAC8EA-DBEE-42C9-B1A1-3D409F5BD9B6}">
      <text>
        <t>[Threaded comment]
Your version of Excel allows you to read this threaded comment; however, any edits to it will get removed if the file is opened in a newer version of Excel. Learn more: https://go.microsoft.com/fwlink/?linkid=870924
Comment:
    acerto fim de semana 24 e 25MAY</t>
      </text>
    </comment>
    <comment ref="AC25" authorId="41" shapeId="0" xr:uid="{414783C8-24CF-4332-A5A5-609FD478C6DA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INAD+SM</t>
      </text>
    </comment>
    <comment ref="AD25" authorId="42" shapeId="0" xr:uid="{1B726BF3-18EB-467A-B52F-BF426B809A0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INAD+SM</t>
      </text>
    </comment>
    <comment ref="F30" authorId="43" shapeId="0" xr:uid="{BC2299B1-4962-4EC3-B24A-E8EAD5F771E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AA33" authorId="44" shapeId="0" xr:uid="{C8F34013-83B8-465B-AA36-76E2F72AC189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de folga dia 30 de junho</t>
      </text>
    </comment>
    <comment ref="AF33" authorId="45" shapeId="0" xr:uid="{8E39FB3B-DAD1-4736-9AB1-E4E12AB51BB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troca.
Folga dia 25 de junho</t>
      </text>
    </comment>
    <comment ref="E34" authorId="46" shapeId="0" xr:uid="{F4AE8169-11F4-42B3-882D-0729A43C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Ana Magalhaes</t>
      </text>
    </comment>
    <comment ref="R37" authorId="47" shapeId="0" xr:uid="{A00F5209-E575-4399-AB1B-F9203E698E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formacao seguranca aeroporto
</t>
      </text>
    </comment>
    <comment ref="D46" authorId="48" shapeId="0" xr:uid="{25042B92-28AF-4E55-83F4-1FDB7B56B35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I52" authorId="49" shapeId="0" xr:uid="{E8BCACD5-E67C-49DB-8745-82CA68BE065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AD60" authorId="50" shapeId="0" xr:uid="{15F76F20-02AB-4E09-99CE-A03177631C2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 com a Catia</t>
      </text>
    </comment>
    <comment ref="N61" authorId="51" shapeId="0" xr:uid="{8D9A6E02-9426-4602-B343-02D29344E8D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 com a Telma</t>
      </text>
    </comment>
    <comment ref="G62" authorId="52" shapeId="0" xr:uid="{DE9AC54E-1995-40DB-B7AC-63AF244AB88B}">
      <text>
        <t>[Threaded comment]
Your version of Excel allows you to read this threaded comment; however, any edits to it will get removed if the file is opened in a newer version of Excel. Learn more: https://go.microsoft.com/fwlink/?linkid=870924
Comment:
    E: Sai as 12h</t>
      </text>
    </comment>
    <comment ref="M62" authorId="53" shapeId="0" xr:uid="{67C55363-CFA9-467A-A1BE-C8151FF99C76}">
      <text>
        <t>[Threaded comment]
Your version of Excel allows you to read this threaded comment; however, any edits to it will get removed if the file is opened in a newer version of Excel. Learn more: https://go.microsoft.com/fwlink/?linkid=870924
Comment:
    E: Sai as 19h</t>
      </text>
    </comment>
    <comment ref="N62" authorId="54" shapeId="0" xr:uid="{E97D7D26-553B-458F-853F-31A57A261032}">
      <text>
        <t>[Threaded comment]
Your version of Excel allows you to read this threaded comment; however, any edits to it will get removed if the file is opened in a newer version of Excel. Learn more: https://go.microsoft.com/fwlink/?linkid=870924
Comment:
    E: Sai as 19h</t>
      </text>
    </comment>
    <comment ref="O62" authorId="55" shapeId="0" xr:uid="{364E38D0-DC77-4ED4-9971-92DEF022D567}">
      <text>
        <t>[Threaded comment]
Your version of Excel allows you to read this threaded comment; however, any edits to it will get removed if the file is opened in a newer version of Excel. Learn more: https://go.microsoft.com/fwlink/?linkid=870924
Comment:
    E: Sai as 19h</t>
      </text>
    </comment>
    <comment ref="R62" authorId="56" shapeId="0" xr:uid="{E29D1702-21DD-4493-81F3-23A24F3CB97D}">
      <text>
        <t>[Threaded comment]
Your version of Excel allows you to read this threaded comment; however, any edits to it will get removed if the file is opened in a newer version of Excel. Learn more: https://go.microsoft.com/fwlink/?linkid=870924
Comment:
    E: Entra as 07h</t>
      </text>
    </comment>
    <comment ref="S62" authorId="57" shapeId="0" xr:uid="{5B1D406C-6C66-4CD9-8984-533965DCB40D}">
      <text>
        <t>[Threaded comment]
Your version of Excel allows you to read this threaded comment; however, any edits to it will get removed if the file is opened in a newer version of Excel. Learn more: https://go.microsoft.com/fwlink/?linkid=870924
Comment:
    E: Entra as 07h</t>
      </text>
    </comment>
    <comment ref="AA62" authorId="58" shapeId="0" xr:uid="{906AC52E-2364-4887-B3B8-EE06E83D268E}">
      <text>
        <t>[Threaded comment]
Your version of Excel allows you to read this threaded comment; however, any edits to it will get removed if the file is opened in a newer version of Excel. Learn more: https://go.microsoft.com/fwlink/?linkid=870924
Comment:
    E: Sai as 19h</t>
      </text>
    </comment>
    <comment ref="AF62" authorId="59" shapeId="0" xr:uid="{62B6B3BB-BB79-428E-AA91-5B06551EFF7C}">
      <text>
        <t>[Threaded comment]
Your version of Excel allows you to read this threaded comment; however, any edits to it will get removed if the file is opened in a newer version of Excel. Learn more: https://go.microsoft.com/fwlink/?linkid=870924
Comment:
    E: Entra as 07h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tc={B3A9564E-1283-451D-8B31-A8AA70096286}</author>
    <author>tc={E28AAE01-717F-441B-A401-7A20589BE6A8}</author>
    <author>tc={B3191547-2197-4EBA-9E04-C82D609052D1}</author>
    <author>tc={C74B00B1-8994-4E39-9A93-55CEF5D099B9}</author>
    <author>tc={EC5A306D-8B9B-4375-B283-762E71D3FA73}</author>
    <author>tc={C79D277E-E383-4913-AF3A-057ACDEC53C5}</author>
    <author>tc={B93229D1-027A-4ED4-AD8F-050FBF6E1BEA}</author>
    <author>tc={0C5B6D4D-C423-4A09-B001-5822EF56E870}</author>
    <author>tc={DFF96084-5AC1-49F1-BFC7-7B59317DC40A}</author>
    <author>tc={598E8C48-4CD9-4448-B844-4314AB5E18B4}</author>
    <author>tc={6B2D1F76-93E1-4467-BEB3-2E00A3A16CD6}</author>
    <author>tc={1EA8F878-558A-4347-A97C-40A838A4E4AA}</author>
    <author>tc={5251686E-3277-406C-ADEC-3F5931BD5907}</author>
    <author>tc={8CD9730B-8437-413E-A99C-5F4CBC19A7A3}</author>
    <author>tc={DB332942-612F-4D65-89B9-D4EC5C08574C}</author>
    <author>tc={6A8E8FDA-755D-4100-9273-2859A6A660D1}</author>
    <author>tc={450FA82A-F3DF-47DB-85AC-F3F8A3B35382}</author>
    <author>tc={445B38C0-F31B-484B-96A1-F013A8036FA6}</author>
    <author>tc={510EACA7-55B3-4928-9FE9-0511E905858D}</author>
    <author>tc={4C34FB98-6283-41C7-BBE3-391A10DCF5B5}</author>
    <author>tc={6062D470-3F69-4CA3-8DAE-307F9E8CD2E0}</author>
    <author>tc={9E414EE4-55DE-4338-B942-354E3243257A}</author>
    <author>tc={DBBDFB0C-033D-4C6E-8D41-93747DAA0875}</author>
    <author>tc={46DF0105-5A13-4553-A19D-9AD1F6DA737D}</author>
    <author>tc={707982E8-4073-4DD9-8015-13DEF2D54680}</author>
    <author>tc={41EBF4D8-89F7-486D-AAE3-8B8B71589198}</author>
    <author>tc={571B98E0-AD00-464C-8A97-E4581EF55536}</author>
    <author>tc={468B2AA7-E761-41D4-BDE1-380EFA43EA14}</author>
    <author>tc={D9E8DA3F-F6B7-4C43-A1E1-DAE31983EF25}</author>
    <author>tc={21D58A2B-A149-4CD3-975A-7500616B7D88}</author>
    <author>tc={FE8E0BE0-1F78-4672-9125-9E37CB4CF303}</author>
    <author>tc={896A6402-F385-42D9-ADD1-D0113AE74AE2}</author>
    <author>tc={5871C584-77C6-4D1F-A755-C8BDF7A0CC06}</author>
    <author>tc={CC2C1A78-0A1A-412F-935A-AFEEB15DD28E}</author>
    <author>tc={E53995AE-A352-4CA8-A5BE-867FA025489A}</author>
    <author>tc={2CF239CA-40B2-4B12-BF4A-12E9FCE7127B}</author>
  </authors>
  <commentList>
    <comment ref="W8" authorId="0" shapeId="0" xr:uid="{B3A9564E-1283-451D-8B31-A8AA7009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de folga com o Joao - 14 de Junho</t>
      </text>
    </comment>
    <comment ref="AA10" authorId="1" shapeId="0" xr:uid="{E28AAE01-717F-441B-A401-7A20589B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C16" authorId="2" shapeId="0" xr:uid="{B3191547-2197-4EBA-9E04-C82D609052D1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aprovada com Tiago Abreu relativo a 01 e 27 de Julho</t>
      </text>
    </comment>
    <comment ref="F18" authorId="3" shapeId="0" xr:uid="{C74B00B1-8994-4E39-9A93-55CEF5D099B9}">
      <text>
        <t>[Threaded comment]
Your version of Excel allows you to read this threaded comment; however, any edits to it will get removed if the file is opened in a newer version of Excel. Learn more: https://go.microsoft.com/fwlink/?linkid=870924
Comment:
    SM</t>
      </text>
    </comment>
    <comment ref="F23" authorId="4" shapeId="0" xr:uid="{EC5A306D-8B9B-4375-B283-762E71D3FA73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</t>
      </text>
    </comment>
    <comment ref="AC23" authorId="5" shapeId="0" xr:uid="{C79D277E-E383-4913-AF3A-057ACDEC53C5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aprovada com Tiago Abreu relativo a 01 e 27 de Julho</t>
      </text>
    </comment>
    <comment ref="E24" authorId="6" shapeId="0" xr:uid="{B93229D1-027A-4ED4-AD8F-050FBF6E1BEA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F24" authorId="7" shapeId="0" xr:uid="{0C5B6D4D-C423-4A09-B001-5822EF56E87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INADs e Marshals</t>
      </text>
    </comment>
    <comment ref="Q24" authorId="8" shapeId="0" xr:uid="{DFF96084-5AC1-49F1-BFC7-7B59317DC40A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piso 2</t>
      </text>
    </comment>
    <comment ref="R24" authorId="9" shapeId="0" xr:uid="{598E8C48-4CD9-4448-B844-4314AB5E18B4}">
      <text>
        <t>[Threaded comment]
Your version of Excel allows you to read this threaded comment; however, any edits to it will get removed if the file is opened in a newer version of Excel. Learn more: https://go.microsoft.com/fwlink/?linkid=870924
Comment:
    SM</t>
      </text>
    </comment>
    <comment ref="U24" authorId="10" shapeId="0" xr:uid="{6B2D1F76-93E1-4467-BEB3-2E00A3A16CD6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compensacao 07junho</t>
      </text>
    </comment>
    <comment ref="AA24" authorId="11" shapeId="0" xr:uid="{1EA8F878-558A-4347-A97C-40A838A4E4A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B24" authorId="12" shapeId="0" xr:uid="{5251686E-3277-406C-ADEC-3F5931BD590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C24" authorId="13" shapeId="0" xr:uid="{8CD9730B-8437-413E-A99C-5F4CBC19A7A3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E26" authorId="14" shapeId="0" xr:uid="{DB332942-612F-4D65-89B9-D4EC5C08574C}">
      <text>
        <t>[Threaded comment]
Your version of Excel allows you to read this threaded comment; however, any edits to it will get removed if the file is opened in a newer version of Excel. Learn more: https://go.microsoft.com/fwlink/?linkid=870924
Comment:
    SM</t>
      </text>
    </comment>
    <comment ref="F26" authorId="15" shapeId="0" xr:uid="{6A8E8FDA-755D-4100-9273-2859A6A660D1}">
      <text>
        <t>[Threaded comment]
Your version of Excel allows you to read this threaded comment; however, any edits to it will get removed if the file is opened in a newer version of Excel. Learn more: https://go.microsoft.com/fwlink/?linkid=870924
Comment:
    SM</t>
      </text>
    </comment>
    <comment ref="K26" authorId="16" shapeId="0" xr:uid="{450FA82A-F3DF-47DB-85AC-F3F8A3B35382}">
      <text>
        <t>[Threaded comment]
Your version of Excel allows you to read this threaded comment; however, any edits to it will get removed if the file is opened in a newer version of Excel. Learn more: https://go.microsoft.com/fwlink/?linkid=870924
Comment:
    SM</t>
      </text>
    </comment>
    <comment ref="L26" authorId="17" shapeId="0" xr:uid="{445B38C0-F31B-484B-96A1-F013A8036FA6}">
      <text>
        <t>[Threaded comment]
Your version of Excel allows you to read this threaded comment; however, any edits to it will get removed if the file is opened in a newer version of Excel. Learn more: https://go.microsoft.com/fwlink/?linkid=870924
Comment:
    SM</t>
      </text>
    </comment>
    <comment ref="Q26" authorId="18" shapeId="0" xr:uid="{510EACA7-55B3-4928-9FE9-0511E905858D}">
      <text>
        <t>[Threaded comment]
Your version of Excel allows you to read this threaded comment; however, any edits to it will get removed if the file is opened in a newer version of Excel. Learn more: https://go.microsoft.com/fwlink/?linkid=870924
Comment:
    SM</t>
      </text>
    </comment>
    <comment ref="R26" authorId="19" shapeId="0" xr:uid="{4C34FB98-6283-41C7-BBE3-391A10DCF5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INAD piso 2
</t>
      </text>
    </comment>
    <comment ref="S26" authorId="20" shapeId="0" xr:uid="{6062D470-3F69-4CA3-8DAE-307F9E8CD2E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piso 2</t>
      </text>
    </comment>
    <comment ref="T26" authorId="21" shapeId="0" xr:uid="{9E414EE4-55DE-4338-B942-354E3243257A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piso 2</t>
      </text>
    </comment>
    <comment ref="X26" authorId="22" shapeId="0" xr:uid="{DBBDFB0C-033D-4C6E-8D41-93747DAA0875}">
      <text>
        <t>[Threaded comment]
Your version of Excel allows you to read this threaded comment; however, any edits to it will get removed if the file is opened in a newer version of Excel. Learn more: https://go.microsoft.com/fwlink/?linkid=870924
Comment:
    SM</t>
      </text>
    </comment>
    <comment ref="Y26" authorId="23" shapeId="0" xr:uid="{46DF0105-5A13-4553-A19D-9AD1F6DA737D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Z26" authorId="24" shapeId="0" xr:uid="{707982E8-4073-4DD9-8015-13DEF2D54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D26" authorId="25" shapeId="0" xr:uid="{41EBF4D8-89F7-486D-AAE3-8B8B71589198}">
      <text>
        <t>[Threaded comment]
Your version of Excel allows you to read this threaded comment; however, any edits to it will get removed if the file is opened in a newer version of Excel. Learn more: https://go.microsoft.com/fwlink/?linkid=870924
Comment:
    SM</t>
      </text>
    </comment>
    <comment ref="Z37" authorId="26" shapeId="0" xr:uid="{571B98E0-AD00-464C-8A97-E4581EF5553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F38" authorId="27" shapeId="0" xr:uid="{468B2AA7-E761-41D4-BDE1-380EFA43EA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Formacao EN
</t>
      </text>
    </comment>
    <comment ref="C45" authorId="28" shapeId="0" xr:uid="{D9E8DA3F-F6B7-4C43-A1E1-DAE31983EF2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D52" authorId="29" shapeId="0" xr:uid="{21D58A2B-A149-4CD3-975A-7500616B7D8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EN</t>
      </text>
    </comment>
    <comment ref="E52" authorId="30" shapeId="0" xr:uid="{FE8E0BE0-1F78-4672-9125-9E37CB4CF30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EN</t>
      </text>
    </comment>
    <comment ref="G62" authorId="31" shapeId="0" xr:uid="{896A6402-F385-42D9-ADD1-D0113AE74A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sai as 19h
</t>
      </text>
    </comment>
    <comment ref="I62" authorId="32" shapeId="0" xr:uid="{5871C584-77C6-4D1F-A755-C8BDF7A0CC06}">
      <text>
        <t>[Threaded comment]
Your version of Excel allows you to read this threaded comment; however, any edits to it will get removed if the file is opened in a newer version of Excel. Learn more: https://go.microsoft.com/fwlink/?linkid=870924
Comment:
    E: Sai as 19h</t>
      </text>
    </comment>
    <comment ref="S62" authorId="33" shapeId="0" xr:uid="{CC2C1A78-0A1A-412F-935A-AFEEB15DD28E}">
      <text>
        <t>[Threaded comment]
Your version of Excel allows you to read this threaded comment; however, any edits to it will get removed if the file is opened in a newer version of Excel. Learn more: https://go.microsoft.com/fwlink/?linkid=870924
Comment:
    E: Entra as 16h</t>
      </text>
    </comment>
    <comment ref="T62" authorId="34" shapeId="0" xr:uid="{E53995AE-A352-4CA8-A5BE-867FA025489A}">
      <text>
        <t>[Threaded comment]
Your version of Excel allows you to read this threaded comment; however, any edits to it will get removed if the file is opened in a newer version of Excel. Learn more: https://go.microsoft.com/fwlink/?linkid=870924
Comment:
    E: Sai as 19h</t>
      </text>
    </comment>
    <comment ref="U62" authorId="35" shapeId="0" xr:uid="{2CF239CA-40B2-4B12-BF4A-12E9FCE7127B}">
      <text>
        <t>[Threaded comment]
Your version of Excel allows you to read this threaded comment; however, any edits to it will get removed if the file is opened in a newer version of Excel. Learn more: https://go.microsoft.com/fwlink/?linkid=870924
Comment:
    E: Sai as 19h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tc={9765F2D1-5100-42CC-B619-ADC67BCC1C7D}</author>
    <author>tc={21B4E038-5BE4-4B1A-A1F7-F45563CB4041}</author>
    <author>tc={D4D4C47E-C214-4FEC-85DE-0061B633BDEE}</author>
    <author>tc={668FBF98-EA1D-4396-B0DD-446A4597BBAA}</author>
    <author>tc={B82E6E88-767F-48AC-AA3E-0A82E5EF37B2}</author>
    <author>tc={7B1445D4-C99D-446D-970C-40F8873A58AA}</author>
    <author>tc={3B64D334-1762-479B-9FB8-1D0798DCA534}</author>
    <author>tc={1EB0F494-8100-4C21-9F70-C54E2A12E211}</author>
    <author>tc={5902C812-BED1-475C-8203-15E99D578C2D}</author>
    <author>tc={880204E2-0905-4A0C-B7D2-A5EB29C66EB7}</author>
    <author>tc={E4247943-A2C1-4218-8645-EC38ACBF3B00}</author>
    <author>tc={334F4B6F-1B44-4253-BDB3-D556B617E597}</author>
    <author>tc={F5BE9A21-96FD-4EB0-8D7C-E5A9EE8E6E27}</author>
    <author>tc={A9EC30E1-A99E-49D0-9A19-403F0CDDE1F0}</author>
    <author>tc={1C7FFFE0-890B-4590-BEC0-654067A83668}</author>
    <author>tc={2A63144A-C1D6-499D-A726-05F94062226A}</author>
    <author>tc={9A80832D-324A-4995-AA9B-961075F989DC}</author>
    <author>tc={083FC189-45BD-4021-A913-4372A4564AE0}</author>
    <author>tc={0C6AD1CF-E5B4-4022-80AF-2789BE896877}</author>
    <author>tc={518FFF8B-5F8B-4DDB-A424-6A9025E8D515}</author>
    <author>tc={DD066539-A436-47A8-B207-BF4ABFA01B2E}</author>
    <author>tc={E55D33BD-7695-4DD2-9C2F-D68559DF5E7B}</author>
    <author>tc={C0BC1D24-EF51-4EB6-8EE6-41C56B230DE8}</author>
    <author>tc={5CD3F436-AFB3-4FD5-8574-9474A4DC11E0}</author>
    <author>tc={EF3DCE9A-DE51-4B35-8E93-2E1434B45109}</author>
    <author>tc={AEBB695B-26D6-45E6-B688-A2D8ECB877E5}</author>
    <author>tc={31FB83BD-BCE0-4BA0-97F5-50FF7F9CD83B}</author>
    <author>tc={2E12A46A-D0D8-4209-A584-87DB95AE7D3A}</author>
    <author>tc={F884E4E2-BD86-4174-894B-50E7AA6620C5}</author>
    <author>tc={C6BE659B-45B9-454A-A17F-D93C47EEEDDF}</author>
    <author>tc={D94DF2E5-D38B-42CC-B884-3F51730642B7}</author>
    <author>tc={8FC322B1-6B0A-4868-B726-BD35BEBCC10D}</author>
    <author>tc={95621A0D-271E-455D-9832-B4FD0509F54E}</author>
    <author>tc={9392A6FD-54ED-45AC-BF1B-7F573B3B9AD2}</author>
    <author>tc={929DB514-14FB-4628-A7B6-43F4853B5940}</author>
    <author>tc={0290677A-2015-4F62-AA79-5236CDE1C0E8}</author>
    <author>tc={B6D902A3-8CD9-445F-8EEB-850D9E8C4893}</author>
    <author>tc={959F5EA6-D5D6-4EDC-883B-6A556CDFB8F9}</author>
    <author>tc={50B40ADB-7414-46AE-9081-FECB324B1F5E}</author>
    <author>tc={A2861889-5132-4A15-A47C-9AE3E80727E9}</author>
    <author>tc={0014AEAC-CBC9-4DDE-B50A-54E4CF789ABD}</author>
  </authors>
  <commentList>
    <comment ref="R7" authorId="0" shapeId="0" xr:uid="{9765F2D1-5100-42CC-B619-ADC67BCC1C7D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a Catia Martins</t>
      </text>
    </comment>
    <comment ref="W7" authorId="1" shapeId="0" xr:uid="{21B4E038-5BE4-4B1A-A1F7-F45563CB4041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a Catia Martins</t>
      </text>
    </comment>
    <comment ref="V8" authorId="2" shapeId="0" xr:uid="{D4D4C47E-C214-4FEC-85DE-0061B633BDEE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</t>
      </text>
    </comment>
    <comment ref="R12" authorId="3" shapeId="0" xr:uid="{668FBF98-EA1D-4396-B0DD-446A4597BBAA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o Joao Santos Silva</t>
      </text>
    </comment>
    <comment ref="V12" authorId="4" shapeId="0" xr:uid="{B82E6E88-767F-48AC-AA3E-0A82E5EF37B2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</t>
      </text>
    </comment>
    <comment ref="W12" authorId="5" shapeId="0" xr:uid="{7B1445D4-C99D-446D-970C-40F8873A58AA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o Joao Santos Silva</t>
      </text>
    </comment>
    <comment ref="F17" authorId="6" shapeId="0" xr:uid="{3B64D334-1762-479B-9FB8-1D0798DCA534}">
      <text>
        <t>[Threaded comment]
Your version of Excel allows you to read this threaded comment; however, any edits to it will get removed if the file is opened in a newer version of Excel. Learn more: https://go.microsoft.com/fwlink/?linkid=870924
Comment:
    Piso 13- Refresh TRSC com Liliana P</t>
      </text>
    </comment>
    <comment ref="O17" authorId="7" shapeId="0" xr:uid="{1EB0F494-8100-4C21-9F70-C54E2A12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R17" authorId="8" shapeId="0" xr:uid="{5902C812-BED1-475C-8203-15E99D578C2D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U17" authorId="9" shapeId="0" xr:uid="{880204E2-0905-4A0C-B7D2-A5EB29C66EB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V17" authorId="10" shapeId="0" xr:uid="{E4247943-A2C1-4218-8645-EC38ACBF3B00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W17" authorId="11" shapeId="0" xr:uid="{334F4B6F-1B44-4253-BDB3-D556B617E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X17" authorId="12" shapeId="0" xr:uid="{F5BE9A21-96FD-4EB0-8D7C-E5A9EE8E6E2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A17" authorId="13" shapeId="0" xr:uid="{A9EC30E1-A99E-49D0-9A19-403F0CDDE1F0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</t>
      </text>
    </comment>
    <comment ref="AC17" authorId="14" shapeId="0" xr:uid="{1C7FFFE0-890B-4590-BEC0-654067A83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D17" authorId="15" shapeId="0" xr:uid="{2A63144A-C1D6-499D-A726-05F94062226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F18" authorId="16" shapeId="0" xr:uid="{9A80832D-324A-4995-AA9B-961075F989DC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I18" authorId="17" shapeId="0" xr:uid="{083FC189-45BD-4021-A913-4372A4564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 TRSC inicial com Tiago Abreu</t>
      </text>
    </comment>
    <comment ref="J18" authorId="18" shapeId="0" xr:uid="{0C6AD1CF-E5B4-4022-80AF-2789BE8968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 TRSC inicial com Tiago Abreu</t>
      </text>
    </comment>
    <comment ref="O18" authorId="19" shapeId="0" xr:uid="{518FFF8B-5F8B-4DDB-A424-6A9025E8D5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 TRSC piso 13 - com Liliana P.</t>
      </text>
    </comment>
    <comment ref="R18" authorId="20" shapeId="0" xr:uid="{DD066539-A436-47A8-B207-BF4ABFA01B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 TRSC piso 13 - com Liliana P.</t>
      </text>
    </comment>
    <comment ref="U18" authorId="21" shapeId="0" xr:uid="{E55D33BD-7695-4DD2-9C2F-D68559DF5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 TRSC</t>
      </text>
    </comment>
    <comment ref="V18" authorId="22" shapeId="0" xr:uid="{C0BC1D24-EF51-4EB6-8EE6-41C56B230D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 TRSC</t>
      </text>
    </comment>
    <comment ref="W18" authorId="23" shapeId="0" xr:uid="{5CD3F436-AFB3-4FD5-8574-9474A4DC1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 TRSC</t>
      </text>
    </comment>
    <comment ref="X18" authorId="24" shapeId="0" xr:uid="{EF3DCE9A-DE51-4B35-8E93-2E1434B451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Refresh TRSC</t>
      </text>
    </comment>
    <comment ref="AA18" authorId="25" shapeId="0" xr:uid="{AEBB695B-26D6-45E6-B688-A2D8ECB877E5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V27" authorId="26" shapeId="0" xr:uid="{31FB83BD-BCE0-4BA0-97F5-50FF7F9CD83B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</t>
      </text>
    </comment>
    <comment ref="J29" authorId="27" shapeId="0" xr:uid="{2E12A46A-D0D8-4209-A584-87DB95AE7D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Troca com a Joana </t>
      </text>
    </comment>
    <comment ref="K33" authorId="28" shapeId="0" xr:uid="{F884E4E2-BD86-4174-894B-50E7AA6620C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EN</t>
      </text>
    </comment>
    <comment ref="AB33" authorId="29" shapeId="0" xr:uid="{C6BE659B-45B9-454A-A17F-D93C47EEEDDF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</t>
      </text>
    </comment>
    <comment ref="J35" authorId="30" shapeId="0" xr:uid="{D94DF2E5-D38B-42CC-B884-3F51730642B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EN</t>
      </text>
    </comment>
    <comment ref="P35" authorId="31" shapeId="0" xr:uid="{8FC322B1-6B0A-4868-B726-BD35BEBCC10D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direta com o Carlos</t>
      </text>
    </comment>
    <comment ref="AB35" authorId="32" shapeId="0" xr:uid="{95621A0D-271E-455D-9832-B4FD0509F54E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</t>
      </text>
    </comment>
    <comment ref="AC40" authorId="33" shapeId="0" xr:uid="{9392A6FD-54ED-45AC-BF1B-7F573B3B9AD2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</t>
      </text>
    </comment>
    <comment ref="K41" authorId="34" shapeId="0" xr:uid="{929DB514-14FB-4628-A7B6-43F4853B5940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LHX</t>
      </text>
    </comment>
    <comment ref="L41" authorId="35" shapeId="0" xr:uid="{0290677A-2015-4F62-AA79-5236CDE1C0E8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LHX</t>
      </text>
    </comment>
    <comment ref="AB48" authorId="36" shapeId="0" xr:uid="{B6D902A3-8CD9-445F-8EEB-850D9E8C4893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</t>
      </text>
    </comment>
    <comment ref="AA49" authorId="37" shapeId="0" xr:uid="{959F5EA6-D5D6-4EDC-883B-6A556CDFB8F9}">
      <text>
        <t>[Threaded comment]
Your version of Excel allows you to read this threaded comment; however, any edits to it will get removed if the file is opened in a newer version of Excel. Learn more: https://go.microsoft.com/fwlink/?linkid=870924
Comment:
    Flash Training</t>
      </text>
    </comment>
    <comment ref="AE49" authorId="38" shapeId="0" xr:uid="{50B40ADB-7414-46AE-9081-FECB324B1F5E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AF49" authorId="39" shapeId="0" xr:uid="{A2861889-5132-4A15-A47C-9AE3E80727E9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Y51" authorId="40" shapeId="0" xr:uid="{0014AEAC-CBC9-4DDE-B50A-54E4CF789A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troca lhx
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tc={B59805CA-BF58-4D8E-8742-5E5B69323C62}</author>
    <author>tc={29164CE4-F508-4E8B-9C0A-2AFC0CF62D09}</author>
    <author>tc={98FBE24D-DAE9-4FEA-BE42-7BD3A79D40AB}</author>
    <author>tc={6E52DF38-0F39-4963-B701-86058C90ED92}</author>
    <author>tc={E78225AB-4C0F-4E71-856A-631FCD01D9A9}</author>
    <author>tc={282412D1-378D-41C5-B203-A24ABA3F2831}</author>
    <author>tc={F00C71CF-48B4-4DE8-8316-7540AC392839}</author>
    <author>tc={4D2CC0A0-F02B-47EE-B9BD-4AD69616F686}</author>
    <author>tc={7D837D59-0A2D-498C-AEC3-5AAB2EE1FBB9}</author>
    <author>tc={BDACC75C-2C5D-4F8F-9F45-5867B24C6DB0}</author>
    <author>tc={0F3C71DD-87D8-40A6-9D82-B8D4FAF164D8}</author>
    <author>tc={67C3EE1E-D291-4E9A-8624-2C88544199C1}</author>
    <author>tc={9EACAEEB-4E6D-49E4-8E29-59CC1DC1B0BC}</author>
    <author>tc={B5F565DC-8554-434A-82EB-4E207CFFE31D}</author>
    <author>tc={CE44FDE7-AB3F-4AA2-A867-2E5BA8CC3529}</author>
    <author>tc={7B8A322B-E9BE-4D2D-8BB0-CCDFDB394297}</author>
    <author>tc={2BF2377A-BD35-4C40-B179-AF129887050E}</author>
    <author>tc={CBD1C30F-EC9C-4CA5-A94E-CE80FA258D03}</author>
    <author>tc={527DBD2C-7C5D-43A6-A4AB-5A45FC59A426}</author>
    <author>tc={0015DFF4-7E7F-4D0D-8CBA-2B4ADF94117B}</author>
    <author>tc={25A1D9D0-C364-425E-8F5A-B23F309C37ED}</author>
    <author>tc={D4349A88-EC40-414D-AF0A-876DBFA8E773}</author>
    <author>tc={31131BD5-2515-4C39-8681-C15BFAD3C19B}</author>
    <author>tc={4926E83F-B9E1-4814-B345-3306A376F680}</author>
    <author>tc={C9D04F69-3835-4CD8-9FC5-483E9719F615}</author>
    <author>tc={50643DD2-5674-4751-9E0C-8E8541F89D44}</author>
    <author>tc={958103DF-1867-44C3-9127-24E7962A1C99}</author>
  </authors>
  <commentList>
    <comment ref="L6" authorId="0" shapeId="0" xr:uid="{B59805CA-BF58-4D8E-8742-5E5B69323C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Revisao plano de formaçao HubStar com Marta Vieira</t>
      </text>
    </comment>
    <comment ref="J16" authorId="1" shapeId="0" xr:uid="{29164CE4-F508-4E8B-9C0A-2AFC0CF62D09}">
      <text>
        <t>[Threaded comment]
Your version of Excel allows you to read this threaded comment; however, any edits to it will get removed if the file is opened in a newer version of Excel. Learn more: https://go.microsoft.com/fwlink/?linkid=870924
Comment:
    Duty Trip - FRA BPOL Asyl</t>
      </text>
    </comment>
    <comment ref="AA16" authorId="2" shapeId="0" xr:uid="{98FBE24D-DAE9-4FEA-BE42-7BD3A79D40AB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de compensaçao relativa a dia 08SEP</t>
      </text>
    </comment>
    <comment ref="N18" authorId="3" shapeId="0" xr:uid="{6E52DF38-0F39-4963-B701-86058C90ED92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T18" authorId="4" shapeId="0" xr:uid="{E78225AB-4C0F-4E71-856A-631FCD01D9A9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U18" authorId="5" shapeId="0" xr:uid="{282412D1-378D-41C5-B203-A24ABA3F2831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V18" authorId="6" shapeId="0" xr:uid="{F00C71CF-48B4-4DE8-8316-7540AC392839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W18" authorId="7" shapeId="0" xr:uid="{4D2CC0A0-F02B-47EE-B9BD-4AD69616F686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Z18" authorId="8" shapeId="0" xr:uid="{7D837D59-0A2D-498C-AEC3-5AAB2EE1FBB9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A18" authorId="9" shapeId="0" xr:uid="{BDACC75C-2C5D-4F8F-9F45-5867B24C6DB0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B18" authorId="10" shapeId="0" xr:uid="{0F3C71DD-87D8-40A6-9D82-B8D4FAF164D8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C18" authorId="11" shapeId="0" xr:uid="{67C3EE1E-D291-4E9A-8624-2C88544199C1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F18" authorId="12" shapeId="0" xr:uid="{9EACAEEB-4E6D-49E4-8E29-59CC1DC1B0BC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N19" authorId="13" shapeId="0" xr:uid="{B5F565DC-8554-434A-82EB-4E207CFFE31D}">
      <text>
        <t>[Threaded comment]
Your version of Excel allows you to read this threaded comment; however, any edits to it will get removed if the file is opened in a newer version of Excel. Learn more: https://go.microsoft.com/fwlink/?linkid=870924
Comment:
    RST</t>
      </text>
    </comment>
    <comment ref="S20" authorId="14" shapeId="0" xr:uid="{CE44FDE7-AB3F-4AA2-A867-2E5BA8CC3529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T20" authorId="15" shapeId="0" xr:uid="{7B8A322B-E9BE-4D2D-8BB0-CCDFDB39429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U20" authorId="16" shapeId="0" xr:uid="{2BF2377A-BD35-4C40-B179-AF129887050E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X20" authorId="17" shapeId="0" xr:uid="{CBD1C30F-EC9C-4CA5-A94E-CE80FA258D03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Y20" authorId="18" shapeId="0" xr:uid="{527DBD2C-7C5D-43A6-A4AB-5A45FC59A426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Z20" authorId="19" shapeId="0" xr:uid="{0015DFF4-7E7F-4D0D-8CBA-2B4ADF941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A20" authorId="20" shapeId="0" xr:uid="{25A1D9D0-C364-425E-8F5A-B23F309C37ED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U32" authorId="21" shapeId="0" xr:uid="{D4349A88-EC40-414D-AF0A-876DBFA8E77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Travel Care com José Pedro Couto</t>
      </text>
    </comment>
    <comment ref="N40" authorId="22" shapeId="0" xr:uid="{31131BD5-2515-4C39-8681-C15BFAD3C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 com a Catia N</t>
      </text>
    </comment>
    <comment ref="I41" authorId="23" shapeId="0" xr:uid="{4926E83F-B9E1-4814-B345-3306A376F68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U42" authorId="24" shapeId="0" xr:uid="{C9D04F69-3835-4CD8-9FC5-483E9719F615}">
      <text>
        <t>[Threaded comment]
Your version of Excel allows you to read this threaded comment; however, any edits to it will get removed if the file is opened in a newer version of Excel. Learn more: https://go.microsoft.com/fwlink/?linkid=870924
Comment:
    World Clean Up Day (Voluntariado)</t>
      </text>
    </comment>
    <comment ref="V42" authorId="25" shapeId="0" xr:uid="{50643DD2-5674-4751-9E0C-8E8541F89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</t>
      </text>
    </comment>
    <comment ref="W48" authorId="26" shapeId="0" xr:uid="{958103DF-1867-44C3-9127-24E7962A1C99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tc={C7B9C14C-92F4-41B6-998F-1733A77CFE2E}</author>
    <author>tc={6739B305-E710-4DA7-9905-4EA76D4193DC}</author>
    <author>tc={1BBE338D-34FC-4629-9955-07A9FFB69D90}</author>
    <author>tc={06D7DFD3-74A0-44FF-B0B4-9B92F3A160C6}</author>
    <author>tc={3416AA3C-ECBF-459D-B2BC-C51D1B50B7EB}</author>
    <author>tc={F7232D9B-57C7-45CF-B4D6-BCBAC2F9A1FC}</author>
    <author>tc={7774B89D-8009-4D62-8E86-EF72B7A1F2EF}</author>
    <author>tc={31107FFB-05BF-4A76-8509-A991CEFB3181}</author>
    <author>tc={4F11838A-5128-4ECE-8965-C2D3819AD5BE}</author>
    <author>tc={6168E666-EFBC-4954-9900-419201942E59}</author>
    <author>tc={D00A63A6-6801-46D0-A975-A0616FC615BF}</author>
    <author>tc={E5099E9C-6BCD-4E1E-A494-906C4E8ED991}</author>
    <author>tc={A7B04556-D963-4C42-8B54-DE4009212E2F}</author>
    <author>tc={71EC6EA9-C929-44C5-88C5-B20D6230BBD6}</author>
    <author>tc={DB9894C3-3F69-4C8C-B557-95D85D60E10C}</author>
    <author>tc={31FB8758-DB1E-4C10-9F34-A2DDF1648367}</author>
    <author>tc={45FB386D-2248-42F6-B46E-297F7E930FEF}</author>
    <author>tc={316B098A-2F95-4BBC-A5D4-035CCC781ED2}</author>
    <author>tc={A68B1798-FBD7-430C-BAFC-BC2B50F6C3A0}</author>
    <author>tc={398E0358-550E-44B4-A710-22DB3FD595A7}</author>
    <author>tc={7666902A-A69F-4C16-88B8-EB82F0D6B15A}</author>
    <author>tc={DEC600C4-50F7-4372-9D25-1E905E7D58B0}</author>
    <author>tc={067C2423-9680-4AA4-9414-C4A88D1E5EA4}</author>
    <author>tc={FDC5CC64-6905-4229-89B5-6D6DC09D7FA5}</author>
    <author>tc={52B694AA-B7CC-4AF2-A395-1B7D2D73F802}</author>
    <author>tc={815B87DC-06C2-4D85-B583-C2A3DF2AE39E}</author>
    <author>tc={D3ED6C84-F455-45C3-9F20-E84653D9B958}</author>
    <author>tc={2BD420F1-7BC9-44B4-AC89-5EA9AF17325D}</author>
    <author>tc={83DE472B-B669-458A-947B-296DF9730CD9}</author>
    <author>tc={BF6D8EA9-5613-45FF-8F40-0B011DE27E72}</author>
    <author>tc={4585521D-64BD-4878-BD06-4C7E4237BDCC}</author>
    <author>tc={87F341A8-EB4D-450B-BE88-33CC8ED3F32E}</author>
    <author>tc={5E2C2ED1-84B3-47BC-A59F-CB4668FB86F5}</author>
    <author>tc={202CF553-D12B-4748-8A30-D3A514F72DF8}</author>
    <author>tc={804A6683-55EA-4325-A03F-CCF269445549}</author>
    <author>tc={B2600461-FB18-4E3A-829A-A1995486D060}</author>
    <author>tc={4E449D79-5749-4014-B186-51D988ADC547}</author>
    <author>tc={A3CFDCAC-F364-432C-888D-9F919BB9C5A9}</author>
    <author>tc={0E24D12F-153F-4B27-936A-5E7AA7063EC8}</author>
    <author>tc={82CF2A0E-DB7F-4657-92B5-70CFF4E15AB6}</author>
    <author>tc={AF746B6A-4AF4-4430-A93E-0D1C2820BD1F}</author>
    <author>tc={E89B7335-1A2A-4B28-B0C7-CDE5CBEC327D}</author>
    <author>tc={304233EE-CE7E-466F-8EC2-C49448865DC1}</author>
    <author>tc={6D42BD52-E16C-4209-95E7-84CB421A217A}</author>
    <author>tc={08255803-9D4A-47B6-A0C4-79B437695379}</author>
    <author>tc={78D4AF53-9F32-4760-86C4-537ADEC71177}</author>
    <author>tc={903C032F-D8F9-4AF9-BAF5-DDE1CF570766}</author>
    <author>tc={5BF8D47A-DFE2-4AD6-97DA-ACBDCE8FFC6D}</author>
    <author>tc={2ECC6C55-F7CA-4465-9433-16BD690C2CF9}</author>
    <author>tc={1A013C50-893B-4424-B5DE-A4DD24C37AFF}</author>
    <author>tc={426B48C1-6C32-47E8-AF86-C5F941885C84}</author>
    <author>tc={C6B2B4F7-2ACE-4544-9ED8-173B6E1C827A}</author>
    <author>tc={54C8E382-CAF3-453D-81B0-39F25D9A5D8A}</author>
    <author>tc={CF606AF4-3BDA-42C8-A9B7-DD0C02A950AC}</author>
    <author>tc={1F36F9D6-BB4B-43BB-A9AC-9E3F4BADB942}</author>
    <author>tc={DFB66B0F-40F2-4D3E-A4E0-4C92DD766C75}</author>
    <author>tc={ECF5E0D8-0157-4ECA-B88F-7D434C60EE5A}</author>
    <author>tc={E1AC1665-F15D-42C6-BB3D-A68B7509C3C6}</author>
    <author>tc={2B19AF78-49BB-4FD2-B794-CA6EA8D692FA}</author>
    <author>tc={37FF9298-2425-4075-8A05-CB4E7839287B}</author>
    <author>tc={34851586-BDB9-4172-9850-55155D542B32}</author>
    <author>tc={BD99F1F1-28FE-41D0-B657-7B10538B1328}</author>
    <author>tc={C3CB7BEC-73EF-4DEE-A869-C8BF6BEA594C}</author>
    <author>tc={6BF61308-132D-4A0F-B06A-8D964BCD41AE}</author>
    <author>tc={D8735FD1-BC88-43F0-BAC6-F05D1CC1A63F}</author>
    <author>tc={62DC3415-5FB6-47A5-BAA2-389FA7B6735A}</author>
    <author>tc={F3A3B015-3DD1-4B23-88C1-C9852AC3B73D}</author>
    <author>tc={83321BB8-9E71-4A62-B674-3D72DD3013EA}</author>
    <author>tc={A52CF06D-23E3-4BDC-BB92-B75356B6E6F3}</author>
    <author>tc={64E27A6E-8207-43C6-B933-27D0280B2774}</author>
    <author>tc={F8278796-8C6F-4682-8B73-7906F835175B}</author>
    <author>tc={2AC8CF48-F34B-4433-8C1C-91F0AEE59C0D}</author>
    <author>tc={B52219C0-D6AE-44AF-A96D-6CD1C2ACE785}</author>
    <author>tc={0C4E1FE9-FB53-40E6-BCE6-582BBE88D45D}</author>
    <author>tc={F47A07FF-40E0-4601-AC09-9E171C4A3449}</author>
    <author>tc={39A74DD5-C717-4260-977E-849A3A93B749}</author>
    <author>tc={7D326787-453A-4D1F-A217-9D6C84C7956E}</author>
    <author>tc={F2F61045-1C41-4FB2-84AD-92193A1F6490}</author>
    <author>tc={BA510D3B-54AA-4F71-8F7C-1E029097D5A2}</author>
    <author>tc={FB2C0C5C-3DD1-44EC-9EBF-F2D0A41792BC}</author>
    <author>tc={0BDCFE9C-BF6B-4ACF-8948-7D9E89E64E41}</author>
    <author>tc={89B61ABC-7183-4831-980C-28E14B11599F}</author>
    <author>tc={ECB4E026-5E62-453F-9BC0-24C6FF9AD08D}</author>
    <author>tc={13BBF00F-34A4-4922-80EB-DF0B9F65AE5E}</author>
    <author>tc={7466464C-3FD0-4D07-BD2E-79C275FC10D1}</author>
    <author>tc={156A7B05-B895-4233-8185-F05408B92F7D}</author>
    <author>tc={71790FE7-8342-4CE3-8E85-6F65175B2FD7}</author>
    <author>tc={31500F0D-172D-4FBB-8387-2A68B58FB34D}</author>
    <author>tc={DBE0DB3A-27D9-43A5-8B9A-2A4BCF3DF8A7}</author>
    <author>tc={36739AD6-9C5F-414D-B8E1-05CAAFAD1088}</author>
    <author>tc={F8785897-06E0-44BA-82AB-44F3C1EB9B6E}</author>
    <author>tc={D67FBBA5-019E-4716-BA85-3BB4411859BD}</author>
    <author>tc={5D563E80-2CB2-425F-AF98-808D1DAB53A2}</author>
    <author>tc={2C56DB9C-2094-45FA-9B6E-6984053AD8DA}</author>
    <author>tc={EAFBFDA3-6FE3-4818-B4A6-0A017959DD6B}</author>
    <author>tc={0612C123-0FC9-4326-B688-68B03BF72B27}</author>
    <author>tc={06885F29-E3FD-46D2-9F18-353018FE929B}</author>
    <author>tc={F85EB2A8-ECAB-49D4-96FE-83F8ABE39962}</author>
    <author>tc={AFE19374-022D-4703-B6BF-F0584E06F18E}</author>
    <author>tc={55FE1642-DBB7-4CA3-817E-926C4A58252B}</author>
    <author>tc={7006A5D7-BEB5-469E-924A-07FB7DC69441}</author>
    <author>tc={B732E5C9-7AF2-4555-B70D-F8F273B6D342}</author>
    <author>tc={8478DECD-0869-4706-975B-16BB71EB0063}</author>
  </authors>
  <commentList>
    <comment ref="F6" authorId="0" shapeId="0" xr:uid="{C7B9C14C-92F4-41B6-998F-1733A77CFE2E}">
      <text>
        <t>[Threaded comment]
Your version of Excel allows you to read this threaded comment; however, any edits to it will get removed if the file is opened in a newer version of Excel. Learn more: https://go.microsoft.com/fwlink/?linkid=870924
Comment:
    auth by EG</t>
      </text>
    </comment>
    <comment ref="H6" authorId="1" shapeId="0" xr:uid="{6739B305-E710-4DA7-9905-4EA76D4193D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EW</t>
      </text>
    </comment>
    <comment ref="I6" authorId="2" shapeId="0" xr:uid="{1BBE338D-34FC-4629-9955-07A9FFB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EW</t>
      </text>
    </comment>
    <comment ref="J6" authorId="3" shapeId="0" xr:uid="{06D7DFD3-74A0-44FF-B0B4-9B92F3A160C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EW</t>
      </text>
    </comment>
    <comment ref="F11" authorId="4" shapeId="0" xr:uid="{3416AA3C-ECBF-459D-B2BC-C51D1B50B7EB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relativa a dia 30SEP25</t>
      </text>
    </comment>
    <comment ref="AG12" authorId="5" shapeId="0" xr:uid="{F7232D9B-57C7-45CF-B4D6-BCBAC2F9A1FC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relativa a dia 21OCT</t>
      </text>
    </comment>
    <comment ref="Q16" authorId="6" shapeId="0" xr:uid="{7774B89D-8009-4D62-8E86-EF72B7A1F2EF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V16" authorId="7" shapeId="0" xr:uid="{31107FFB-05BF-4A76-8509-A991CEFB3181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Hub Support</t>
      </text>
    </comment>
    <comment ref="W16" authorId="8" shapeId="0" xr:uid="{4F11838A-5128-4ECE-8965-C2D3819AD5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Hub Support</t>
      </text>
    </comment>
    <comment ref="X16" authorId="9" shapeId="0" xr:uid="{6168E666-EFBC-4954-9900-419201942E5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Hub Support</t>
      </text>
    </comment>
    <comment ref="Y16" authorId="10" shapeId="0" xr:uid="{D00A63A6-6801-46D0-A975-A0616FC615B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INAD Hub Support</t>
      </text>
    </comment>
    <comment ref="C18" authorId="11" shapeId="0" xr:uid="{E5099E9C-6BCD-4E1E-A494-906C4E8ED991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D18" authorId="12" shapeId="0" xr:uid="{A7B04556-D963-4C42-8B54-DE4009212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E18" authorId="13" shapeId="0" xr:uid="{71EC6EA9-C929-44C5-88C5-B20D6230BBD6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H18" authorId="14" shapeId="0" xr:uid="{DB9894C3-3F69-4C8C-B557-95D85D60E10C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I18" authorId="15" shapeId="0" xr:uid="{31FB8758-DB1E-4C10-9F34-A2DDF1648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J18" authorId="16" shapeId="0" xr:uid="{45FB386D-2248-42F6-B46E-297F7E930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K18" authorId="17" shapeId="0" xr:uid="{316B098A-2F95-4BBC-A5D4-035CCC781ED2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N18" authorId="18" shapeId="0" xr:uid="{A68B1798-FBD7-430C-BAFC-BC2B50F6C3A0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O18" authorId="19" shapeId="0" xr:uid="{398E0358-550E-44B4-A710-22DB3FD595A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P18" authorId="20" shapeId="0" xr:uid="{7666902A-A69F-4C16-88B8-EB82F0D6B15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T18" authorId="21" shapeId="0" xr:uid="{DEC600C4-50F7-4372-9D25-1E905E7D58B0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U18" authorId="22" shapeId="0" xr:uid="{067C2423-9680-4AA4-9414-C4A88D1E5EA4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V18" authorId="23" shapeId="0" xr:uid="{FDC5CC64-6905-4229-89B5-6D6DC09D7FA5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W18" authorId="24" shapeId="0" xr:uid="{52B694AA-B7CC-4AF2-A395-1B7D2D73F802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Z18" authorId="25" shapeId="0" xr:uid="{815B87DC-06C2-4D85-B583-C2A3DF2AE39E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A18" authorId="26" shapeId="0" xr:uid="{D3ED6C84-F455-45C3-9F20-E84653D9B958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B18" authorId="27" shapeId="0" xr:uid="{2BD420F1-7BC9-44B4-AC89-5EA9AF17325D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C18" authorId="28" shapeId="0" xr:uid="{83DE472B-B669-458A-947B-296DF9730CD9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F18" authorId="29" shapeId="0" xr:uid="{BF6D8EA9-5613-45FF-8F40-0B011DE27E72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G18" authorId="30" shapeId="0" xr:uid="{4585521D-64BD-4878-BD06-4C7E4237BDCC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E19" authorId="31" shapeId="0" xr:uid="{87F341A8-EB4D-450B-BE88-33CC8ED3F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F19" authorId="32" shapeId="0" xr:uid="{5E2C2ED1-84B3-47BC-A59F-CB4668FB86F5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G19" authorId="33" shapeId="0" xr:uid="{202CF553-D12B-4748-8A30-D3A514F72DF8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P19" authorId="34" shapeId="0" xr:uid="{804A6683-55EA-4325-A03F-CCF269445549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de compensação relativa a dia 12SEP</t>
      </text>
    </comment>
    <comment ref="R19" authorId="35" shapeId="0" xr:uid="{B2600461-FB18-4E3A-829A-A1995486D060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S19" authorId="36" shapeId="0" xr:uid="{4E449D79-5749-4014-B186-51D988ADC54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T19" authorId="37" shapeId="0" xr:uid="{A3CFDCAC-F364-432C-888D-9F919BB9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U19" authorId="38" shapeId="0" xr:uid="{0E24D12F-153F-4B27-936A-5E7AA7063EC8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X19" authorId="39" shapeId="0" xr:uid="{82CF2A0E-DB7F-4657-92B5-70CFF4E15AB6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Y19" authorId="40" shapeId="0" xr:uid="{AF746B6A-4AF4-4430-A93E-0D1C2820BD1F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Z19" authorId="41" shapeId="0" xr:uid="{E89B7335-1A2A-4B28-B0C7-CDE5CBEC327D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A19" authorId="42" shapeId="0" xr:uid="{304233EE-CE7E-466F-8EC2-C49448865DC1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D19" authorId="43" shapeId="0" xr:uid="{6D42BD52-E16C-4209-95E7-84CB421A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E19" authorId="44" shapeId="0" xr:uid="{08255803-9D4A-47B6-A0C4-79B437695379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F19" authorId="45" shapeId="0" xr:uid="{78D4AF53-9F32-4760-86C4-537ADEC71177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G19" authorId="46" shapeId="0" xr:uid="{903C032F-D8F9-4AF9-BAF5-DDE1CF570766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C20" authorId="47" shapeId="0" xr:uid="{5BF8D47A-DFE2-4AD6-97DA-ACBDCE8FFC6D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F20" authorId="48" shapeId="0" xr:uid="{2ECC6C55-F7CA-4465-9433-16BD690C2CF9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G20" authorId="49" shapeId="0" xr:uid="{1A013C50-893B-4424-B5DE-A4DD24C37AFF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H20" authorId="50" shapeId="0" xr:uid="{426B48C1-6C32-47E8-AF86-C5F941885C84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I20" authorId="51" shapeId="0" xr:uid="{C6B2B4F7-2ACE-4544-9ED8-173B6E1C827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L20" authorId="52" shapeId="0" xr:uid="{54C8E382-CAF3-453D-81B0-39F25D9A5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M20" authorId="53" shapeId="0" xr:uid="{CF606AF4-3BDA-42C8-A9B7-DD0C02A950AC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N20" authorId="54" shapeId="0" xr:uid="{1F36F9D6-BB4B-43BB-A9AC-9E3F4BADB942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O20" authorId="55" shapeId="0" xr:uid="{DFB66B0F-40F2-4D3E-A4E0-4C92DD766C75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R20" authorId="56" shapeId="0" xr:uid="{ECF5E0D8-0157-4ECA-B88F-7D434C60EE5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S20" authorId="57" shapeId="0" xr:uid="{E1AC1665-F15D-42C6-BB3D-A68B7509C3C6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T20" authorId="58" shapeId="0" xr:uid="{2B19AF78-49BB-4FD2-B794-CA6EA8D692F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U20" authorId="59" shapeId="0" xr:uid="{37FF9298-2425-4075-8A05-CB4E7839287B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V20" authorId="60" shapeId="0" xr:uid="{34851586-BDB9-4172-9850-55155D542B32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W20" authorId="61" shapeId="0" xr:uid="{BD99F1F1-28FE-41D0-B657-7B10538B1328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X20" authorId="62" shapeId="0" xr:uid="{C3CB7BEC-73EF-4DEE-A869-C8BF6BEA594C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Y20" authorId="63" shapeId="0" xr:uid="{6BF61308-132D-4A0F-B06A-8D964BCD41AE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Z20" authorId="64" shapeId="0" xr:uid="{D8735FD1-BC88-43F0-BAC6-F05D1CC1A63F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A20" authorId="65" shapeId="0" xr:uid="{62DC3415-5FB6-47A5-BAA2-389FA7B6735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D20" authorId="66" shapeId="0" xr:uid="{F3A3B015-3DD1-4B23-88C1-C9852AC3B73D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E20" authorId="67" shapeId="0" xr:uid="{83321BB8-9E71-4A62-B674-3D72DD3013EA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F20" authorId="68" shapeId="0" xr:uid="{A52CF06D-23E3-4BDC-BB92-B75356B6E6F3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AG20" authorId="69" shapeId="0" xr:uid="{64E27A6E-8207-43C6-B933-27D0280B2774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F28" authorId="70" shapeId="0" xr:uid="{F8278796-8C6F-4682-8B73-7906F83517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
</t>
      </text>
    </comment>
    <comment ref="AA29" authorId="71" shapeId="0" xr:uid="{2AC8CF48-F34B-4433-8C1C-91F0AEE59C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I31" authorId="72" shapeId="0" xr:uid="{B52219C0-D6AE-44AF-A96D-6CD1C2ACE78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EW</t>
      </text>
    </comment>
    <comment ref="H46" authorId="73" shapeId="0" xr:uid="{0C4E1FE9-FB53-40E6-BCE6-582BBE88D45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Francisco Sousa</t>
      </text>
    </comment>
    <comment ref="K46" authorId="74" shapeId="0" xr:uid="{F47A07FF-40E0-4601-AC09-9E171C4A344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L46" authorId="75" shapeId="0" xr:uid="{39A74DD5-C717-4260-977E-849A3A93B74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M46" authorId="76" shapeId="0" xr:uid="{7D326787-453A-4D1F-A217-9D6C84C7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N46" authorId="77" shapeId="0" xr:uid="{F2F61045-1C41-4FB2-84AD-92193A1F649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Q46" authorId="78" shapeId="0" xr:uid="{BA510D3B-54AA-4F71-8F7C-1E029097D5A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R46" authorId="79" shapeId="0" xr:uid="{FB2C0C5C-3DD1-44EC-9EBF-F2D0A41792B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S46" authorId="80" shapeId="0" xr:uid="{0BDCFE9C-BF6B-4ACF-8948-7D9E89E6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T46" authorId="81" shapeId="0" xr:uid="{89B61ABC-7183-4831-980C-28E14B11599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W46" authorId="82" shapeId="0" xr:uid="{ECB4E026-5E62-453F-9BC0-24C6FF9AD08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X46" authorId="83" shapeId="0" xr:uid="{13BBF00F-34A4-4922-80EB-DF0B9F65AE5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Y46" authorId="84" shapeId="0" xr:uid="{7466464C-3FD0-4D07-BD2E-79C275FC10D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Francisco Sousa</t>
      </text>
    </comment>
    <comment ref="Z46" authorId="85" shapeId="0" xr:uid="{156A7B05-B895-4233-8185-F05408B92F7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AC46" authorId="86" shapeId="0" xr:uid="{71790FE7-8342-4CE3-8E85-6F65175B2F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
Reply:
    cobre lhx aquando saida do Rui Roza @BEST, MARCOS </t>
      </text>
    </comment>
    <comment ref="AD46" authorId="87" shapeId="0" xr:uid="{31500F0D-172D-4FBB-8387-2A68B58FB34D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Turno LHX</t>
      </text>
    </comment>
    <comment ref="AE46" authorId="88" shapeId="0" xr:uid="{DBE0DB3A-27D9-43A5-8B9A-2A4BCF3DF8A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AF46" authorId="89" shapeId="0" xr:uid="{36739AD6-9C5F-414D-B8E1-05CAAFAD108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Formação TRSC com Liliana Pereira</t>
      </text>
    </comment>
    <comment ref="H48" authorId="90" shapeId="0" xr:uid="{F8785897-06E0-44BA-82AB-44F3C1EB9B6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EW</t>
      </text>
    </comment>
    <comment ref="J48" authorId="91" shapeId="0" xr:uid="{D67FBBA5-019E-4716-BA85-3BB4411859B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Formacao EW</t>
      </text>
    </comment>
    <comment ref="T49" authorId="92" shapeId="0" xr:uid="{5D563E80-2CB2-425F-AF98-808D1DAB53A2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direta com o Borges</t>
      </text>
    </comment>
    <comment ref="T51" authorId="93" shapeId="0" xr:uid="{2C56DB9C-2094-45FA-9B6E-6984053AD8DA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direta com a Jessica</t>
      </text>
    </comment>
    <comment ref="AC61" authorId="94" shapeId="0" xr:uid="{EAFBFDA3-6FE3-4818-B4A6-0A017959DD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tem consulta as 9h, a Nicole Souza cobre o lhx @BEST, MARCOS </t>
      </text>
    </comment>
    <comment ref="X63" authorId="95" shapeId="0" xr:uid="{0612C123-0FC9-4326-B688-68B03BF72B27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Catering</t>
      </text>
    </comment>
    <comment ref="Y63" authorId="96" shapeId="0" xr:uid="{06885F29-E3FD-46D2-9F18-353018FE929B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Catering</t>
      </text>
    </comment>
    <comment ref="Z63" authorId="97" shapeId="0" xr:uid="{F85EB2A8-ECAB-49D4-96FE-83F8ABE39962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Catering</t>
      </text>
    </comment>
    <comment ref="AC63" authorId="98" shapeId="0" xr:uid="{AFE19374-022D-4703-B6BF-F0584E06F18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Invol com Carolina Minas</t>
      </text>
    </comment>
    <comment ref="AD63" authorId="99" shapeId="0" xr:uid="{55FE1642-DBB7-4CA3-817E-926C4A58252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Invol com Carolina Minas</t>
      </text>
    </comment>
    <comment ref="AE63" authorId="100" shapeId="0" xr:uid="{7006A5D7-BEB5-469E-924A-07FB7DC6944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Invol com Carolina Minas</t>
      </text>
    </comment>
    <comment ref="AF63" authorId="101" shapeId="0" xr:uid="{B732E5C9-7AF2-4555-B70D-F8F273B6D34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Invol com Carolina Minas</t>
      </text>
    </comment>
    <comment ref="AG63" authorId="102" shapeId="0" xr:uid="{8478DECD-0869-4706-975B-16BB71EB006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Invol com Carolina Minas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tc={D484D867-4411-4ADF-96F9-27DADD59B8D3}</author>
    <author>tc={3AA6513F-88F2-436C-AC56-FCEE61145F9F}</author>
    <author>tc={EDB6FDA5-3352-4E58-99CA-4393BFC8EF0E}</author>
    <author>tc={407DE46E-9218-4AF2-B057-296D6EC67A19}</author>
    <author>tc={EF53416F-A8D6-4423-B61F-38343A2CEE84}</author>
    <author>tc={CCBD0241-0D8B-4134-B292-D90A7381E521}</author>
    <author>tc={27729B98-6852-47E0-BC6A-070539E92D79}</author>
    <author>tc={538FAD69-0D0C-4345-B127-4B034CB2AA28}</author>
    <author>tc={AA75CDC4-85DC-42A8-BC72-401E1EA869AF}</author>
    <author>tc={322A7DF9-0854-4FCC-9AAB-8DA6B03D50EF}</author>
    <author>tc={0B8E3FC6-59DA-482B-8F18-ACCB5BF79739}</author>
    <author>tc={C4A1A0A5-FB15-4B70-AF7F-B7ECF518CE3C}</author>
    <author>tc={CA344E81-EC87-4469-972C-08E8B1052CAF}</author>
    <author>tc={C1FECCB5-AE05-48A3-9230-42B50C6FE9DE}</author>
    <author>tc={E0F495AA-EEBF-4956-AFD3-5E6AFBD6E7DC}</author>
    <author>tc={37DEFA06-939A-4D54-947B-B36823C8550E}</author>
    <author>tc={3EE1A6C7-A72A-4DE1-95EF-773BD59EA411}</author>
    <author>tc={D20088DD-D380-4F63-8199-4D33F0285013}</author>
    <author>tc={6F0B081E-76E7-48C9-B014-95D80280FEB1}</author>
    <author>tc={6E17B8AB-4939-42B5-B2EC-A2521A1EB0B6}</author>
    <author>tc={88629B35-BEEC-402C-8075-CEA0FAE83089}</author>
    <author>tc={5D85CDD2-AA7E-4C0E-837E-74A9033472B4}</author>
    <author>tc={54DF84AD-8272-449B-BFF3-A3127B713EA5}</author>
    <author>tc={6389CDDE-2696-481B-B4BA-3E3FF7E0DFA5}</author>
    <author>tc={A0CB0BCA-0E4B-4C64-851F-CA2546C04AC7}</author>
  </authors>
  <commentList>
    <comment ref="AE7" authorId="0" shapeId="0" xr:uid="{D484D867-4411-4ADF-96F9-27DADD59B8D3}">
      <text>
        <t>[Threaded comment]
Your version of Excel allows you to read this threaded comment; however, any edits to it will get removed if the file is opened in a newer version of Excel. Learn more: https://go.microsoft.com/fwlink/?linkid=870924
Comment:
    Folga de compensação relativa a dia 06NOV25</t>
      </text>
    </comment>
    <comment ref="R12" authorId="1" shapeId="0" xr:uid="{3AA6513F-88F2-436C-AC56-FCEE61145F9F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aprovada</t>
      </text>
    </comment>
    <comment ref="C17" authorId="2" shapeId="0" xr:uid="{EDB6FDA5-3352-4E58-99CA-4393BFC8EF0E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D17" authorId="3" shapeId="0" xr:uid="{407DE46E-9218-4AF2-B057-296D6EC6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SM+Inad</t>
      </text>
    </comment>
    <comment ref="D35" authorId="4" shapeId="0" xr:uid="{EF53416F-A8D6-4423-B61F-38343A2CEE8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Pedido de troca direta com o IVO</t>
      </text>
    </comment>
    <comment ref="I35" authorId="5" shapeId="0" xr:uid="{CCBD0241-0D8B-4134-B292-D90A7381E5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de novembrp - troca direta com o IVO</t>
      </text>
    </comment>
    <comment ref="D36" authorId="6" shapeId="0" xr:uid="{27729B98-6852-47E0-BC6A-070539E92D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troca direta com a Ines Coelho
</t>
      </text>
    </comment>
    <comment ref="E36" authorId="7" shapeId="0" xr:uid="{538FAD69-0D0C-4345-B127-4B034CB2AA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K39" authorId="8" shapeId="0" xr:uid="{AA75CDC4-85DC-42A8-BC72-401E1EA869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
</t>
      </text>
    </comment>
    <comment ref="Y47" authorId="9" shapeId="0" xr:uid="{322A7DF9-0854-4FCC-9AAB-8DA6B03D50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Z47" authorId="10" shapeId="0" xr:uid="{0B8E3FC6-59DA-482B-8F18-ACCB5BF797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AA47" authorId="11" shapeId="0" xr:uid="{C4A1A0A5-FB15-4B70-AF7F-B7ECF518CE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AB47" authorId="12" shapeId="0" xr:uid="{CA344E81-EC87-4469-972C-08E8B1052C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Q48" authorId="13" shapeId="0" xr:uid="{C1FECCB5-AE05-48A3-9230-42B50C6FE9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R48" authorId="14" shapeId="0" xr:uid="{E0F495AA-EEBF-4956-AFD3-5E6AFBD6E7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S48" authorId="15" shapeId="0" xr:uid="{37DEFA06-939A-4D54-947B-B36823C855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T48" authorId="16" shapeId="0" xr:uid="{3EE1A6C7-A72A-4DE1-95EF-773BD59EA4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W48" authorId="17" shapeId="0" xr:uid="{D20088DD-D380-4F63-8199-4D33F0285013}">
      <text>
        <t>[Threaded comment]
Your version of Excel allows you to read this threaded comment; however, any edits to it will get removed if the file is opened in a newer version of Excel. Learn more: https://go.microsoft.com/fwlink/?linkid=870924
Comment:
    @BEST, MARCOS  LHX</t>
      </text>
    </comment>
    <comment ref="AF50" authorId="18" shapeId="0" xr:uid="{6F0B081E-76E7-48C9-B014-95D80280FE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por dia 26 nov/ ficam 2 em P22 @BEST, MARCOS </t>
      </text>
    </comment>
    <comment ref="E51" authorId="19" shapeId="0" xr:uid="{6E17B8AB-4939-42B5-B2EC-A2521A1EB0B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Invol  On-the-Job com Carolina Minas</t>
      </text>
    </comment>
    <comment ref="F51" authorId="20" shapeId="0" xr:uid="{88629B35-BEEC-402C-8075-CEA0FAE8308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Formaçao Invol  On-the-Job com Carolina Minas</t>
      </text>
    </comment>
    <comment ref="AC51" authorId="21" shapeId="0" xr:uid="{5D85CDD2-AA7E-4C0E-837E-74A9033472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AD51" authorId="22" shapeId="0" xr:uid="{54DF84AD-8272-449B-BFF3-A3127B713E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AE51" authorId="23" shapeId="0" xr:uid="{6389CDDE-2696-481B-B4BA-3E3FF7E0DF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AF51" authorId="24" shapeId="0" xr:uid="{A0CB0BCA-0E4B-4C64-851F-CA2546C04A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tc={9BD2BE12-DA15-49A7-9D1C-FA68A671179C}</author>
    <author>tc={3F1D247C-B1F5-4617-8C3A-341DC3C800AD}</author>
    <author>tc={2BA7766E-0651-4A68-9C80-82ECE785D67F}</author>
    <author>tc={10BCD7B7-1DCC-4523-8C22-4F02100C5068}</author>
    <author>tc={D0B2E27B-27C5-45CB-9A28-73C149E8EE6A}</author>
    <author>tc={AED78E4D-49E9-4C74-9B5E-47D6B5A3B723}</author>
    <author>tc={65CA77B5-CFA1-4136-A687-DBE66619B27E}</author>
    <author>tc={347304BC-384E-4CB9-9E13-D7B7FC311B94}</author>
    <author>tc={FEE1F5C3-CF24-4D69-9DE9-E19BE03B0B93}</author>
    <author>tc={407948A9-F6DD-4D01-964E-128D52870283}</author>
    <author>tc={EE74E2D0-0F2A-40CF-B052-48C41A4AFF91}</author>
    <author>tc={CFE31DF3-0AD5-4AC1-AA28-C03151CAA750}</author>
    <author>tc={58A4180C-AF9B-4C71-AACE-A3FC89A3CDCB}</author>
    <author>tc={236B63C3-1A8F-40CB-A43B-0442F42AE98C}</author>
    <author>tc={F045800B-E8A9-41F0-8B13-D960073BC694}</author>
    <author>tc={478EA0BF-F2B4-441C-92CD-C786478FF0F3}</author>
    <author>tc={6DA17C2B-2858-43C7-9726-8F98E19D3478}</author>
    <author>tc={7B7717D0-469C-415C-AE6C-B2D8002981D4}</author>
    <author>tc={917CB9BE-C454-434A-8A1B-140A58E62A16}</author>
    <author>tc={A267FCDD-C048-40A6-BAF1-46B9B5FDC3AB}</author>
    <author>tc={CAEF1A31-4004-4D9E-8400-389DCF73DC0E}</author>
    <author>tc={9BEF0858-A69C-4B63-9F64-DBC21BEBE3AF}</author>
    <author>tc={CB31EED9-3AD3-4BF2-BDAB-BF50ED557994}</author>
    <author>tc={DEE0790E-6BFD-4B85-8ABF-D38EE09CE373}</author>
    <author>tc={6428AD49-23FD-479E-AB70-426E8D3B5025}</author>
    <author>tc={1D99811B-9B3D-4853-8552-02FA820AAA61}</author>
  </authors>
  <commentList>
    <comment ref="AB7" authorId="0" shapeId="0" xr:uid="{9BD2BE12-DA15-49A7-9D1C-FA68A671179C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CP auth</t>
      </text>
    </comment>
    <comment ref="AC7" authorId="1" shapeId="0" xr:uid="{3F1D247C-B1F5-4617-8C3A-341DC3C800AD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CP auth</t>
      </text>
    </comment>
    <comment ref="AD7" authorId="2" shapeId="0" xr:uid="{2BA7766E-0651-4A68-9C80-82ECE785D67F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CP auth</t>
      </text>
    </comment>
    <comment ref="AE7" authorId="3" shapeId="0" xr:uid="{10BCD7B7-1DCC-4523-8C22-4F02100C5068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CP auth</t>
      </text>
    </comment>
    <comment ref="AE10" authorId="4" shapeId="0" xr:uid="{D0B2E27B-27C5-45CB-9A28-73C149E8EE6A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Intermedio ok</t>
      </text>
    </comment>
    <comment ref="AH10" authorId="5" shapeId="0" xr:uid="{AED78E4D-49E9-4C74-9B5E-47D6B5A3B723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Intermedio ok</t>
      </text>
    </comment>
    <comment ref="V25" authorId="6" shapeId="0" xr:uid="{65CA77B5-CFA1-4136-A687-DBE66619B2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@BEST, MARCOS </t>
      </text>
    </comment>
    <comment ref="Y45" authorId="7" shapeId="0" xr:uid="{347304BC-384E-4CB9-9E13-D7B7FC311B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lhx @BEST, MARCOS </t>
      </text>
    </comment>
    <comment ref="Z45" authorId="8" shapeId="0" xr:uid="{FEE1F5C3-CF24-4D69-9DE9-E19BE03B0B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lhx @BEST, MARCOS </t>
      </text>
    </comment>
    <comment ref="AA45" authorId="9" shapeId="0" xr:uid="{407948A9-F6DD-4D01-964E-128D528702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lhx @BEST, MARCOS </t>
      </text>
    </comment>
    <comment ref="J46" authorId="10" shapeId="0" xr:uid="{EE74E2D0-0F2A-40CF-B052-48C41A4AFF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Pedido de troca com o Dulani @BEST, MARCOS </t>
      </text>
    </comment>
    <comment ref="AH47" authorId="11" shapeId="0" xr:uid="{CFE31DF3-0AD5-4AC1-AA28-C03151CAA750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Q48" authorId="12" shapeId="0" xr:uid="{58A4180C-AF9B-4C71-AACE-A3FC89A3CD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lhx das 13h as 14h @BEST, MARCOS </t>
      </text>
    </comment>
    <comment ref="Q50" authorId="13" shapeId="0" xr:uid="{236B63C3-1A8F-40CB-A43B-0442F42AE9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lhx @BEST, MARCOS </t>
      </text>
    </comment>
    <comment ref="AC50" authorId="14" shapeId="0" xr:uid="{F045800B-E8A9-41F0-8B13-D960073BC694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AD50" authorId="15" shapeId="0" xr:uid="{478EA0BF-F2B4-441C-92CD-C786478FF0F3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I51" authorId="16" shapeId="0" xr:uid="{6DA17C2B-2858-43C7-9726-8F98E19D3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J51" authorId="17" shapeId="0" xr:uid="{7B7717D0-469C-415C-AE6C-B2D8002981D4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Turno LHX</t>
      </text>
    </comment>
    <comment ref="K51" authorId="18" shapeId="0" xr:uid="{917CB9BE-C454-434A-8A1B-140A58E62A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CATERING @BEST, MARCOS </t>
      </text>
    </comment>
    <comment ref="Y51" authorId="19" shapeId="0" xr:uid="{A267FCDD-C048-40A6-BAF1-46B9B5FDC3AB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Z51" authorId="20" shapeId="0" xr:uid="{CAEF1A31-4004-4D9E-8400-389DCF73DC0E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AA51" authorId="21" shapeId="0" xr:uid="{9BEF0858-A69C-4B63-9F64-DBC21BEBE3AF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AB51" authorId="22" shapeId="0" xr:uid="{CB31EED9-3AD3-4BF2-BDAB-BF50ED557994}">
      <text>
        <t>[Threaded comment]
Your version of Excel allows you to read this threaded comment; however, any edits to it will get removed if the file is opened in a newer version of Excel. Learn more: https://go.microsoft.com/fwlink/?linkid=870924
Comment:
    LHX</t>
      </text>
    </comment>
    <comment ref="AE51" authorId="23" shapeId="0" xr:uid="{DEE0790E-6BFD-4B85-8ABF-D38EE09CE373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Turno LHX</t>
      </text>
    </comment>
    <comment ref="AF51" authorId="24" shapeId="0" xr:uid="{6428AD49-23FD-479E-AB70-426E8D3B5025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Turno LHX</t>
      </text>
    </comment>
    <comment ref="AG51" authorId="25" shapeId="0" xr:uid="{1D99811B-9B3D-4853-8552-02FA820AAA61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Turno LHX</t>
      </text>
    </comment>
  </commentList>
</comments>
</file>

<file path=xl/sharedStrings.xml><?xml version="1.0" encoding="utf-8"?>
<sst xmlns="http://schemas.openxmlformats.org/spreadsheetml/2006/main" count="18110" uniqueCount="208">
  <si>
    <t> </t>
  </si>
  <si>
    <t>LGSP - Lufthansa Ground Services Portugal              NIF : 509 842 593          Atividade: CAE 52230.R3           Sede e local de trabalho: Avenida da Boavista ED.Burgo, 1837 sala 13.1          Horario de Funcionamento: 24/7          IRT: Não Aplicável</t>
  </si>
  <si>
    <t>Hubs Services</t>
  </si>
  <si>
    <t>Janeiro</t>
  </si>
  <si>
    <t>Ferias 2024</t>
  </si>
  <si>
    <t>Ferias 2025</t>
  </si>
  <si>
    <t>Qua</t>
  </si>
  <si>
    <t>Qui</t>
  </si>
  <si>
    <t>Sex</t>
  </si>
  <si>
    <t>Sab</t>
  </si>
  <si>
    <t>Dom</t>
  </si>
  <si>
    <t>Seg</t>
  </si>
  <si>
    <t>Ter</t>
  </si>
  <si>
    <t>Used</t>
  </si>
  <si>
    <t>LEFT</t>
  </si>
  <si>
    <t>NOME</t>
  </si>
  <si>
    <t>NOME GENESYS</t>
  </si>
  <si>
    <t>Diana Reisinho</t>
  </si>
  <si>
    <t>REISINHO, DIANA</t>
  </si>
  <si>
    <t>K</t>
  </si>
  <si>
    <t>Catarina Ferreira</t>
  </si>
  <si>
    <t>FERREIRA, CATARINA</t>
  </si>
  <si>
    <t>P06</t>
  </si>
  <si>
    <t>F</t>
  </si>
  <si>
    <t>P14</t>
  </si>
  <si>
    <t>TR-P08</t>
  </si>
  <si>
    <t>João Santos Silva</t>
  </si>
  <si>
    <t>SANTOS SILVA, JOAO</t>
  </si>
  <si>
    <t>Ana Magalhães</t>
  </si>
  <si>
    <t>MAGALHAES, ANA CATARINA</t>
  </si>
  <si>
    <t>H</t>
  </si>
  <si>
    <t>UA</t>
  </si>
  <si>
    <t>Jorge Gonçalves</t>
  </si>
  <si>
    <t>GONCALVES, JORGE</t>
  </si>
  <si>
    <t>U</t>
  </si>
  <si>
    <t>Catarina Pereira</t>
  </si>
  <si>
    <t>PEREIRA, CATARINA</t>
  </si>
  <si>
    <t>Sara Medeiros</t>
  </si>
  <si>
    <t>MEDEIROS, SARA</t>
  </si>
  <si>
    <t>S3</t>
  </si>
  <si>
    <t>TR-P08/</t>
  </si>
  <si>
    <t>TR-P07</t>
  </si>
  <si>
    <t>P09</t>
  </si>
  <si>
    <t>Catia Martins</t>
  </si>
  <si>
    <t>MARTINS, CATIA</t>
  </si>
  <si>
    <t>INAD HUBs RST</t>
  </si>
  <si>
    <t>Cristiana Ferreira</t>
  </si>
  <si>
    <t>FERREIRA, CRISTIANA MARGARIDA</t>
  </si>
  <si>
    <t>P09/</t>
  </si>
  <si>
    <t>K1</t>
  </si>
  <si>
    <t>H06</t>
  </si>
  <si>
    <t>Tiago Abreu</t>
  </si>
  <si>
    <t>ABREU, TIAGO</t>
  </si>
  <si>
    <t>B</t>
  </si>
  <si>
    <t>Maria Burca</t>
  </si>
  <si>
    <t>BURCA, MARIA</t>
  </si>
  <si>
    <t>Catarina Mendes</t>
  </si>
  <si>
    <t>MENDES, CATARINA</t>
  </si>
  <si>
    <t>P10M</t>
  </si>
  <si>
    <t>TR-P10/</t>
  </si>
  <si>
    <t>RST Team</t>
  </si>
  <si>
    <t>Diana Salome Sousa</t>
  </si>
  <si>
    <t>SOUSA, DIANA SALOME</t>
  </si>
  <si>
    <t>P22</t>
  </si>
  <si>
    <t>Ricardo Medeiros</t>
  </si>
  <si>
    <t>MEDEIROS, RICARDO</t>
  </si>
  <si>
    <t>Ricardo Bessa</t>
  </si>
  <si>
    <t>BESSA, RICARDO</t>
  </si>
  <si>
    <t>FINJ</t>
  </si>
  <si>
    <t>Samuel Neves</t>
  </si>
  <si>
    <t>NEVES, SAMUEL</t>
  </si>
  <si>
    <t>Carlos Carvalhais</t>
  </si>
  <si>
    <t>CARVALHAIS, CARLOS</t>
  </si>
  <si>
    <t>Alefe Sobral</t>
  </si>
  <si>
    <t>SOBRAL, ALEFE</t>
  </si>
  <si>
    <t>Jose Alves</t>
  </si>
  <si>
    <t>ALVES, JOSE</t>
  </si>
  <si>
    <t>Ines Pilre</t>
  </si>
  <si>
    <t>PILRE, INES</t>
  </si>
  <si>
    <t>Bruna Lima</t>
  </si>
  <si>
    <t>LIMA, BRUNA</t>
  </si>
  <si>
    <t>Gonçalo Pereira</t>
  </si>
  <si>
    <t>PEREIRA, GONCALO</t>
  </si>
  <si>
    <t>P13</t>
  </si>
  <si>
    <t>E</t>
  </si>
  <si>
    <t>Joana Pinheiro</t>
  </si>
  <si>
    <t>PINHEIRO, JOANA</t>
  </si>
  <si>
    <t>Inês Coelho</t>
  </si>
  <si>
    <t>COELHO, INES</t>
  </si>
  <si>
    <t>NO</t>
  </si>
  <si>
    <t>Ivo Latourrette</t>
  </si>
  <si>
    <t>LATOURRETTE, IVO</t>
  </si>
  <si>
    <t>Aline Carneiro</t>
  </si>
  <si>
    <t>CARNEIRO, ALINE</t>
  </si>
  <si>
    <t>Catia Neves</t>
  </si>
  <si>
    <t>NEVES, CATIA</t>
  </si>
  <si>
    <t>CM1</t>
  </si>
  <si>
    <t>Hubs Services Team</t>
  </si>
  <si>
    <t>Carla Ferreira</t>
  </si>
  <si>
    <t>FERREIRA, CARLA</t>
  </si>
  <si>
    <t>P07</t>
  </si>
  <si>
    <t>Jorge Costa</t>
  </si>
  <si>
    <t>COSTA, JORGE</t>
  </si>
  <si>
    <t>P05</t>
  </si>
  <si>
    <t>Ruben Pinheiro</t>
  </si>
  <si>
    <t>PINHEIRO, RUBEN</t>
  </si>
  <si>
    <t>Bruna Queiroz</t>
  </si>
  <si>
    <t>QUEIROZ, BRUNA</t>
  </si>
  <si>
    <t>APT</t>
  </si>
  <si>
    <t>Ana Ferreira</t>
  </si>
  <si>
    <t>FERREIRA, ANA SOFIA</t>
  </si>
  <si>
    <t>Barbara Pereira</t>
  </si>
  <si>
    <t>PEREIRA, BARBARA</t>
  </si>
  <si>
    <t>Jessica Martins</t>
  </si>
  <si>
    <t>MARTINS, JESSICA</t>
  </si>
  <si>
    <t>Tiago Mendes</t>
  </si>
  <si>
    <t>MENDES, TIAGO ANDRE</t>
  </si>
  <si>
    <t>Raquel Oliveira</t>
  </si>
  <si>
    <t>OLIVEIRA, RAQUEL ALEXANDRA</t>
  </si>
  <si>
    <t>Jose Borges</t>
  </si>
  <si>
    <t>BORGES, JOSE</t>
  </si>
  <si>
    <t>Jessica Santos</t>
  </si>
  <si>
    <t>SANTOS, JESSICA</t>
  </si>
  <si>
    <t>Rafael Medina</t>
  </si>
  <si>
    <t>MEDINA, RAFAEL</t>
  </si>
  <si>
    <t>H05</t>
  </si>
  <si>
    <t>LHX &amp; Catering</t>
  </si>
  <si>
    <t>Ana Telma Carvalho</t>
  </si>
  <si>
    <t>CARVALHO, ANA</t>
  </si>
  <si>
    <t>Catia Craveiro</t>
  </si>
  <si>
    <t>CRAVEIRO, CATIA</t>
  </si>
  <si>
    <t>Maria Vitoria Almeida</t>
  </si>
  <si>
    <t>ALMEIDA, MARIA VITORIA</t>
  </si>
  <si>
    <t>Nicole Souza</t>
  </si>
  <si>
    <t>SOUZA, NICOLE</t>
  </si>
  <si>
    <t>H04/</t>
  </si>
  <si>
    <t>P12/</t>
  </si>
  <si>
    <t>Larissa Murray</t>
  </si>
  <si>
    <t>MURRAY, LARISSA</t>
  </si>
  <si>
    <t>P04/</t>
  </si>
  <si>
    <t>Josue Fula</t>
  </si>
  <si>
    <t>FULA, JOSUE</t>
  </si>
  <si>
    <t>P04/ H04/</t>
  </si>
  <si>
    <t>Fevereiro</t>
  </si>
  <si>
    <t>P08</t>
  </si>
  <si>
    <t>CN8</t>
  </si>
  <si>
    <t>P11</t>
  </si>
  <si>
    <t>P10</t>
  </si>
  <si>
    <t>B*</t>
  </si>
  <si>
    <t>H08</t>
  </si>
  <si>
    <t>P12</t>
  </si>
  <si>
    <t>Dulani Monteiro</t>
  </si>
  <si>
    <t>MONTEIRO, DULANI</t>
  </si>
  <si>
    <t>Março</t>
  </si>
  <si>
    <t>Cgsupport</t>
  </si>
  <si>
    <t>Marcos Costa</t>
  </si>
  <si>
    <t>COSTA, MARCOS FELIPE</t>
  </si>
  <si>
    <t>Tassiana Bastos</t>
  </si>
  <si>
    <t>BASTOS, TASSIANA</t>
  </si>
  <si>
    <t>Tatiana Monteiro</t>
  </si>
  <si>
    <t>MONTEIRO, TATIANA</t>
  </si>
  <si>
    <t>Raquel Teixeira</t>
  </si>
  <si>
    <t>TEIXEIRA, RAQUEL</t>
  </si>
  <si>
    <t>Filipa Moreira</t>
  </si>
  <si>
    <t>MOREIRA, FILIPA</t>
  </si>
  <si>
    <t>P08/</t>
  </si>
  <si>
    <t>Barbara Martins</t>
  </si>
  <si>
    <t>MARTINS, BARBARA</t>
  </si>
  <si>
    <t xml:space="preserve"> K</t>
  </si>
  <si>
    <t>P</t>
  </si>
  <si>
    <t>FJ</t>
  </si>
  <si>
    <t>H13</t>
  </si>
  <si>
    <t>Abril</t>
  </si>
  <si>
    <t xml:space="preserve"> PIYC</t>
  </si>
  <si>
    <t>HE</t>
  </si>
  <si>
    <t>S1</t>
  </si>
  <si>
    <t>P08/M</t>
  </si>
  <si>
    <t>P10/</t>
  </si>
  <si>
    <t>H14</t>
  </si>
  <si>
    <t>Maio</t>
  </si>
  <si>
    <t>P03/</t>
  </si>
  <si>
    <t>P07/</t>
  </si>
  <si>
    <t>TR P11</t>
  </si>
  <si>
    <t>P09M</t>
  </si>
  <si>
    <t>TR P08</t>
  </si>
  <si>
    <t>Junho</t>
  </si>
  <si>
    <t>K6</t>
  </si>
  <si>
    <t>Rui Roza</t>
  </si>
  <si>
    <t>ROZA, RUI</t>
  </si>
  <si>
    <t xml:space="preserve"> P13</t>
  </si>
  <si>
    <t>Julho</t>
  </si>
  <si>
    <t>M</t>
  </si>
  <si>
    <t>Mauro Silva</t>
  </si>
  <si>
    <t>SILVA, MAURO</t>
  </si>
  <si>
    <t>V</t>
  </si>
  <si>
    <t>Agosto</t>
  </si>
  <si>
    <t>INAD HUBs/ DEPOS / Cgsupport / RST</t>
  </si>
  <si>
    <t>Travel Care</t>
  </si>
  <si>
    <t>HUB Services Team</t>
  </si>
  <si>
    <t>Setembro</t>
  </si>
  <si>
    <t>D</t>
  </si>
  <si>
    <t>Rafael Silva</t>
  </si>
  <si>
    <t>SILVA, RAFAEL</t>
  </si>
  <si>
    <t>Outubro</t>
  </si>
  <si>
    <t>Novembro</t>
  </si>
  <si>
    <t>Provisorio</t>
  </si>
  <si>
    <t>Dezembro</t>
  </si>
  <si>
    <t>1.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</si>
</sst>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>
    <font>
      <sz val="11"/>
      <color theme="1"/>
      <name val="Aptos Narrow"/>
      <family val="2"/>
      <scheme val="minor"/>
    </font>
    <font>
      <b/>
      <sz val="18"/>
      <color rgb="FFFFFFFF"/>
      <name val="Lufthansa Light"/>
    </font>
    <font>
      <sz val="14"/>
      <color rgb="FF000000"/>
      <name val="Lufthansa Office Text"/>
      <family val="2"/>
    </font>
    <font>
      <sz val="11"/>
      <color rgb="FF000000"/>
      <name val="Calibri"/>
      <family val="2"/>
    </font>
    <font>
      <sz val="13"/>
      <color rgb="FFFFFFFF"/>
      <name val="Lufthansa Office Text"/>
      <family val="2"/>
    </font>
    <font>
      <sz val="13"/>
      <color rgb="FF000000"/>
      <name val="Lufthansa Office Text"/>
      <family val="2"/>
    </font>
    <font>
      <sz val="13"/>
      <color rgb="FF9C6500"/>
      <name val="Lufthansa Office Text"/>
      <family val="2"/>
    </font>
    <font>
      <sz val="13"/>
      <color rgb="FF203764"/>
      <name val="Lufthansa Text Light"/>
      <family val="2"/>
    </font>
    <font>
      <sz val="13"/>
      <color rgb="FF203764"/>
      <name val="Lufthansa Office Text"/>
      <family val="2"/>
    </font>
    <font>
      <sz val="13"/>
      <color rgb="FF684D00"/>
      <name val="Lufthansa Office Text"/>
      <family val="2"/>
    </font>
    <font>
      <b/>
      <sz val="15"/>
      <color rgb="FF000000"/>
      <name val="Lufthansa Office Text"/>
      <family val="2"/>
    </font>
    <font>
      <sz val="15"/>
      <name val="Lufthansa Office Text"/>
      <family val="2"/>
    </font>
    <font>
      <b/>
      <sz val="15"/>
      <name val="Lufthansa Office Text"/>
      <family val="2"/>
    </font>
    <font>
      <b/>
      <sz val="22"/>
      <color theme="1"/>
      <name val="Lufthansa Office Text"/>
      <family val="2"/>
    </font>
    <font>
      <sz val="12"/>
      <name val="Lufthansa Light"/>
      <family val="2"/>
    </font>
    <font>
      <b/>
      <sz val="12"/>
      <color rgb="FFFFFFFF"/>
      <name val="Lufthansa Light"/>
      <family val="2"/>
    </font>
    <font>
      <sz val="11"/>
      <name val="Lufthansa Light"/>
      <family val="2"/>
    </font>
    <font>
      <sz val="12"/>
      <color theme="1"/>
      <name val="Lufthansa Office Text"/>
      <family val="2"/>
    </font>
    <font>
      <sz val="12"/>
      <name val="Lufthansa Office Text"/>
      <family val="2"/>
    </font>
    <font>
      <sz val="12"/>
      <color rgb="FF000000"/>
      <name val="Lufthansa Office Text"/>
      <family val="2"/>
    </font>
    <font>
      <b/>
      <sz val="13"/>
      <name val="Lufthansa Office Text"/>
      <family val="2"/>
    </font>
    <font>
      <b/>
      <sz val="13"/>
      <color theme="0"/>
      <name val="Lufthansa Office Text"/>
      <family val="2"/>
    </font>
    <font>
      <b/>
      <sz val="12"/>
      <color rgb="FFC00000"/>
      <name val="Lufthansa Office Text"/>
      <family val="2"/>
    </font>
    <font>
      <b/>
      <sz val="12"/>
      <color rgb="FF70AD47"/>
      <name val="Lufthansa Office Text"/>
      <family val="2"/>
    </font>
    <font>
      <b/>
      <sz val="13"/>
      <color rgb="FF000000"/>
      <name val="Lufthansa Office Text"/>
      <family val="2"/>
    </font>
    <font>
      <b/>
      <sz val="12"/>
      <name val="Lufthansa Office Text"/>
      <family val="2"/>
    </font>
    <font>
      <sz val="12"/>
      <color rgb="FF203764"/>
      <name val="Lufthansa Office Text"/>
      <family val="2"/>
    </font>
    <font>
      <sz val="12"/>
      <color rgb="FF684D00"/>
      <name val="Lufthansa Office Text"/>
      <family val="2"/>
    </font>
    <font>
      <sz val="11"/>
      <color theme="1"/>
      <name val="Lufthansa Office Text"/>
      <family val="2"/>
    </font>
    <font>
      <b/>
      <sz val="12"/>
      <color theme="1"/>
      <name val="Lufthansa Office Text"/>
      <family val="2"/>
    </font>
    <font>
      <sz val="12"/>
      <color theme="1"/>
      <name val="Aptos Narrow"/>
      <family val="2"/>
      <scheme val="minor"/>
    </font>
    <font>
      <sz val="13"/>
      <name val="Lufthansa Office Text"/>
      <family val="2"/>
    </font>
    <font>
      <sz val="11.5"/>
      <color rgb="FF203764"/>
      <name val="Lufthansa Office Head"/>
      <family val="2"/>
    </font>
    <font>
      <sz val="11.5"/>
      <color rgb="FF000000"/>
      <name val="Lufthansa Office Text"/>
      <family val="2"/>
    </font>
    <font>
      <b/>
      <sz val="13"/>
      <color rgb="FFFF0000"/>
      <name val="Lufthansa Office Text"/>
      <family val="2"/>
    </font>
    <font>
      <sz val="13"/>
      <color rgb="FF002060"/>
      <name val="Lufthansa Office Text"/>
      <family val="2"/>
    </font>
    <font>
      <b/>
      <sz val="13"/>
      <color rgb="FFFFFFFF"/>
      <name val="Lufthansa Office Text"/>
      <family val="2"/>
    </font>
    <font>
      <b/>
      <i/>
      <sz val="13"/>
      <color rgb="FF9C6500"/>
      <name val="Lufthansa Office Text"/>
      <family val="2"/>
    </font>
    <font>
      <b/>
      <sz val="12"/>
      <color rgb="FF000000"/>
      <name val="Lufthansa Office Text"/>
      <family val="2"/>
    </font>
    <font>
      <sz val="8"/>
      <name val="Aptos Narrow"/>
      <family val="2"/>
      <scheme val="minor"/>
    </font>
    <font>
      <sz val="11.5"/>
      <color theme="8" tint="-0.249977111117893"/>
      <name val="Lufthansa Office Text"/>
      <family val="2"/>
    </font>
    <font>
      <sz val="13"/>
      <color rgb="FFFF0000"/>
      <name val="Lufthansa Office Text"/>
      <family val="2"/>
    </font>
    <font>
      <sz val="13"/>
      <color theme="1"/>
      <name val="Lufthansa Office Text"/>
      <family val="2"/>
    </font>
    <font>
      <sz val="11"/>
      <color rgb="FF000000"/>
      <name val="Aptos Narrow"/>
      <family val="2"/>
    </font>
    <font>
      <sz val="11.5"/>
      <color rgb="FF203764"/>
      <name val="Lufthansa Office Text"/>
      <family val="2"/>
    </font>
    <font>
      <b/>
      <sz val="14"/>
      <color rgb="FF000000"/>
      <name val="Lufthansa Office Text"/>
      <family val="2"/>
    </font>
    <font>
      <sz val="11"/>
      <color rgb="FF000000"/>
      <name val="Lufthansa Office Text"/>
      <family val="2"/>
    </font>
    <font>
      <b/>
      <sz val="11"/>
      <color rgb="FF000000"/>
      <name val="Lufthansa Office Text"/>
      <family val="2"/>
    </font>
    <font>
      <sz val="11"/>
      <name val="Lufthansa Office Text"/>
      <family val="2"/>
    </font>
    <font>
      <sz val="11"/>
      <color rgb="FF203764"/>
      <name val="Lufthansa Office Text"/>
      <family val="2"/>
    </font>
    <font>
      <b/>
      <sz val="11"/>
      <color theme="0"/>
      <name val="Lufthansa Office Text"/>
      <family val="2"/>
    </font>
    <font>
      <sz val="13"/>
      <color rgb="FF000000"/>
      <name val="Lufthansa Office Head"/>
      <family val="2"/>
    </font>
    <font>
      <sz val="12"/>
      <color rgb="FF000000"/>
      <name val="Aptos Narrow"/>
      <family val="2"/>
    </font>
    <font>
      <sz val="13"/>
      <color rgb="FF000000"/>
      <name val="Aptos Narrow"/>
      <family val="2"/>
    </font>
    <font>
      <sz val="13"/>
      <color rgb="FF000000"/>
      <name val="Calibri"/>
      <family val="2"/>
    </font>
    <font>
      <sz val="13"/>
      <color rgb="FF203764"/>
      <name val="Lufthansa Office Head"/>
      <family val="2"/>
    </font>
    <font>
      <sz val="13"/>
      <color theme="1"/>
      <name val="Aptos Narrow"/>
      <family val="2"/>
      <scheme val="minor"/>
    </font>
    <font>
      <b/>
      <sz val="13"/>
      <color theme="1"/>
      <name val="Lufthansa Office Text"/>
      <family val="2"/>
    </font>
    <font>
      <b/>
      <sz val="12"/>
      <color rgb="FF000000"/>
      <name val="Lufthansa Text Light"/>
      <family val="2"/>
    </font>
    <font>
      <sz val="12"/>
      <color rgb="FFFFFFFF"/>
      <name val="Lufthansa Office Text"/>
      <family val="2"/>
    </font>
    <font>
      <sz val="12"/>
      <color rgb="FF203764"/>
      <name val="Lufthansa Office Head"/>
      <family val="2"/>
    </font>
    <font>
      <sz val="12"/>
      <color rgb="FF000000"/>
      <name val="Lufthansa Office Head"/>
      <family val="2"/>
    </font>
    <font>
      <sz val="11.5"/>
      <color theme="0"/>
      <name val="Lufthansa Office Text"/>
      <family val="2"/>
    </font>
    <font>
      <sz val="13"/>
      <color rgb="FF000000"/>
      <name val="Aptos Narrow"/>
      <family val="2"/>
      <scheme val="minor"/>
    </font>
    <font>
      <b/>
      <sz val="13"/>
      <color rgb="FF000000"/>
      <name val="Lufthansa Office Head"/>
      <family val="2"/>
    </font>
    <font>
      <b/>
      <sz val="20"/>
      <color rgb="FFFFFFFF"/>
      <name val="Lufthansa Light"/>
    </font>
    <font>
      <b/>
      <sz val="10"/>
      <color rgb="FFFFFFFF"/>
      <name val="Lufthansa Light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rgb="FFFF0000"/>
      <name val="Lufthansa Light"/>
    </font>
    <font>
      <sz val="11"/>
      <color theme="7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sz val="13"/>
      <color rgb="FF000000"/>
      <name val="Lufthansa Office Text"/>
    </font>
    <font>
      <b/>
      <sz val="13"/>
      <name val="Lufthansa Office Text"/>
    </font>
    <font>
      <sz val="12"/>
      <color rgb="FF000000"/>
      <name val="Lufthansa Office Text"/>
    </font>
    <font>
      <b/>
      <sz val="13"/>
      <color rgb="FF000000"/>
      <name val="Lufthansa Office Text"/>
    </font>
    <font>
      <sz val="13"/>
      <color rgb="FF9C6500"/>
      <name val="Lufthansa Office Text"/>
    </font>
    <font>
      <b/>
      <sz val="13"/>
      <color rgb="FFFFFFFF"/>
      <name val="Lufthansa Office Text"/>
    </font>
  </fonts>
  <fills count="6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7EBCA"/>
        <bgColor rgb="FF000000"/>
      </patternFill>
    </fill>
    <fill>
      <patternFill patternType="solid">
        <fgColor rgb="FFFFEB97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CE9DC"/>
        <bgColor rgb="FF000000"/>
      </patternFill>
    </fill>
    <fill>
      <patternFill patternType="solid">
        <fgColor rgb="FF63F9C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63F9C7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66FFCC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D3BAF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196B24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9D46DB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E86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E1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82E2D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F7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EE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5" tint="0.39997558519241921"/>
        <bgColor indexed="64"/>
      </patternFill>
    </fill>
  </fills>
  <borders count="1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20">
    <xf numFmtId="0" fontId="0" fillId="0" borderId="0" xfId="0"/>
    <xf numFmtId="0" fontId="3" fillId="0" borderId="0" xfId="0" applyFont="1"/>
    <xf numFmtId="0" fontId="5" fillId="4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6" fillId="7" borderId="48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5" borderId="48" xfId="0" applyFont="1" applyFill="1" applyBorder="1" applyAlignment="1">
      <alignment horizontal="center" vertical="center"/>
    </xf>
    <xf numFmtId="0" fontId="6" fillId="7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48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20" fillId="18" borderId="48" xfId="0" applyFont="1" applyFill="1" applyBorder="1" applyAlignment="1">
      <alignment horizontal="center" vertical="center"/>
    </xf>
    <xf numFmtId="0" fontId="19" fillId="6" borderId="51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11" fillId="12" borderId="54" xfId="0" applyFont="1" applyFill="1" applyBorder="1" applyAlignment="1">
      <alignment horizontal="center"/>
    </xf>
    <xf numFmtId="0" fontId="11" fillId="12" borderId="53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0" xfId="0" applyFont="1"/>
    <xf numFmtId="0" fontId="17" fillId="0" borderId="50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0" xfId="0" applyFont="1"/>
    <xf numFmtId="0" fontId="29" fillId="0" borderId="20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13" borderId="16" xfId="0" applyFont="1" applyFill="1" applyBorder="1" applyAlignment="1">
      <alignment horizontal="center"/>
    </xf>
    <xf numFmtId="0" fontId="11" fillId="12" borderId="57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6" borderId="49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8" borderId="48" xfId="0" applyFont="1" applyFill="1" applyBorder="1" applyAlignment="1">
      <alignment horizontal="center" vertical="center"/>
    </xf>
    <xf numFmtId="0" fontId="8" fillId="8" borderId="49" xfId="0" applyFont="1" applyFill="1" applyBorder="1" applyAlignment="1">
      <alignment horizontal="center" vertical="center"/>
    </xf>
    <xf numFmtId="0" fontId="20" fillId="18" borderId="48" xfId="0" applyFont="1" applyFill="1" applyBorder="1" applyAlignment="1">
      <alignment horizontal="center"/>
    </xf>
    <xf numFmtId="0" fontId="11" fillId="12" borderId="43" xfId="0" applyFont="1" applyFill="1" applyBorder="1" applyAlignment="1">
      <alignment horizontal="center"/>
    </xf>
    <xf numFmtId="0" fontId="11" fillId="12" borderId="47" xfId="0" applyFont="1" applyFill="1" applyBorder="1" applyAlignment="1">
      <alignment horizontal="center"/>
    </xf>
    <xf numFmtId="0" fontId="11" fillId="12" borderId="61" xfId="0" applyFont="1" applyFill="1" applyBorder="1" applyAlignment="1">
      <alignment horizontal="center"/>
    </xf>
    <xf numFmtId="0" fontId="4" fillId="3" borderId="56" xfId="0" applyFont="1" applyFill="1" applyBorder="1" applyAlignment="1">
      <alignment horizontal="center" vertical="center"/>
    </xf>
    <xf numFmtId="0" fontId="24" fillId="19" borderId="48" xfId="0" applyFont="1" applyFill="1" applyBorder="1" applyAlignment="1">
      <alignment horizontal="center" vertical="center"/>
    </xf>
    <xf numFmtId="0" fontId="24" fillId="19" borderId="49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0" fontId="4" fillId="22" borderId="48" xfId="0" applyFont="1" applyFill="1" applyBorder="1" applyAlignment="1">
      <alignment horizontal="center" vertical="center"/>
    </xf>
    <xf numFmtId="0" fontId="4" fillId="22" borderId="49" xfId="0" applyFont="1" applyFill="1" applyBorder="1" applyAlignment="1">
      <alignment horizontal="center" vertical="center"/>
    </xf>
    <xf numFmtId="0" fontId="20" fillId="15" borderId="48" xfId="0" applyFont="1" applyFill="1" applyBorder="1" applyAlignment="1">
      <alignment horizontal="center" vertical="center"/>
    </xf>
    <xf numFmtId="0" fontId="19" fillId="6" borderId="48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31" fillId="26" borderId="49" xfId="0" applyFont="1" applyFill="1" applyBorder="1" applyAlignment="1">
      <alignment horizontal="center" vertical="center"/>
    </xf>
    <xf numFmtId="0" fontId="31" fillId="26" borderId="48" xfId="0" applyFont="1" applyFill="1" applyBorder="1" applyAlignment="1">
      <alignment horizontal="center" vertical="center"/>
    </xf>
    <xf numFmtId="0" fontId="19" fillId="6" borderId="34" xfId="0" applyFont="1" applyFill="1" applyBorder="1" applyAlignment="1">
      <alignment horizontal="center" vertical="center"/>
    </xf>
    <xf numFmtId="0" fontId="19" fillId="6" borderId="33" xfId="0" applyFont="1" applyFill="1" applyBorder="1" applyAlignment="1">
      <alignment horizontal="center" vertical="center"/>
    </xf>
    <xf numFmtId="0" fontId="19" fillId="6" borderId="35" xfId="0" applyFont="1" applyFill="1" applyBorder="1" applyAlignment="1">
      <alignment horizontal="center" vertical="center"/>
    </xf>
    <xf numFmtId="0" fontId="19" fillId="6" borderId="8" xfId="0" applyFont="1" applyFill="1" applyBorder="1" applyAlignment="1">
      <alignment horizontal="center" vertical="center"/>
    </xf>
    <xf numFmtId="0" fontId="19" fillId="6" borderId="49" xfId="0" applyFont="1" applyFill="1" applyBorder="1" applyAlignment="1">
      <alignment horizontal="center" vertical="center"/>
    </xf>
    <xf numFmtId="0" fontId="5" fillId="28" borderId="48" xfId="0" applyFont="1" applyFill="1" applyBorder="1" applyAlignment="1">
      <alignment horizontal="center" vertical="center"/>
    </xf>
    <xf numFmtId="0" fontId="29" fillId="0" borderId="65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17" fillId="0" borderId="25" xfId="0" applyFont="1" applyBorder="1"/>
    <xf numFmtId="0" fontId="5" fillId="5" borderId="72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31" fillId="15" borderId="48" xfId="0" applyFont="1" applyFill="1" applyBorder="1" applyAlignment="1">
      <alignment horizontal="center" vertical="center"/>
    </xf>
    <xf numFmtId="0" fontId="24" fillId="31" borderId="33" xfId="0" applyFont="1" applyFill="1" applyBorder="1" applyAlignment="1">
      <alignment horizontal="center" vertical="center"/>
    </xf>
    <xf numFmtId="0" fontId="24" fillId="32" borderId="49" xfId="0" applyFont="1" applyFill="1" applyBorder="1" applyAlignment="1">
      <alignment horizontal="center" vertical="center"/>
    </xf>
    <xf numFmtId="0" fontId="21" fillId="21" borderId="49" xfId="0" applyFont="1" applyFill="1" applyBorder="1" applyAlignment="1">
      <alignment horizontal="center" vertical="center"/>
    </xf>
    <xf numFmtId="0" fontId="24" fillId="19" borderId="72" xfId="0" applyFont="1" applyFill="1" applyBorder="1" applyAlignment="1">
      <alignment horizontal="center" vertical="center"/>
    </xf>
    <xf numFmtId="0" fontId="5" fillId="4" borderId="72" xfId="0" applyFont="1" applyFill="1" applyBorder="1" applyAlignment="1">
      <alignment horizontal="center" vertical="center"/>
    </xf>
    <xf numFmtId="0" fontId="5" fillId="6" borderId="72" xfId="0" applyFont="1" applyFill="1" applyBorder="1" applyAlignment="1">
      <alignment horizontal="center" vertical="center"/>
    </xf>
    <xf numFmtId="0" fontId="5" fillId="4" borderId="85" xfId="0" applyFont="1" applyFill="1" applyBorder="1" applyAlignment="1">
      <alignment horizontal="center" vertical="center"/>
    </xf>
    <xf numFmtId="0" fontId="5" fillId="4" borderId="82" xfId="0" applyFont="1" applyFill="1" applyBorder="1" applyAlignment="1">
      <alignment horizontal="center" vertical="center"/>
    </xf>
    <xf numFmtId="0" fontId="5" fillId="4" borderId="88" xfId="0" applyFont="1" applyFill="1" applyBorder="1" applyAlignment="1">
      <alignment horizontal="center" vertical="center"/>
    </xf>
    <xf numFmtId="0" fontId="5" fillId="6" borderId="88" xfId="0" applyFont="1" applyFill="1" applyBorder="1" applyAlignment="1">
      <alignment horizontal="center" vertical="center"/>
    </xf>
    <xf numFmtId="0" fontId="24" fillId="19" borderId="82" xfId="0" applyFont="1" applyFill="1" applyBorder="1" applyAlignment="1">
      <alignment horizontal="center" vertical="center"/>
    </xf>
    <xf numFmtId="0" fontId="0" fillId="34" borderId="0" xfId="0" applyFill="1"/>
    <xf numFmtId="0" fontId="0" fillId="35" borderId="0" xfId="0" applyFill="1"/>
    <xf numFmtId="0" fontId="20" fillId="19" borderId="33" xfId="0" applyFont="1" applyFill="1" applyBorder="1" applyAlignment="1">
      <alignment horizontal="center" vertical="center"/>
    </xf>
    <xf numFmtId="0" fontId="19" fillId="6" borderId="72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28" borderId="72" xfId="0" applyFont="1" applyFill="1" applyBorder="1" applyAlignment="1">
      <alignment horizontal="center" vertical="center"/>
    </xf>
    <xf numFmtId="0" fontId="5" fillId="4" borderId="84" xfId="0" applyFont="1" applyFill="1" applyBorder="1" applyAlignment="1">
      <alignment horizontal="center" vertical="center"/>
    </xf>
    <xf numFmtId="0" fontId="5" fillId="4" borderId="89" xfId="0" applyFont="1" applyFill="1" applyBorder="1" applyAlignment="1">
      <alignment horizontal="center" vertical="center"/>
    </xf>
    <xf numFmtId="0" fontId="20" fillId="15" borderId="33" xfId="0" applyFont="1" applyFill="1" applyBorder="1" applyAlignment="1">
      <alignment horizontal="center" vertical="center"/>
    </xf>
    <xf numFmtId="0" fontId="19" fillId="6" borderId="88" xfId="0" applyFont="1" applyFill="1" applyBorder="1" applyAlignment="1">
      <alignment horizontal="center" vertical="center"/>
    </xf>
    <xf numFmtId="0" fontId="24" fillId="32" borderId="48" xfId="0" applyFont="1" applyFill="1" applyBorder="1" applyAlignment="1">
      <alignment horizontal="center" vertical="center"/>
    </xf>
    <xf numFmtId="0" fontId="21" fillId="21" borderId="48" xfId="0" applyFont="1" applyFill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24" fillId="32" borderId="84" xfId="0" applyFont="1" applyFill="1" applyBorder="1" applyAlignment="1">
      <alignment horizontal="center" vertical="center"/>
    </xf>
    <xf numFmtId="0" fontId="4" fillId="32" borderId="48" xfId="0" applyFont="1" applyFill="1" applyBorder="1" applyAlignment="1">
      <alignment horizontal="center" vertical="center"/>
    </xf>
    <xf numFmtId="0" fontId="5" fillId="32" borderId="48" xfId="0" applyFont="1" applyFill="1" applyBorder="1" applyAlignment="1">
      <alignment horizontal="center" vertical="center"/>
    </xf>
    <xf numFmtId="0" fontId="8" fillId="32" borderId="48" xfId="0" applyFont="1" applyFill="1" applyBorder="1" applyAlignment="1">
      <alignment horizontal="center" vertical="center"/>
    </xf>
    <xf numFmtId="0" fontId="31" fillId="32" borderId="48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3" fillId="0" borderId="0" xfId="0" applyFont="1"/>
    <xf numFmtId="0" fontId="17" fillId="0" borderId="72" xfId="0" applyFont="1" applyBorder="1" applyAlignment="1">
      <alignment horizontal="center" vertical="center"/>
    </xf>
    <xf numFmtId="0" fontId="29" fillId="0" borderId="80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9" fillId="0" borderId="83" xfId="0" applyFont="1" applyBorder="1" applyAlignment="1">
      <alignment horizontal="center" vertical="center"/>
    </xf>
    <xf numFmtId="0" fontId="17" fillId="0" borderId="84" xfId="0" applyFont="1" applyBorder="1" applyAlignment="1">
      <alignment horizontal="center" vertical="center"/>
    </xf>
    <xf numFmtId="0" fontId="22" fillId="0" borderId="85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79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0" fontId="17" fillId="0" borderId="77" xfId="0" applyFont="1" applyBorder="1" applyAlignment="1">
      <alignment horizontal="center" vertical="center"/>
    </xf>
    <xf numFmtId="0" fontId="17" fillId="0" borderId="76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2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0" fontId="17" fillId="0" borderId="80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17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0" fontId="19" fillId="0" borderId="95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/>
    </xf>
    <xf numFmtId="0" fontId="5" fillId="4" borderId="103" xfId="0" applyFont="1" applyFill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37" fillId="7" borderId="48" xfId="0" applyFont="1" applyFill="1" applyBorder="1" applyAlignment="1">
      <alignment horizontal="center" vertical="center" wrapText="1"/>
    </xf>
    <xf numFmtId="0" fontId="24" fillId="23" borderId="48" xfId="0" applyFont="1" applyFill="1" applyBorder="1" applyAlignment="1">
      <alignment horizontal="center" vertical="center"/>
    </xf>
    <xf numFmtId="0" fontId="29" fillId="0" borderId="75" xfId="0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9" fillId="0" borderId="90" xfId="0" applyFont="1" applyBorder="1" applyAlignment="1">
      <alignment horizontal="center" vertical="center"/>
    </xf>
    <xf numFmtId="0" fontId="22" fillId="0" borderId="91" xfId="0" applyFont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6" fillId="7" borderId="72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31" fillId="26" borderId="72" xfId="0" applyFont="1" applyFill="1" applyBorder="1" applyAlignment="1">
      <alignment horizontal="center" vertical="center"/>
    </xf>
    <xf numFmtId="0" fontId="24" fillId="32" borderId="72" xfId="0" applyFont="1" applyFill="1" applyBorder="1" applyAlignment="1">
      <alignment horizontal="center" vertical="center"/>
    </xf>
    <xf numFmtId="0" fontId="24" fillId="32" borderId="82" xfId="0" applyFont="1" applyFill="1" applyBorder="1" applyAlignment="1">
      <alignment horizontal="center" vertical="center"/>
    </xf>
    <xf numFmtId="0" fontId="8" fillId="8" borderId="82" xfId="0" applyFont="1" applyFill="1" applyBorder="1" applyAlignment="1">
      <alignment horizontal="center" vertical="center"/>
    </xf>
    <xf numFmtId="0" fontId="31" fillId="23" borderId="48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1" fillId="9" borderId="53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5" fillId="4" borderId="35" xfId="0" applyFont="1" applyFill="1" applyBorder="1" applyAlignment="1">
      <alignment horizontal="center"/>
    </xf>
    <xf numFmtId="0" fontId="5" fillId="4" borderId="33" xfId="0" applyFont="1" applyFill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50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4" borderId="48" xfId="0" applyFont="1" applyFill="1" applyBorder="1" applyAlignment="1">
      <alignment horizontal="center"/>
    </xf>
    <xf numFmtId="0" fontId="19" fillId="6" borderId="48" xfId="0" applyFont="1" applyFill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4" borderId="49" xfId="0" applyFont="1" applyFill="1" applyBorder="1" applyAlignment="1">
      <alignment horizontal="center"/>
    </xf>
    <xf numFmtId="0" fontId="19" fillId="6" borderId="49" xfId="0" applyFont="1" applyFill="1" applyBorder="1" applyAlignment="1">
      <alignment horizontal="center"/>
    </xf>
    <xf numFmtId="0" fontId="19" fillId="6" borderId="33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46" fillId="0" borderId="0" xfId="0" applyFont="1"/>
    <xf numFmtId="0" fontId="17" fillId="0" borderId="73" xfId="0" applyFont="1" applyBorder="1" applyAlignment="1">
      <alignment horizontal="center"/>
    </xf>
    <xf numFmtId="0" fontId="19" fillId="0" borderId="0" xfId="0" applyFont="1"/>
    <xf numFmtId="0" fontId="17" fillId="0" borderId="74" xfId="0" applyFont="1" applyBorder="1" applyAlignment="1">
      <alignment horizontal="center"/>
    </xf>
    <xf numFmtId="0" fontId="17" fillId="0" borderId="72" xfId="0" applyFont="1" applyBorder="1" applyAlignment="1">
      <alignment horizontal="center"/>
    </xf>
    <xf numFmtId="0" fontId="17" fillId="0" borderId="82" xfId="0" applyFont="1" applyBorder="1" applyAlignment="1">
      <alignment horizontal="center"/>
    </xf>
    <xf numFmtId="0" fontId="44" fillId="0" borderId="0" xfId="0" applyFont="1"/>
    <xf numFmtId="0" fontId="17" fillId="0" borderId="84" xfId="0" applyFont="1" applyBorder="1" applyAlignment="1">
      <alignment horizontal="center"/>
    </xf>
    <xf numFmtId="0" fontId="17" fillId="0" borderId="85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17" fillId="0" borderId="80" xfId="0" applyFont="1" applyBorder="1" applyAlignment="1">
      <alignment horizontal="center"/>
    </xf>
    <xf numFmtId="0" fontId="17" fillId="0" borderId="81" xfId="0" applyFont="1" applyBorder="1" applyAlignment="1">
      <alignment horizontal="center"/>
    </xf>
    <xf numFmtId="0" fontId="17" fillId="0" borderId="83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8" fillId="8" borderId="49" xfId="0" applyFont="1" applyFill="1" applyBorder="1" applyAlignment="1">
      <alignment horizontal="center"/>
    </xf>
    <xf numFmtId="0" fontId="5" fillId="6" borderId="48" xfId="0" applyFont="1" applyFill="1" applyBorder="1" applyAlignment="1">
      <alignment horizontal="center"/>
    </xf>
    <xf numFmtId="0" fontId="5" fillId="6" borderId="49" xfId="0" applyFont="1" applyFill="1" applyBorder="1" applyAlignment="1">
      <alignment horizontal="center"/>
    </xf>
    <xf numFmtId="0" fontId="8" fillId="8" borderId="48" xfId="0" applyFont="1" applyFill="1" applyBorder="1" applyAlignment="1">
      <alignment horizontal="center"/>
    </xf>
    <xf numFmtId="0" fontId="24" fillId="19" borderId="48" xfId="0" applyFont="1" applyFill="1" applyBorder="1" applyAlignment="1">
      <alignment horizontal="center"/>
    </xf>
    <xf numFmtId="0" fontId="24" fillId="19" borderId="49" xfId="0" applyFont="1" applyFill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5" fillId="5" borderId="48" xfId="0" applyFont="1" applyFill="1" applyBorder="1" applyAlignment="1">
      <alignment horizontal="center"/>
    </xf>
    <xf numFmtId="0" fontId="31" fillId="26" borderId="49" xfId="0" applyFont="1" applyFill="1" applyBorder="1" applyAlignment="1">
      <alignment horizontal="center"/>
    </xf>
    <xf numFmtId="0" fontId="31" fillId="26" borderId="48" xfId="0" applyFont="1" applyFill="1" applyBorder="1" applyAlignment="1">
      <alignment horizontal="center"/>
    </xf>
    <xf numFmtId="0" fontId="5" fillId="5" borderId="49" xfId="0" applyFont="1" applyFill="1" applyBorder="1" applyAlignment="1">
      <alignment horizontal="center"/>
    </xf>
    <xf numFmtId="0" fontId="4" fillId="3" borderId="48" xfId="0" applyFont="1" applyFill="1" applyBorder="1" applyAlignment="1">
      <alignment horizontal="center"/>
    </xf>
    <xf numFmtId="0" fontId="4" fillId="3" borderId="49" xfId="0" applyFont="1" applyFill="1" applyBorder="1" applyAlignment="1">
      <alignment horizontal="center"/>
    </xf>
    <xf numFmtId="0" fontId="20" fillId="19" borderId="48" xfId="0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5" fillId="6" borderId="33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/>
    </xf>
    <xf numFmtId="0" fontId="19" fillId="0" borderId="35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6" fillId="7" borderId="48" xfId="0" applyFont="1" applyFill="1" applyBorder="1" applyAlignment="1">
      <alignment horizontal="center"/>
    </xf>
    <xf numFmtId="0" fontId="6" fillId="7" borderId="49" xfId="0" applyFont="1" applyFill="1" applyBorder="1" applyAlignment="1">
      <alignment horizontal="center"/>
    </xf>
    <xf numFmtId="0" fontId="4" fillId="22" borderId="48" xfId="0" applyFont="1" applyFill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0" fillId="0" borderId="22" xfId="0" applyBorder="1"/>
    <xf numFmtId="0" fontId="11" fillId="9" borderId="62" xfId="0" applyFont="1" applyFill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8" fillId="8" borderId="33" xfId="0" applyFont="1" applyFill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7" fillId="0" borderId="42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28" fillId="0" borderId="35" xfId="0" applyFont="1" applyBorder="1" applyAlignment="1">
      <alignment horizontal="center"/>
    </xf>
    <xf numFmtId="0" fontId="5" fillId="6" borderId="103" xfId="0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15" borderId="48" xfId="0" applyFont="1" applyFill="1" applyBorder="1" applyAlignment="1">
      <alignment horizontal="center"/>
    </xf>
    <xf numFmtId="0" fontId="5" fillId="4" borderId="59" xfId="0" applyFont="1" applyFill="1" applyBorder="1" applyAlignment="1">
      <alignment horizontal="center" vertical="center"/>
    </xf>
    <xf numFmtId="0" fontId="20" fillId="19" borderId="49" xfId="0" applyFont="1" applyFill="1" applyBorder="1" applyAlignment="1">
      <alignment horizontal="center"/>
    </xf>
    <xf numFmtId="0" fontId="19" fillId="6" borderId="84" xfId="0" applyFont="1" applyFill="1" applyBorder="1" applyAlignment="1">
      <alignment horizontal="center" vertical="center"/>
    </xf>
    <xf numFmtId="0" fontId="4" fillId="22" borderId="72" xfId="0" applyFont="1" applyFill="1" applyBorder="1" applyAlignment="1">
      <alignment horizontal="center" vertical="center"/>
    </xf>
    <xf numFmtId="0" fontId="6" fillId="7" borderId="58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19" fillId="6" borderId="60" xfId="0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4" fillId="19" borderId="103" xfId="0" applyFont="1" applyFill="1" applyBorder="1" applyAlignment="1">
      <alignment horizontal="center" vertical="center"/>
    </xf>
    <xf numFmtId="0" fontId="4" fillId="22" borderId="49" xfId="0" applyFont="1" applyFill="1" applyBorder="1" applyAlignment="1">
      <alignment horizontal="center"/>
    </xf>
    <xf numFmtId="0" fontId="24" fillId="19" borderId="35" xfId="0" applyFont="1" applyFill="1" applyBorder="1" applyAlignment="1">
      <alignment horizontal="center"/>
    </xf>
    <xf numFmtId="0" fontId="29" fillId="0" borderId="102" xfId="0" applyFont="1" applyBorder="1" applyAlignment="1">
      <alignment horizontal="center" vertical="center"/>
    </xf>
    <xf numFmtId="0" fontId="29" fillId="0" borderId="103" xfId="0" applyFont="1" applyBorder="1" applyAlignment="1">
      <alignment horizontal="center" vertical="center"/>
    </xf>
    <xf numFmtId="0" fontId="22" fillId="0" borderId="10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5" fillId="6" borderId="94" xfId="0" applyFont="1" applyFill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6" fillId="0" borderId="0" xfId="0" applyFont="1"/>
    <xf numFmtId="0" fontId="57" fillId="0" borderId="0" xfId="0" applyFont="1" applyAlignment="1">
      <alignment horizontal="center"/>
    </xf>
    <xf numFmtId="0" fontId="4" fillId="22" borderId="88" xfId="0" applyFont="1" applyFill="1" applyBorder="1" applyAlignment="1">
      <alignment horizontal="center" vertical="center"/>
    </xf>
    <xf numFmtId="0" fontId="24" fillId="19" borderId="33" xfId="0" applyFont="1" applyFill="1" applyBorder="1" applyAlignment="1">
      <alignment horizontal="center"/>
    </xf>
    <xf numFmtId="0" fontId="58" fillId="44" borderId="48" xfId="0" applyFont="1" applyFill="1" applyBorder="1" applyAlignment="1">
      <alignment horizontal="center"/>
    </xf>
    <xf numFmtId="0" fontId="24" fillId="32" borderId="48" xfId="0" applyFont="1" applyFill="1" applyBorder="1" applyAlignment="1">
      <alignment horizontal="center"/>
    </xf>
    <xf numFmtId="0" fontId="38" fillId="0" borderId="80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8" fillId="0" borderId="83" xfId="0" applyFont="1" applyBorder="1" applyAlignment="1">
      <alignment horizontal="center" vertical="center"/>
    </xf>
    <xf numFmtId="0" fontId="21" fillId="21" borderId="48" xfId="0" applyFont="1" applyFill="1" applyBorder="1" applyAlignment="1">
      <alignment horizontal="center"/>
    </xf>
    <xf numFmtId="0" fontId="24" fillId="32" borderId="49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6" fillId="28" borderId="48" xfId="0" applyFont="1" applyFill="1" applyBorder="1" applyAlignment="1">
      <alignment horizontal="center" vertical="center"/>
    </xf>
    <xf numFmtId="0" fontId="28" fillId="0" borderId="0" xfId="0" applyFont="1"/>
    <xf numFmtId="0" fontId="20" fillId="32" borderId="48" xfId="0" applyFont="1" applyFill="1" applyBorder="1" applyAlignment="1">
      <alignment horizontal="center"/>
    </xf>
    <xf numFmtId="0" fontId="4" fillId="22" borderId="33" xfId="0" applyFont="1" applyFill="1" applyBorder="1" applyAlignment="1">
      <alignment horizontal="center"/>
    </xf>
    <xf numFmtId="0" fontId="4" fillId="22" borderId="35" xfId="0" applyFont="1" applyFill="1" applyBorder="1" applyAlignment="1">
      <alignment horizontal="center"/>
    </xf>
    <xf numFmtId="0" fontId="36" fillId="3" borderId="48" xfId="0" applyFont="1" applyFill="1" applyBorder="1" applyAlignment="1">
      <alignment horizontal="center"/>
    </xf>
    <xf numFmtId="0" fontId="24" fillId="5" borderId="48" xfId="0" applyFont="1" applyFill="1" applyBorder="1" applyAlignment="1">
      <alignment horizontal="center"/>
    </xf>
    <xf numFmtId="0" fontId="4" fillId="3" borderId="33" xfId="0" applyFont="1" applyFill="1" applyBorder="1" applyAlignment="1">
      <alignment horizontal="center"/>
    </xf>
    <xf numFmtId="0" fontId="6" fillId="7" borderId="33" xfId="0" applyFont="1" applyFill="1" applyBorder="1" applyAlignment="1">
      <alignment horizontal="center"/>
    </xf>
    <xf numFmtId="0" fontId="5" fillId="43" borderId="48" xfId="0" applyFont="1" applyFill="1" applyBorder="1" applyAlignment="1">
      <alignment horizontal="center"/>
    </xf>
    <xf numFmtId="0" fontId="21" fillId="21" borderId="35" xfId="0" applyFont="1" applyFill="1" applyBorder="1" applyAlignment="1">
      <alignment horizontal="center" vertical="center"/>
    </xf>
    <xf numFmtId="0" fontId="31" fillId="30" borderId="72" xfId="0" applyFont="1" applyFill="1" applyBorder="1" applyAlignment="1">
      <alignment horizontal="center" vertical="center"/>
    </xf>
    <xf numFmtId="0" fontId="21" fillId="21" borderId="49" xfId="0" applyFont="1" applyFill="1" applyBorder="1" applyAlignment="1">
      <alignment horizontal="center"/>
    </xf>
    <xf numFmtId="0" fontId="31" fillId="49" borderId="48" xfId="0" applyFont="1" applyFill="1" applyBorder="1" applyAlignment="1">
      <alignment horizontal="center"/>
    </xf>
    <xf numFmtId="0" fontId="26" fillId="8" borderId="48" xfId="0" applyFont="1" applyFill="1" applyBorder="1" applyAlignment="1">
      <alignment horizontal="center"/>
    </xf>
    <xf numFmtId="0" fontId="19" fillId="4" borderId="48" xfId="0" applyFont="1" applyFill="1" applyBorder="1" applyAlignment="1">
      <alignment horizontal="center"/>
    </xf>
    <xf numFmtId="0" fontId="19" fillId="4" borderId="33" xfId="0" applyFont="1" applyFill="1" applyBorder="1" applyAlignment="1">
      <alignment horizontal="center"/>
    </xf>
    <xf numFmtId="0" fontId="18" fillId="49" borderId="48" xfId="0" applyFont="1" applyFill="1" applyBorder="1" applyAlignment="1">
      <alignment horizontal="center"/>
    </xf>
    <xf numFmtId="0" fontId="19" fillId="4" borderId="49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20" fillId="18" borderId="49" xfId="0" applyFont="1" applyFill="1" applyBorder="1" applyAlignment="1">
      <alignment horizontal="center" vertical="center"/>
    </xf>
    <xf numFmtId="0" fontId="20" fillId="19" borderId="33" xfId="0" applyFont="1" applyFill="1" applyBorder="1" applyAlignment="1">
      <alignment horizontal="center"/>
    </xf>
    <xf numFmtId="0" fontId="21" fillId="21" borderId="33" xfId="0" applyFont="1" applyFill="1" applyBorder="1" applyAlignment="1">
      <alignment horizontal="center" vertical="center"/>
    </xf>
    <xf numFmtId="0" fontId="38" fillId="32" borderId="48" xfId="0" applyFont="1" applyFill="1" applyBorder="1" applyAlignment="1">
      <alignment horizontal="center"/>
    </xf>
    <xf numFmtId="0" fontId="34" fillId="40" borderId="48" xfId="0" applyFont="1" applyFill="1" applyBorder="1" applyAlignment="1">
      <alignment horizontal="center"/>
    </xf>
    <xf numFmtId="0" fontId="62" fillId="28" borderId="48" xfId="0" applyFont="1" applyFill="1" applyBorder="1"/>
    <xf numFmtId="0" fontId="24" fillId="19" borderId="84" xfId="0" applyFont="1" applyFill="1" applyBorder="1" applyAlignment="1">
      <alignment horizontal="center" vertical="center"/>
    </xf>
    <xf numFmtId="0" fontId="62" fillId="28" borderId="33" xfId="0" applyFont="1" applyFill="1" applyBorder="1"/>
    <xf numFmtId="0" fontId="31" fillId="30" borderId="48" xfId="0" applyFont="1" applyFill="1" applyBorder="1" applyAlignment="1">
      <alignment horizontal="center" vertical="center"/>
    </xf>
    <xf numFmtId="0" fontId="61" fillId="6" borderId="48" xfId="0" applyFont="1" applyFill="1" applyBorder="1" applyAlignment="1">
      <alignment horizontal="center" vertical="center"/>
    </xf>
    <xf numFmtId="0" fontId="51" fillId="6" borderId="48" xfId="0" applyFont="1" applyFill="1" applyBorder="1" applyAlignment="1">
      <alignment horizontal="center" vertical="center"/>
    </xf>
    <xf numFmtId="0" fontId="43" fillId="0" borderId="48" xfId="0" applyFont="1" applyBorder="1" applyAlignment="1">
      <alignment horizontal="center" vertical="center"/>
    </xf>
    <xf numFmtId="0" fontId="34" fillId="15" borderId="48" xfId="0" applyFont="1" applyFill="1" applyBorder="1" applyAlignment="1">
      <alignment horizontal="center" vertical="center"/>
    </xf>
    <xf numFmtId="0" fontId="32" fillId="20" borderId="48" xfId="0" applyFont="1" applyFill="1" applyBorder="1" applyAlignment="1">
      <alignment horizontal="center" vertical="center"/>
    </xf>
    <xf numFmtId="0" fontId="51" fillId="4" borderId="48" xfId="0" applyFont="1" applyFill="1" applyBorder="1" applyAlignment="1">
      <alignment horizontal="center" vertical="center"/>
    </xf>
    <xf numFmtId="0" fontId="51" fillId="6" borderId="49" xfId="0" applyFont="1" applyFill="1" applyBorder="1" applyAlignment="1">
      <alignment horizontal="center" vertical="center"/>
    </xf>
    <xf numFmtId="0" fontId="32" fillId="20" borderId="49" xfId="0" applyFont="1" applyFill="1" applyBorder="1" applyAlignment="1">
      <alignment horizontal="center" vertical="center"/>
    </xf>
    <xf numFmtId="0" fontId="61" fillId="4" borderId="33" xfId="0" applyFont="1" applyFill="1" applyBorder="1" applyAlignment="1">
      <alignment horizontal="center" vertical="center"/>
    </xf>
    <xf numFmtId="0" fontId="51" fillId="4" borderId="33" xfId="0" applyFont="1" applyFill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51" fillId="4" borderId="35" xfId="0" applyFont="1" applyFill="1" applyBorder="1" applyAlignment="1">
      <alignment horizontal="center" vertical="center"/>
    </xf>
    <xf numFmtId="0" fontId="51" fillId="4" borderId="49" xfId="0" applyFont="1" applyFill="1" applyBorder="1" applyAlignment="1">
      <alignment horizontal="center" vertical="center"/>
    </xf>
    <xf numFmtId="0" fontId="5" fillId="28" borderId="49" xfId="0" applyFont="1" applyFill="1" applyBorder="1" applyAlignment="1">
      <alignment horizontal="center" vertical="center"/>
    </xf>
    <xf numFmtId="0" fontId="31" fillId="49" borderId="48" xfId="0" applyFont="1" applyFill="1" applyBorder="1" applyAlignment="1">
      <alignment horizontal="center" vertical="center"/>
    </xf>
    <xf numFmtId="0" fontId="8" fillId="8" borderId="33" xfId="0" applyFont="1" applyFill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5" fillId="4" borderId="94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51" fillId="50" borderId="48" xfId="0" applyFont="1" applyFill="1" applyBorder="1" applyAlignment="1">
      <alignment horizontal="center" vertical="center"/>
    </xf>
    <xf numFmtId="0" fontId="8" fillId="8" borderId="35" xfId="0" applyFont="1" applyFill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20" fillId="32" borderId="48" xfId="0" applyFont="1" applyFill="1" applyBorder="1" applyAlignment="1">
      <alignment horizontal="center" vertical="center"/>
    </xf>
    <xf numFmtId="0" fontId="31" fillId="49" borderId="33" xfId="0" applyFont="1" applyFill="1" applyBorder="1" applyAlignment="1">
      <alignment horizontal="center" vertical="center"/>
    </xf>
    <xf numFmtId="0" fontId="26" fillId="8" borderId="33" xfId="0" applyFont="1" applyFill="1" applyBorder="1" applyAlignment="1">
      <alignment horizontal="center"/>
    </xf>
    <xf numFmtId="0" fontId="8" fillId="20" borderId="72" xfId="0" applyFont="1" applyFill="1" applyBorder="1" applyAlignment="1">
      <alignment horizontal="center" vertical="center"/>
    </xf>
    <xf numFmtId="0" fontId="5" fillId="52" borderId="48" xfId="0" applyFont="1" applyFill="1" applyBorder="1" applyAlignment="1">
      <alignment horizontal="center"/>
    </xf>
    <xf numFmtId="0" fontId="4" fillId="22" borderId="35" xfId="0" applyFont="1" applyFill="1" applyBorder="1" applyAlignment="1">
      <alignment horizontal="center" vertical="center"/>
    </xf>
    <xf numFmtId="0" fontId="31" fillId="30" borderId="33" xfId="0" applyFont="1" applyFill="1" applyBorder="1" applyAlignment="1">
      <alignment horizontal="center" vertical="center"/>
    </xf>
    <xf numFmtId="0" fontId="24" fillId="19" borderId="33" xfId="0" applyFont="1" applyFill="1" applyBorder="1" applyAlignment="1">
      <alignment horizontal="center" vertical="center"/>
    </xf>
    <xf numFmtId="0" fontId="42" fillId="0" borderId="48" xfId="0" applyFont="1" applyBorder="1" applyAlignment="1">
      <alignment horizontal="center"/>
    </xf>
    <xf numFmtId="0" fontId="42" fillId="0" borderId="49" xfId="0" applyFont="1" applyBorder="1" applyAlignment="1">
      <alignment horizontal="center"/>
    </xf>
    <xf numFmtId="0" fontId="31" fillId="30" borderId="84" xfId="0" applyFont="1" applyFill="1" applyBorder="1" applyAlignment="1">
      <alignment horizontal="center" vertical="center"/>
    </xf>
    <xf numFmtId="0" fontId="38" fillId="19" borderId="48" xfId="0" applyFont="1" applyFill="1" applyBorder="1" applyAlignment="1">
      <alignment horizontal="center" vertical="center"/>
    </xf>
    <xf numFmtId="0" fontId="18" fillId="30" borderId="48" xfId="0" applyFont="1" applyFill="1" applyBorder="1" applyAlignment="1">
      <alignment horizontal="center" vertical="center"/>
    </xf>
    <xf numFmtId="0" fontId="25" fillId="32" borderId="48" xfId="0" applyFont="1" applyFill="1" applyBorder="1" applyAlignment="1">
      <alignment horizontal="center" vertical="center"/>
    </xf>
    <xf numFmtId="0" fontId="24" fillId="4" borderId="48" xfId="0" applyFont="1" applyFill="1" applyBorder="1" applyAlignment="1">
      <alignment horizontal="center"/>
    </xf>
    <xf numFmtId="0" fontId="38" fillId="6" borderId="49" xfId="0" applyFont="1" applyFill="1" applyBorder="1" applyAlignment="1">
      <alignment horizontal="center"/>
    </xf>
    <xf numFmtId="0" fontId="38" fillId="6" borderId="48" xfId="0" applyFont="1" applyFill="1" applyBorder="1" applyAlignment="1">
      <alignment horizontal="center"/>
    </xf>
    <xf numFmtId="0" fontId="24" fillId="4" borderId="33" xfId="0" applyFont="1" applyFill="1" applyBorder="1" applyAlignment="1">
      <alignment horizontal="center"/>
    </xf>
    <xf numFmtId="0" fontId="36" fillId="3" borderId="72" xfId="0" applyFont="1" applyFill="1" applyBorder="1" applyAlignment="1">
      <alignment horizontal="center" vertical="center"/>
    </xf>
    <xf numFmtId="0" fontId="20" fillId="19" borderId="72" xfId="0" applyFont="1" applyFill="1" applyBorder="1" applyAlignment="1">
      <alignment horizontal="center" vertical="center"/>
    </xf>
    <xf numFmtId="0" fontId="21" fillId="16" borderId="72" xfId="0" applyFont="1" applyFill="1" applyBorder="1" applyAlignment="1">
      <alignment horizontal="center" vertical="center"/>
    </xf>
    <xf numFmtId="0" fontId="26" fillId="8" borderId="72" xfId="0" applyFont="1" applyFill="1" applyBorder="1" applyAlignment="1">
      <alignment horizontal="center" vertical="center"/>
    </xf>
    <xf numFmtId="0" fontId="27" fillId="10" borderId="72" xfId="0" applyFont="1" applyFill="1" applyBorder="1" applyAlignment="1">
      <alignment horizontal="center" vertical="center"/>
    </xf>
    <xf numFmtId="0" fontId="38" fillId="32" borderId="72" xfId="0" applyFont="1" applyFill="1" applyBorder="1" applyAlignment="1">
      <alignment horizontal="center" vertical="center"/>
    </xf>
    <xf numFmtId="0" fontId="6" fillId="7" borderId="95" xfId="0" applyFont="1" applyFill="1" applyBorder="1" applyAlignment="1">
      <alignment horizontal="center" vertical="center"/>
    </xf>
    <xf numFmtId="0" fontId="4" fillId="3" borderId="95" xfId="0" applyFont="1" applyFill="1" applyBorder="1" applyAlignment="1">
      <alignment horizontal="center" vertical="center"/>
    </xf>
    <xf numFmtId="0" fontId="36" fillId="3" borderId="95" xfId="0" applyFont="1" applyFill="1" applyBorder="1" applyAlignment="1">
      <alignment horizontal="center" vertical="center"/>
    </xf>
    <xf numFmtId="0" fontId="36" fillId="29" borderId="72" xfId="0" applyFont="1" applyFill="1" applyBorder="1" applyAlignment="1">
      <alignment horizontal="center" vertical="center"/>
    </xf>
    <xf numFmtId="0" fontId="8" fillId="8" borderId="72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0" fillId="0" borderId="57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83" xfId="0" applyFont="1" applyBorder="1" applyAlignment="1">
      <alignment vertical="center"/>
    </xf>
    <xf numFmtId="0" fontId="2" fillId="0" borderId="81" xfId="0" applyFont="1" applyBorder="1" applyAlignment="1">
      <alignment vertical="center"/>
    </xf>
    <xf numFmtId="0" fontId="6" fillId="7" borderId="101" xfId="0" applyFont="1" applyFill="1" applyBorder="1" applyAlignment="1">
      <alignment horizontal="center" vertical="center"/>
    </xf>
    <xf numFmtId="0" fontId="4" fillId="3" borderId="88" xfId="0" applyFont="1" applyFill="1" applyBorder="1" applyAlignment="1">
      <alignment horizontal="center" vertical="center"/>
    </xf>
    <xf numFmtId="0" fontId="27" fillId="10" borderId="88" xfId="0" applyFont="1" applyFill="1" applyBorder="1" applyAlignment="1">
      <alignment horizontal="center" vertical="center"/>
    </xf>
    <xf numFmtId="0" fontId="13" fillId="0" borderId="69" xfId="0" applyFont="1" applyBorder="1"/>
    <xf numFmtId="0" fontId="10" fillId="11" borderId="72" xfId="0" applyFont="1" applyFill="1" applyBorder="1" applyAlignment="1">
      <alignment horizontal="center" vertical="center"/>
    </xf>
    <xf numFmtId="0" fontId="11" fillId="12" borderId="72" xfId="0" applyFont="1" applyFill="1" applyBorder="1" applyAlignment="1">
      <alignment horizontal="center" vertical="center"/>
    </xf>
    <xf numFmtId="0" fontId="11" fillId="9" borderId="72" xfId="0" applyFont="1" applyFill="1" applyBorder="1" applyAlignment="1">
      <alignment horizontal="center" vertical="center"/>
    </xf>
    <xf numFmtId="0" fontId="11" fillId="12" borderId="72" xfId="0" applyFont="1" applyFill="1" applyBorder="1" applyAlignment="1">
      <alignment horizontal="center"/>
    </xf>
    <xf numFmtId="0" fontId="21" fillId="21" borderId="72" xfId="0" applyFont="1" applyFill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19" fillId="23" borderId="72" xfId="0" applyFont="1" applyFill="1" applyBorder="1" applyAlignment="1">
      <alignment horizontal="center" vertical="center"/>
    </xf>
    <xf numFmtId="0" fontId="20" fillId="18" borderId="72" xfId="0" applyFont="1" applyFill="1" applyBorder="1" applyAlignment="1">
      <alignment horizontal="center" vertical="center"/>
    </xf>
    <xf numFmtId="0" fontId="24" fillId="17" borderId="72" xfId="0" applyFont="1" applyFill="1" applyBorder="1" applyAlignment="1">
      <alignment horizontal="center" vertical="center"/>
    </xf>
    <xf numFmtId="0" fontId="34" fillId="20" borderId="72" xfId="0" applyFont="1" applyFill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4" fillId="23" borderId="72" xfId="0" applyFont="1" applyFill="1" applyBorder="1" applyAlignment="1">
      <alignment horizontal="center" vertical="center"/>
    </xf>
    <xf numFmtId="0" fontId="5" fillId="23" borderId="72" xfId="0" applyFont="1" applyFill="1" applyBorder="1" applyAlignment="1">
      <alignment horizontal="center" vertical="center"/>
    </xf>
    <xf numFmtId="0" fontId="31" fillId="27" borderId="72" xfId="0" applyFont="1" applyFill="1" applyBorder="1" applyAlignment="1">
      <alignment horizontal="center" vertical="center"/>
    </xf>
    <xf numFmtId="0" fontId="31" fillId="33" borderId="72" xfId="0" applyFont="1" applyFill="1" applyBorder="1" applyAlignment="1">
      <alignment horizontal="center" vertical="center"/>
    </xf>
    <xf numFmtId="0" fontId="5" fillId="33" borderId="72" xfId="0" applyFont="1" applyFill="1" applyBorder="1" applyAlignment="1">
      <alignment horizontal="center" vertical="center"/>
    </xf>
    <xf numFmtId="0" fontId="20" fillId="23" borderId="72" xfId="0" applyFont="1" applyFill="1" applyBorder="1" applyAlignment="1">
      <alignment horizontal="center" vertical="center"/>
    </xf>
    <xf numFmtId="0" fontId="35" fillId="26" borderId="72" xfId="0" applyFont="1" applyFill="1" applyBorder="1" applyAlignment="1">
      <alignment horizontal="center" vertical="center"/>
    </xf>
    <xf numFmtId="0" fontId="5" fillId="5" borderId="88" xfId="0" applyFont="1" applyFill="1" applyBorder="1" applyAlignment="1">
      <alignment horizontal="center" vertical="center"/>
    </xf>
    <xf numFmtId="0" fontId="4" fillId="23" borderId="88" xfId="0" applyFont="1" applyFill="1" applyBorder="1" applyAlignment="1">
      <alignment horizontal="center" vertical="center"/>
    </xf>
    <xf numFmtId="0" fontId="5" fillId="23" borderId="88" xfId="0" applyFont="1" applyFill="1" applyBorder="1" applyAlignment="1">
      <alignment horizontal="center" vertical="center"/>
    </xf>
    <xf numFmtId="0" fontId="8" fillId="8" borderId="88" xfId="0" applyFont="1" applyFill="1" applyBorder="1" applyAlignment="1">
      <alignment horizontal="center" vertical="center"/>
    </xf>
    <xf numFmtId="0" fontId="31" fillId="15" borderId="88" xfId="0" applyFont="1" applyFill="1" applyBorder="1" applyAlignment="1">
      <alignment horizontal="center" vertical="center"/>
    </xf>
    <xf numFmtId="0" fontId="20" fillId="15" borderId="88" xfId="0" applyFont="1" applyFill="1" applyBorder="1" applyAlignment="1">
      <alignment horizontal="center" vertical="center"/>
    </xf>
    <xf numFmtId="0" fontId="21" fillId="21" borderId="88" xfId="0" applyFont="1" applyFill="1" applyBorder="1" applyAlignment="1">
      <alignment horizontal="center" vertical="center"/>
    </xf>
    <xf numFmtId="0" fontId="19" fillId="23" borderId="88" xfId="0" applyFont="1" applyFill="1" applyBorder="1" applyAlignment="1">
      <alignment horizontal="center" vertical="center"/>
    </xf>
    <xf numFmtId="0" fontId="65" fillId="2" borderId="129" xfId="0" applyFont="1" applyFill="1" applyBorder="1"/>
    <xf numFmtId="0" fontId="65" fillId="2" borderId="105" xfId="0" applyFont="1" applyFill="1" applyBorder="1"/>
    <xf numFmtId="0" fontId="66" fillId="2" borderId="131" xfId="0" applyFont="1" applyFill="1" applyBorder="1" applyAlignment="1">
      <alignment horizontal="center"/>
    </xf>
    <xf numFmtId="0" fontId="13" fillId="0" borderId="111" xfId="0" applyFont="1" applyBorder="1"/>
    <xf numFmtId="0" fontId="65" fillId="2" borderId="0" xfId="0" applyFont="1" applyFill="1"/>
    <xf numFmtId="0" fontId="11" fillId="12" borderId="82" xfId="0" applyFont="1" applyFill="1" applyBorder="1" applyAlignment="1">
      <alignment horizontal="center" vertical="center"/>
    </xf>
    <xf numFmtId="0" fontId="66" fillId="2" borderId="0" xfId="0" applyFont="1" applyFill="1" applyAlignment="1">
      <alignment horizontal="center"/>
    </xf>
    <xf numFmtId="0" fontId="11" fillId="12" borderId="82" xfId="0" applyFont="1" applyFill="1" applyBorder="1" applyAlignment="1">
      <alignment horizontal="center"/>
    </xf>
    <xf numFmtId="0" fontId="21" fillId="21" borderId="82" xfId="0" applyFont="1" applyFill="1" applyBorder="1" applyAlignment="1">
      <alignment horizontal="center" vertical="center"/>
    </xf>
    <xf numFmtId="0" fontId="2" fillId="0" borderId="113" xfId="0" applyFont="1" applyBorder="1" applyAlignment="1">
      <alignment vertical="center"/>
    </xf>
    <xf numFmtId="0" fontId="19" fillId="6" borderId="82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1" fillId="9" borderId="107" xfId="0" applyFont="1" applyFill="1" applyBorder="1" applyAlignment="1">
      <alignment vertical="center"/>
    </xf>
    <xf numFmtId="0" fontId="1" fillId="9" borderId="129" xfId="0" applyFont="1" applyFill="1" applyBorder="1" applyAlignment="1">
      <alignment vertical="center" wrapText="1"/>
    </xf>
    <xf numFmtId="0" fontId="1" fillId="9" borderId="121" xfId="0" applyFont="1" applyFill="1" applyBorder="1" applyAlignment="1">
      <alignment vertical="center" wrapText="1"/>
    </xf>
    <xf numFmtId="0" fontId="31" fillId="30" borderId="82" xfId="0" applyFont="1" applyFill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5" fillId="28" borderId="84" xfId="0" applyFont="1" applyFill="1" applyBorder="1" applyAlignment="1">
      <alignment horizontal="center" vertical="center"/>
    </xf>
    <xf numFmtId="0" fontId="5" fillId="28" borderId="82" xfId="0" applyFont="1" applyFill="1" applyBorder="1" applyAlignment="1">
      <alignment horizontal="center" vertical="center"/>
    </xf>
    <xf numFmtId="0" fontId="36" fillId="29" borderId="84" xfId="0" applyFont="1" applyFill="1" applyBorder="1" applyAlignment="1">
      <alignment horizontal="center" vertical="center"/>
    </xf>
    <xf numFmtId="0" fontId="38" fillId="32" borderId="84" xfId="0" applyFont="1" applyFill="1" applyBorder="1" applyAlignment="1">
      <alignment horizontal="center" vertical="center"/>
    </xf>
    <xf numFmtId="0" fontId="8" fillId="8" borderId="84" xfId="0" applyFont="1" applyFill="1" applyBorder="1" applyAlignment="1">
      <alignment horizontal="center" vertical="center"/>
    </xf>
    <xf numFmtId="0" fontId="5" fillId="28" borderId="85" xfId="0" applyFont="1" applyFill="1" applyBorder="1" applyAlignment="1">
      <alignment horizontal="center" vertical="center"/>
    </xf>
    <xf numFmtId="0" fontId="17" fillId="0" borderId="94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28" fillId="0" borderId="73" xfId="0" applyFont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17" fillId="0" borderId="85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Continuous" vertical="center"/>
    </xf>
    <xf numFmtId="0" fontId="14" fillId="0" borderId="127" xfId="0" applyFont="1" applyBorder="1" applyAlignment="1">
      <alignment horizontal="centerContinuous" vertical="center"/>
    </xf>
    <xf numFmtId="0" fontId="14" fillId="0" borderId="126" xfId="0" applyFont="1" applyBorder="1" applyAlignment="1">
      <alignment horizontal="centerContinuous" vertical="center"/>
    </xf>
    <xf numFmtId="0" fontId="30" fillId="0" borderId="34" xfId="0" applyFont="1" applyBorder="1" applyAlignment="1">
      <alignment horizontal="center" vertical="center"/>
    </xf>
    <xf numFmtId="0" fontId="4" fillId="3" borderId="109" xfId="0" applyFont="1" applyFill="1" applyBorder="1" applyAlignment="1">
      <alignment horizontal="centerContinuous" vertical="center"/>
    </xf>
    <xf numFmtId="0" fontId="4" fillId="3" borderId="87" xfId="0" applyFont="1" applyFill="1" applyBorder="1" applyAlignment="1">
      <alignment horizontal="centerContinuous" vertical="center"/>
    </xf>
    <xf numFmtId="0" fontId="5" fillId="4" borderId="131" xfId="0" applyFont="1" applyFill="1" applyBorder="1" applyAlignment="1">
      <alignment horizontal="centerContinuous" vertical="center"/>
    </xf>
    <xf numFmtId="0" fontId="5" fillId="4" borderId="101" xfId="0" applyFont="1" applyFill="1" applyBorder="1" applyAlignment="1">
      <alignment horizontal="centerContinuous" vertical="center"/>
    </xf>
    <xf numFmtId="0" fontId="5" fillId="5" borderId="131" xfId="0" applyFont="1" applyFill="1" applyBorder="1" applyAlignment="1">
      <alignment horizontal="centerContinuous" vertical="center"/>
    </xf>
    <xf numFmtId="0" fontId="5" fillId="5" borderId="101" xfId="0" applyFont="1" applyFill="1" applyBorder="1" applyAlignment="1">
      <alignment horizontal="centerContinuous" vertical="center"/>
    </xf>
    <xf numFmtId="0" fontId="5" fillId="6" borderId="131" xfId="0" applyFont="1" applyFill="1" applyBorder="1" applyAlignment="1">
      <alignment horizontal="centerContinuous" vertical="center"/>
    </xf>
    <xf numFmtId="0" fontId="5" fillId="6" borderId="101" xfId="0" applyFont="1" applyFill="1" applyBorder="1" applyAlignment="1">
      <alignment horizontal="centerContinuous" vertical="center"/>
    </xf>
    <xf numFmtId="0" fontId="7" fillId="8" borderId="108" xfId="0" applyFont="1" applyFill="1" applyBorder="1" applyAlignment="1">
      <alignment horizontal="centerContinuous" vertical="center"/>
    </xf>
    <xf numFmtId="0" fontId="7" fillId="8" borderId="132" xfId="0" applyFont="1" applyFill="1" applyBorder="1" applyAlignment="1">
      <alignment horizontal="centerContinuous" vertical="center"/>
    </xf>
    <xf numFmtId="0" fontId="17" fillId="0" borderId="97" xfId="0" applyFont="1" applyBorder="1" applyAlignment="1">
      <alignment horizontal="center" vertical="center"/>
    </xf>
    <xf numFmtId="0" fontId="30" fillId="0" borderId="94" xfId="0" applyFont="1" applyBorder="1" applyAlignment="1">
      <alignment horizontal="center" vertical="center"/>
    </xf>
    <xf numFmtId="0" fontId="22" fillId="0" borderId="104" xfId="0" applyFont="1" applyBorder="1" applyAlignment="1">
      <alignment horizontal="center" vertical="center"/>
    </xf>
    <xf numFmtId="0" fontId="46" fillId="0" borderId="33" xfId="0" applyFont="1" applyBorder="1"/>
    <xf numFmtId="0" fontId="46" fillId="0" borderId="48" xfId="0" applyFont="1" applyBorder="1"/>
    <xf numFmtId="0" fontId="46" fillId="0" borderId="72" xfId="0" applyFont="1" applyBorder="1" applyAlignment="1">
      <alignment vertical="center"/>
    </xf>
    <xf numFmtId="0" fontId="46" fillId="0" borderId="84" xfId="0" applyFont="1" applyBorder="1" applyAlignment="1">
      <alignment vertical="center"/>
    </xf>
    <xf numFmtId="0" fontId="46" fillId="0" borderId="95" xfId="0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 wrapText="1"/>
    </xf>
    <xf numFmtId="0" fontId="1" fillId="9" borderId="122" xfId="0" applyFont="1" applyFill="1" applyBorder="1" applyAlignment="1">
      <alignment vertical="center" wrapText="1"/>
    </xf>
    <xf numFmtId="0" fontId="1" fillId="9" borderId="120" xfId="0" applyFont="1" applyFill="1" applyBorder="1" applyAlignment="1">
      <alignment vertical="center" wrapText="1"/>
    </xf>
    <xf numFmtId="0" fontId="4" fillId="3" borderId="70" xfId="0" applyFont="1" applyFill="1" applyBorder="1" applyAlignment="1">
      <alignment horizontal="center" vertical="center"/>
    </xf>
    <xf numFmtId="0" fontId="6" fillId="7" borderId="103" xfId="0" applyFont="1" applyFill="1" applyBorder="1" applyAlignment="1">
      <alignment horizontal="center" vertical="center"/>
    </xf>
    <xf numFmtId="0" fontId="26" fillId="8" borderId="103" xfId="0" applyFont="1" applyFill="1" applyBorder="1" applyAlignment="1">
      <alignment horizontal="center" vertical="center"/>
    </xf>
    <xf numFmtId="0" fontId="25" fillId="19" borderId="118" xfId="0" applyFont="1" applyFill="1" applyBorder="1" applyAlignment="1">
      <alignment horizontal="center" vertical="center"/>
    </xf>
    <xf numFmtId="0" fontId="19" fillId="0" borderId="94" xfId="0" applyFont="1" applyBorder="1" applyAlignment="1">
      <alignment horizontal="center" vertical="center"/>
    </xf>
    <xf numFmtId="0" fontId="25" fillId="19" borderId="94" xfId="0" applyFont="1" applyFill="1" applyBorder="1" applyAlignment="1">
      <alignment horizontal="center" vertical="center"/>
    </xf>
    <xf numFmtId="0" fontId="26" fillId="8" borderId="94" xfId="0" applyFont="1" applyFill="1" applyBorder="1" applyAlignment="1">
      <alignment horizontal="center" vertical="center"/>
    </xf>
    <xf numFmtId="0" fontId="27" fillId="10" borderId="94" xfId="0" applyFont="1" applyFill="1" applyBorder="1" applyAlignment="1">
      <alignment horizontal="center" vertical="center"/>
    </xf>
    <xf numFmtId="0" fontId="27" fillId="10" borderId="10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Continuous" vertical="center"/>
    </xf>
    <xf numFmtId="0" fontId="4" fillId="3" borderId="28" xfId="0" applyFont="1" applyFill="1" applyBorder="1" applyAlignment="1">
      <alignment horizontal="centerContinuous" vertical="center"/>
    </xf>
    <xf numFmtId="0" fontId="8" fillId="8" borderId="12" xfId="0" applyFont="1" applyFill="1" applyBorder="1" applyAlignment="1">
      <alignment horizontal="centerContinuous" vertical="center"/>
    </xf>
    <xf numFmtId="0" fontId="8" fillId="8" borderId="48" xfId="0" applyFont="1" applyFill="1" applyBorder="1" applyAlignment="1">
      <alignment horizontal="centerContinuous" vertical="center"/>
    </xf>
    <xf numFmtId="0" fontId="9" fillId="10" borderId="12" xfId="0" applyFont="1" applyFill="1" applyBorder="1" applyAlignment="1">
      <alignment horizontal="centerContinuous" vertical="center"/>
    </xf>
    <xf numFmtId="0" fontId="9" fillId="10" borderId="48" xfId="0" applyFont="1" applyFill="1" applyBorder="1" applyAlignment="1">
      <alignment horizontal="centerContinuous" vertical="center"/>
    </xf>
    <xf numFmtId="0" fontId="5" fillId="5" borderId="8" xfId="0" applyFont="1" applyFill="1" applyBorder="1" applyAlignment="1">
      <alignment horizontal="centerContinuous" vertical="center"/>
    </xf>
    <xf numFmtId="0" fontId="5" fillId="5" borderId="33" xfId="0" applyFont="1" applyFill="1" applyBorder="1" applyAlignment="1">
      <alignment horizontal="centerContinuous" vertical="center"/>
    </xf>
    <xf numFmtId="0" fontId="2" fillId="0" borderId="110" xfId="0" applyFont="1" applyBorder="1" applyAlignment="1">
      <alignment vertical="center"/>
    </xf>
    <xf numFmtId="0" fontId="46" fillId="0" borderId="48" xfId="0" applyFon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8" xfId="0" quotePrefix="1" applyBorder="1" applyAlignment="1">
      <alignment horizontal="left" vertical="center"/>
    </xf>
    <xf numFmtId="0" fontId="0" fillId="25" borderId="48" xfId="0" applyFill="1" applyBorder="1" applyAlignment="1">
      <alignment horizontal="left" vertical="center"/>
    </xf>
    <xf numFmtId="0" fontId="1" fillId="9" borderId="27" xfId="0" applyFont="1" applyFill="1" applyBorder="1" applyAlignment="1">
      <alignment vertical="center" wrapText="1"/>
    </xf>
    <xf numFmtId="0" fontId="5" fillId="5" borderId="103" xfId="0" applyFont="1" applyFill="1" applyBorder="1" applyAlignment="1">
      <alignment horizontal="center" vertical="center"/>
    </xf>
    <xf numFmtId="0" fontId="8" fillId="8" borderId="103" xfId="0" applyFont="1" applyFill="1" applyBorder="1" applyAlignment="1">
      <alignment horizontal="center" vertical="center"/>
    </xf>
    <xf numFmtId="0" fontId="31" fillId="26" borderId="103" xfId="0" applyFont="1" applyFill="1" applyBorder="1" applyAlignment="1">
      <alignment horizontal="center" vertical="center"/>
    </xf>
    <xf numFmtId="0" fontId="2" fillId="25" borderId="19" xfId="0" applyFont="1" applyFill="1" applyBorder="1" applyAlignment="1">
      <alignment vertical="center"/>
    </xf>
    <xf numFmtId="0" fontId="2" fillId="25" borderId="125" xfId="0" applyFont="1" applyFill="1" applyBorder="1" applyAlignment="1">
      <alignment vertical="center"/>
    </xf>
    <xf numFmtId="0" fontId="46" fillId="25" borderId="33" xfId="0" applyFont="1" applyFill="1" applyBorder="1" applyAlignment="1">
      <alignment horizontal="left" vertical="center"/>
    </xf>
    <xf numFmtId="0" fontId="5" fillId="0" borderId="118" xfId="0" applyFont="1" applyBorder="1" applyAlignment="1">
      <alignment horizontal="center" vertical="center"/>
    </xf>
    <xf numFmtId="0" fontId="4" fillId="3" borderId="94" xfId="0" applyFont="1" applyFill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2" fillId="0" borderId="125" xfId="0" applyFont="1" applyBorder="1" applyAlignment="1">
      <alignment vertical="center"/>
    </xf>
    <xf numFmtId="0" fontId="46" fillId="0" borderId="33" xfId="0" applyFont="1" applyBorder="1" applyAlignment="1">
      <alignment horizontal="left" vertical="center"/>
    </xf>
    <xf numFmtId="0" fontId="65" fillId="2" borderId="130" xfId="0" applyFont="1" applyFill="1" applyBorder="1" applyAlignment="1">
      <alignment horizontal="centerContinuous" vertical="center"/>
    </xf>
    <xf numFmtId="0" fontId="65" fillId="2" borderId="0" xfId="0" applyFont="1" applyFill="1" applyAlignment="1">
      <alignment horizontal="centerContinuous" vertical="center"/>
    </xf>
    <xf numFmtId="0" fontId="46" fillId="0" borderId="48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6" fillId="0" borderId="48" xfId="0" quotePrefix="1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9" borderId="107" xfId="0" applyFont="1" applyFill="1" applyBorder="1" applyAlignment="1">
      <alignment horizontal="left" vertical="center"/>
    </xf>
    <xf numFmtId="0" fontId="32" fillId="0" borderId="48" xfId="0" applyFont="1" applyBorder="1" applyAlignment="1">
      <alignment horizontal="center" vertical="center"/>
    </xf>
    <xf numFmtId="0" fontId="31" fillId="24" borderId="48" xfId="0" applyFont="1" applyFill="1" applyBorder="1" applyAlignment="1">
      <alignment horizontal="center" vertical="center"/>
    </xf>
    <xf numFmtId="0" fontId="40" fillId="37" borderId="48" xfId="0" applyFont="1" applyFill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2" fillId="38" borderId="48" xfId="0" applyFont="1" applyFill="1" applyBorder="1" applyAlignment="1">
      <alignment horizontal="center" vertical="center"/>
    </xf>
    <xf numFmtId="0" fontId="36" fillId="29" borderId="48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1" fillId="12" borderId="50" xfId="0" applyFont="1" applyFill="1" applyBorder="1" applyAlignment="1">
      <alignment horizontal="center" vertical="center"/>
    </xf>
    <xf numFmtId="0" fontId="11" fillId="12" borderId="52" xfId="0" applyFont="1" applyFill="1" applyBorder="1" applyAlignment="1">
      <alignment horizontal="center" vertical="center"/>
    </xf>
    <xf numFmtId="0" fontId="13" fillId="0" borderId="51" xfId="0" applyFont="1" applyBorder="1"/>
    <xf numFmtId="0" fontId="13" fillId="0" borderId="14" xfId="0" applyFont="1" applyBorder="1"/>
    <xf numFmtId="0" fontId="13" fillId="0" borderId="123" xfId="0" applyFont="1" applyBorder="1" applyAlignment="1">
      <alignment horizontal="left" vertical="center"/>
    </xf>
    <xf numFmtId="0" fontId="13" fillId="0" borderId="51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0" fontId="13" fillId="0" borderId="25" xfId="0" applyFont="1" applyBorder="1"/>
    <xf numFmtId="0" fontId="21" fillId="16" borderId="48" xfId="0" applyFont="1" applyFill="1" applyBorder="1" applyAlignment="1">
      <alignment horizontal="center" vertical="center"/>
    </xf>
    <xf numFmtId="0" fontId="19" fillId="34" borderId="48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9" borderId="27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/>
    </xf>
    <xf numFmtId="0" fontId="46" fillId="0" borderId="48" xfId="0" applyFont="1" applyBorder="1" applyAlignment="1">
      <alignment vertical="center"/>
    </xf>
    <xf numFmtId="0" fontId="46" fillId="25" borderId="48" xfId="0" applyFont="1" applyFill="1" applyBorder="1" applyAlignment="1">
      <alignment vertical="center"/>
    </xf>
    <xf numFmtId="0" fontId="65" fillId="2" borderId="2" xfId="0" applyFont="1" applyFill="1" applyBorder="1"/>
    <xf numFmtId="0" fontId="0" fillId="0" borderId="29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40" xfId="0" applyBorder="1" applyAlignment="1">
      <alignment horizontal="centerContinuous"/>
    </xf>
    <xf numFmtId="0" fontId="65" fillId="2" borderId="1" xfId="0" applyFont="1" applyFill="1" applyBorder="1" applyAlignment="1">
      <alignment horizontal="centerContinuous" vertical="center"/>
    </xf>
    <xf numFmtId="0" fontId="13" fillId="0" borderId="60" xfId="0" applyFont="1" applyBorder="1"/>
    <xf numFmtId="0" fontId="65" fillId="2" borderId="3" xfId="0" applyFont="1" applyFill="1" applyBorder="1"/>
    <xf numFmtId="0" fontId="66" fillId="2" borderId="3" xfId="0" applyFont="1" applyFill="1" applyBorder="1" applyAlignment="1">
      <alignment horizontal="center"/>
    </xf>
    <xf numFmtId="0" fontId="46" fillId="0" borderId="33" xfId="0" applyFont="1" applyBorder="1" applyAlignment="1">
      <alignment vertical="center"/>
    </xf>
    <xf numFmtId="0" fontId="36" fillId="29" borderId="33" xfId="0" applyFont="1" applyFill="1" applyBorder="1" applyAlignment="1">
      <alignment horizontal="center" vertical="center"/>
    </xf>
    <xf numFmtId="0" fontId="20" fillId="18" borderId="33" xfId="0" applyFont="1" applyFill="1" applyBorder="1" applyAlignment="1">
      <alignment horizontal="center" vertical="center"/>
    </xf>
    <xf numFmtId="0" fontId="31" fillId="24" borderId="49" xfId="0" applyFont="1" applyFill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24" fillId="23" borderId="33" xfId="0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1" fillId="9" borderId="5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vertical="center" wrapText="1"/>
    </xf>
    <xf numFmtId="0" fontId="1" fillId="9" borderId="40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left" vertical="center"/>
    </xf>
    <xf numFmtId="0" fontId="41" fillId="32" borderId="48" xfId="0" applyFont="1" applyFill="1" applyBorder="1" applyAlignment="1">
      <alignment horizontal="center" vertical="center"/>
    </xf>
    <xf numFmtId="0" fontId="4" fillId="32" borderId="49" xfId="0" applyFont="1" applyFill="1" applyBorder="1" applyAlignment="1">
      <alignment horizontal="center" vertical="center"/>
    </xf>
    <xf numFmtId="0" fontId="21" fillId="16" borderId="49" xfId="0" applyFont="1" applyFill="1" applyBorder="1" applyAlignment="1">
      <alignment horizontal="center" vertical="center"/>
    </xf>
    <xf numFmtId="0" fontId="2" fillId="25" borderId="12" xfId="0" applyFont="1" applyFill="1" applyBorder="1" applyAlignment="1">
      <alignment vertical="center"/>
    </xf>
    <xf numFmtId="0" fontId="2" fillId="25" borderId="8" xfId="0" applyFont="1" applyFill="1" applyBorder="1" applyAlignment="1">
      <alignment vertical="center"/>
    </xf>
    <xf numFmtId="0" fontId="46" fillId="25" borderId="33" xfId="0" applyFont="1" applyFill="1" applyBorder="1" applyAlignment="1">
      <alignment vertical="center"/>
    </xf>
    <xf numFmtId="0" fontId="21" fillId="16" borderId="33" xfId="0" applyFont="1" applyFill="1" applyBorder="1" applyAlignment="1">
      <alignment horizontal="center" vertical="center"/>
    </xf>
    <xf numFmtId="0" fontId="24" fillId="32" borderId="33" xfId="0" applyFont="1" applyFill="1" applyBorder="1" applyAlignment="1">
      <alignment horizontal="center" vertical="center"/>
    </xf>
    <xf numFmtId="0" fontId="5" fillId="36" borderId="33" xfId="0" applyFont="1" applyFill="1" applyBorder="1" applyAlignment="1">
      <alignment horizontal="center" vertical="center"/>
    </xf>
    <xf numFmtId="0" fontId="8" fillId="8" borderId="98" xfId="0" applyFont="1" applyFill="1" applyBorder="1" applyAlignment="1">
      <alignment horizontal="centerContinuous" vertical="center"/>
    </xf>
    <xf numFmtId="0" fontId="8" fillId="8" borderId="14" xfId="0" applyFont="1" applyFill="1" applyBorder="1" applyAlignment="1">
      <alignment horizontal="centerContinuous" vertical="center"/>
    </xf>
    <xf numFmtId="0" fontId="19" fillId="6" borderId="98" xfId="0" applyFont="1" applyFill="1" applyBorder="1" applyAlignment="1">
      <alignment horizontal="centerContinuous" vertical="center"/>
    </xf>
    <xf numFmtId="0" fontId="19" fillId="6" borderId="14" xfId="0" applyFont="1" applyFill="1" applyBorder="1" applyAlignment="1">
      <alignment horizontal="centerContinuous" vertical="center"/>
    </xf>
    <xf numFmtId="0" fontId="5" fillId="5" borderId="100" xfId="0" applyFont="1" applyFill="1" applyBorder="1" applyAlignment="1">
      <alignment horizontal="centerContinuous" vertical="center"/>
    </xf>
    <xf numFmtId="0" fontId="5" fillId="5" borderId="106" xfId="0" applyFont="1" applyFill="1" applyBorder="1" applyAlignment="1">
      <alignment horizontal="centerContinuous" vertical="center"/>
    </xf>
    <xf numFmtId="0" fontId="15" fillId="14" borderId="36" xfId="0" applyFont="1" applyFill="1" applyBorder="1" applyAlignment="1">
      <alignment horizontal="centerContinuous" vertical="center"/>
    </xf>
    <xf numFmtId="0" fontId="15" fillId="14" borderId="37" xfId="0" applyFont="1" applyFill="1" applyBorder="1" applyAlignment="1">
      <alignment horizontal="centerContinuous" vertical="center"/>
    </xf>
    <xf numFmtId="0" fontId="15" fillId="14" borderId="38" xfId="0" applyFont="1" applyFill="1" applyBorder="1" applyAlignment="1">
      <alignment horizontal="centerContinuous" vertical="center"/>
    </xf>
    <xf numFmtId="0" fontId="4" fillId="3" borderId="124" xfId="0" applyFont="1" applyFill="1" applyBorder="1" applyAlignment="1">
      <alignment horizontal="centerContinuous" vertical="center"/>
    </xf>
    <xf numFmtId="0" fontId="4" fillId="3" borderId="117" xfId="0" applyFont="1" applyFill="1" applyBorder="1" applyAlignment="1">
      <alignment horizontal="centerContinuous" vertical="center"/>
    </xf>
    <xf numFmtId="0" fontId="5" fillId="4" borderId="133" xfId="0" applyFont="1" applyFill="1" applyBorder="1" applyAlignment="1">
      <alignment horizontal="centerContinuous" vertical="center"/>
    </xf>
    <xf numFmtId="0" fontId="5" fillId="5" borderId="133" xfId="0" applyFont="1" applyFill="1" applyBorder="1" applyAlignment="1">
      <alignment horizontal="centerContinuous" vertical="center"/>
    </xf>
    <xf numFmtId="0" fontId="5" fillId="6" borderId="133" xfId="0" applyFont="1" applyFill="1" applyBorder="1" applyAlignment="1">
      <alignment horizontal="centerContinuous" vertical="center"/>
    </xf>
    <xf numFmtId="0" fontId="7" fillId="8" borderId="21" xfId="0" applyFont="1" applyFill="1" applyBorder="1" applyAlignment="1">
      <alignment horizontal="centerContinuous" vertical="center"/>
    </xf>
    <xf numFmtId="0" fontId="7" fillId="8" borderId="128" xfId="0" applyFont="1" applyFill="1" applyBorder="1" applyAlignment="1">
      <alignment horizontal="centerContinuous" vertical="center"/>
    </xf>
    <xf numFmtId="0" fontId="11" fillId="9" borderId="48" xfId="0" applyFont="1" applyFill="1" applyBorder="1" applyAlignment="1">
      <alignment horizontal="center" vertical="center"/>
    </xf>
    <xf numFmtId="0" fontId="11" fillId="12" borderId="48" xfId="0" applyFont="1" applyFill="1" applyBorder="1" applyAlignment="1">
      <alignment horizontal="center" vertical="center"/>
    </xf>
    <xf numFmtId="0" fontId="11" fillId="12" borderId="48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left" vertical="center" wrapText="1"/>
    </xf>
    <xf numFmtId="0" fontId="1" fillId="9" borderId="27" xfId="0" applyFont="1" applyFill="1" applyBorder="1" applyAlignment="1">
      <alignment horizontal="left" vertical="center" wrapText="1"/>
    </xf>
    <xf numFmtId="0" fontId="46" fillId="0" borderId="50" xfId="0" applyFont="1" applyBorder="1" applyAlignment="1">
      <alignment vertical="center"/>
    </xf>
    <xf numFmtId="0" fontId="13" fillId="0" borderId="14" xfId="0" applyFont="1" applyBorder="1" applyAlignment="1">
      <alignment horizontal="left" vertical="center"/>
    </xf>
    <xf numFmtId="0" fontId="14" fillId="0" borderId="2" xfId="0" applyFont="1" applyBorder="1" applyAlignment="1">
      <alignment horizontal="centerContinuous" vertical="center"/>
    </xf>
    <xf numFmtId="0" fontId="55" fillId="0" borderId="48" xfId="0" applyFont="1" applyBorder="1" applyAlignment="1">
      <alignment horizontal="center" vertical="center"/>
    </xf>
    <xf numFmtId="0" fontId="31" fillId="38" borderId="48" xfId="0" applyFont="1" applyFill="1" applyBorder="1" applyAlignment="1">
      <alignment horizontal="center" vertical="center"/>
    </xf>
    <xf numFmtId="0" fontId="55" fillId="20" borderId="48" xfId="0" applyFont="1" applyFill="1" applyBorder="1" applyAlignment="1">
      <alignment horizontal="center" vertical="center"/>
    </xf>
    <xf numFmtId="0" fontId="4" fillId="32" borderId="6" xfId="0" applyFont="1" applyFill="1" applyBorder="1" applyAlignment="1">
      <alignment horizontal="center" vertical="center"/>
    </xf>
    <xf numFmtId="0" fontId="31" fillId="32" borderId="40" xfId="0" applyFont="1" applyFill="1" applyBorder="1" applyAlignment="1">
      <alignment horizontal="center" vertical="center"/>
    </xf>
    <xf numFmtId="0" fontId="31" fillId="38" borderId="49" xfId="0" applyFont="1" applyFill="1" applyBorder="1" applyAlignment="1">
      <alignment horizontal="center" vertical="center"/>
    </xf>
    <xf numFmtId="0" fontId="55" fillId="0" borderId="49" xfId="0" applyFont="1" applyBorder="1" applyAlignment="1">
      <alignment horizontal="center" vertical="center"/>
    </xf>
    <xf numFmtId="0" fontId="55" fillId="20" borderId="33" xfId="0" applyFont="1" applyFill="1" applyBorder="1" applyAlignment="1">
      <alignment horizontal="center" vertical="center"/>
    </xf>
    <xf numFmtId="0" fontId="55" fillId="0" borderId="3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4" fillId="32" borderId="2" xfId="0" applyFont="1" applyFill="1" applyBorder="1" applyAlignment="1">
      <alignment horizontal="center" vertical="center"/>
    </xf>
    <xf numFmtId="0" fontId="31" fillId="32" borderId="27" xfId="0" applyFont="1" applyFill="1" applyBorder="1" applyAlignment="1">
      <alignment horizontal="center" vertical="center"/>
    </xf>
    <xf numFmtId="0" fontId="49" fillId="8" borderId="48" xfId="0" applyFont="1" applyFill="1" applyBorder="1" applyAlignment="1">
      <alignment horizontal="center" vertical="center"/>
    </xf>
    <xf numFmtId="0" fontId="46" fillId="4" borderId="48" xfId="0" applyFont="1" applyFill="1" applyBorder="1" applyAlignment="1">
      <alignment horizontal="center" vertical="center"/>
    </xf>
    <xf numFmtId="0" fontId="46" fillId="6" borderId="48" xfId="0" applyFont="1" applyFill="1" applyBorder="1" applyAlignment="1">
      <alignment horizontal="center" vertical="center"/>
    </xf>
    <xf numFmtId="0" fontId="5" fillId="41" borderId="48" xfId="0" applyFont="1" applyFill="1" applyBorder="1" applyAlignment="1">
      <alignment horizontal="center" vertical="center"/>
    </xf>
    <xf numFmtId="0" fontId="50" fillId="21" borderId="48" xfId="0" applyFont="1" applyFill="1" applyBorder="1" applyAlignment="1">
      <alignment horizontal="center" vertical="center"/>
    </xf>
    <xf numFmtId="0" fontId="48" fillId="26" borderId="48" xfId="0" applyFont="1" applyFill="1" applyBorder="1" applyAlignment="1">
      <alignment horizontal="center" vertical="center"/>
    </xf>
    <xf numFmtId="0" fontId="47" fillId="19" borderId="48" xfId="0" applyFont="1" applyFill="1" applyBorder="1" applyAlignment="1">
      <alignment horizontal="center" vertical="center"/>
    </xf>
    <xf numFmtId="0" fontId="53" fillId="0" borderId="48" xfId="0" applyFont="1" applyBorder="1" applyAlignment="1">
      <alignment horizontal="center" vertical="center"/>
    </xf>
    <xf numFmtId="0" fontId="5" fillId="23" borderId="48" xfId="0" applyFont="1" applyFill="1" applyBorder="1" applyAlignment="1">
      <alignment horizontal="center" vertical="center"/>
    </xf>
    <xf numFmtId="0" fontId="24" fillId="31" borderId="48" xfId="0" applyFont="1" applyFill="1" applyBorder="1" applyAlignment="1">
      <alignment horizontal="center" vertical="center"/>
    </xf>
    <xf numFmtId="0" fontId="5" fillId="39" borderId="48" xfId="0" applyFont="1" applyFill="1" applyBorder="1" applyAlignment="1">
      <alignment horizontal="center" vertical="center"/>
    </xf>
    <xf numFmtId="0" fontId="54" fillId="0" borderId="48" xfId="0" applyFont="1" applyBorder="1" applyAlignment="1">
      <alignment horizontal="center" vertical="center"/>
    </xf>
    <xf numFmtId="0" fontId="10" fillId="11" borderId="4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Continuous" vertical="center"/>
    </xf>
    <xf numFmtId="0" fontId="4" fillId="3" borderId="6" xfId="0" applyFont="1" applyFill="1" applyBorder="1" applyAlignment="1">
      <alignment horizontal="centerContinuous" vertical="center"/>
    </xf>
    <xf numFmtId="0" fontId="5" fillId="4" borderId="13" xfId="0" applyFont="1" applyFill="1" applyBorder="1" applyAlignment="1">
      <alignment horizontal="centerContinuous" vertical="center"/>
    </xf>
    <xf numFmtId="0" fontId="5" fillId="4" borderId="14" xfId="0" applyFont="1" applyFill="1" applyBorder="1" applyAlignment="1">
      <alignment horizontal="centerContinuous" vertical="center"/>
    </xf>
    <xf numFmtId="0" fontId="5" fillId="5" borderId="13" xfId="0" applyFont="1" applyFill="1" applyBorder="1" applyAlignment="1">
      <alignment horizontal="centerContinuous" vertical="center"/>
    </xf>
    <xf numFmtId="0" fontId="5" fillId="5" borderId="14" xfId="0" applyFont="1" applyFill="1" applyBorder="1" applyAlignment="1">
      <alignment horizontal="centerContinuous" vertical="center"/>
    </xf>
    <xf numFmtId="0" fontId="5" fillId="6" borderId="13" xfId="0" applyFont="1" applyFill="1" applyBorder="1" applyAlignment="1">
      <alignment horizontal="centerContinuous" vertical="center"/>
    </xf>
    <xf numFmtId="0" fontId="5" fillId="6" borderId="14" xfId="0" applyFont="1" applyFill="1" applyBorder="1" applyAlignment="1">
      <alignment horizontal="centerContinuous" vertical="center"/>
    </xf>
    <xf numFmtId="0" fontId="7" fillId="8" borderId="9" xfId="0" applyFont="1" applyFill="1" applyBorder="1" applyAlignment="1">
      <alignment horizontal="centerContinuous" vertical="center"/>
    </xf>
    <xf numFmtId="0" fontId="7" fillId="8" borderId="10" xfId="0" applyFont="1" applyFill="1" applyBorder="1" applyAlignment="1">
      <alignment horizontal="centerContinuous" vertical="center"/>
    </xf>
    <xf numFmtId="0" fontId="8" fillId="8" borderId="13" xfId="0" applyFont="1" applyFill="1" applyBorder="1" applyAlignment="1">
      <alignment horizontal="centerContinuous" vertical="center"/>
    </xf>
    <xf numFmtId="0" fontId="9" fillId="10" borderId="13" xfId="0" applyFont="1" applyFill="1" applyBorder="1" applyAlignment="1">
      <alignment horizontal="centerContinuous" vertical="center"/>
    </xf>
    <xf numFmtId="0" fontId="9" fillId="10" borderId="14" xfId="0" applyFont="1" applyFill="1" applyBorder="1" applyAlignment="1">
      <alignment horizontal="centerContinuous" vertical="center"/>
    </xf>
    <xf numFmtId="0" fontId="5" fillId="5" borderId="9" xfId="0" applyFont="1" applyFill="1" applyBorder="1" applyAlignment="1">
      <alignment horizontal="centerContinuous" vertical="center"/>
    </xf>
    <xf numFmtId="0" fontId="5" fillId="5" borderId="10" xfId="0" applyFont="1" applyFill="1" applyBorder="1" applyAlignment="1">
      <alignment horizontal="centerContinuous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14" fillId="0" borderId="27" xfId="0" applyFont="1" applyBorder="1" applyAlignment="1">
      <alignment horizontal="centerContinuous" vertical="center"/>
    </xf>
    <xf numFmtId="0" fontId="13" fillId="0" borderId="56" xfId="0" applyFont="1" applyBorder="1" applyAlignment="1">
      <alignment horizontal="left" vertical="center"/>
    </xf>
    <xf numFmtId="0" fontId="11" fillId="12" borderId="49" xfId="0" applyFont="1" applyFill="1" applyBorder="1" applyAlignment="1">
      <alignment horizontal="center" vertical="center"/>
    </xf>
    <xf numFmtId="0" fontId="11" fillId="12" borderId="49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47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" fillId="25" borderId="8" xfId="0" applyFont="1" applyFill="1" applyBorder="1" applyAlignment="1">
      <alignment horizontal="left" vertical="center"/>
    </xf>
    <xf numFmtId="0" fontId="46" fillId="6" borderId="33" xfId="0" applyFont="1" applyFill="1" applyBorder="1" applyAlignment="1">
      <alignment horizontal="center" vertical="center"/>
    </xf>
    <xf numFmtId="0" fontId="4" fillId="22" borderId="96" xfId="0" applyFont="1" applyFill="1" applyBorder="1" applyAlignment="1">
      <alignment horizontal="center" vertical="center"/>
    </xf>
    <xf numFmtId="0" fontId="0" fillId="0" borderId="63" xfId="0" applyBorder="1"/>
    <xf numFmtId="0" fontId="28" fillId="0" borderId="63" xfId="0" applyFont="1" applyBorder="1" applyAlignment="1">
      <alignment horizontal="center" vertical="center"/>
    </xf>
    <xf numFmtId="0" fontId="47" fillId="0" borderId="48" xfId="0" applyFont="1" applyBorder="1"/>
    <xf numFmtId="0" fontId="47" fillId="0" borderId="48" xfId="0" applyFont="1" applyBorder="1" applyAlignment="1">
      <alignment horizontal="left" vertical="center"/>
    </xf>
    <xf numFmtId="0" fontId="11" fillId="12" borderId="50" xfId="0" applyFont="1" applyFill="1" applyBorder="1" applyAlignment="1">
      <alignment horizontal="center"/>
    </xf>
    <xf numFmtId="0" fontId="11" fillId="12" borderId="55" xfId="0" applyFont="1" applyFill="1" applyBorder="1" applyAlignment="1">
      <alignment horizontal="center"/>
    </xf>
    <xf numFmtId="0" fontId="11" fillId="9" borderId="44" xfId="0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27" xfId="0" applyBorder="1" applyAlignment="1">
      <alignment horizontal="centerContinuous"/>
    </xf>
    <xf numFmtId="0" fontId="11" fillId="9" borderId="48" xfId="0" applyFont="1" applyFill="1" applyBorder="1" applyAlignment="1">
      <alignment horizontal="center"/>
    </xf>
    <xf numFmtId="0" fontId="10" fillId="11" borderId="48" xfId="0" applyFont="1" applyFill="1" applyBorder="1" applyAlignment="1">
      <alignment horizontal="center"/>
    </xf>
    <xf numFmtId="0" fontId="12" fillId="13" borderId="48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5" fillId="45" borderId="48" xfId="0" applyFont="1" applyFill="1" applyBorder="1" applyAlignment="1">
      <alignment horizontal="center"/>
    </xf>
    <xf numFmtId="0" fontId="24" fillId="31" borderId="48" xfId="0" applyFont="1" applyFill="1" applyBorder="1" applyAlignment="1">
      <alignment horizontal="center"/>
    </xf>
    <xf numFmtId="0" fontId="8" fillId="20" borderId="48" xfId="0" applyFont="1" applyFill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5" fillId="46" borderId="48" xfId="0" applyFont="1" applyFill="1" applyBorder="1" applyAlignment="1">
      <alignment horizontal="center"/>
    </xf>
    <xf numFmtId="0" fontId="31" fillId="30" borderId="48" xfId="0" applyFont="1" applyFill="1" applyBorder="1" applyAlignment="1">
      <alignment horizontal="center"/>
    </xf>
    <xf numFmtId="0" fontId="5" fillId="47" borderId="48" xfId="0" applyFont="1" applyFill="1" applyBorder="1" applyAlignment="1">
      <alignment horizontal="center"/>
    </xf>
    <xf numFmtId="0" fontId="24" fillId="42" borderId="48" xfId="0" applyFont="1" applyFill="1" applyBorder="1"/>
    <xf numFmtId="0" fontId="47" fillId="0" borderId="48" xfId="0" applyFont="1" applyBorder="1" applyAlignment="1">
      <alignment vertical="center"/>
    </xf>
    <xf numFmtId="0" fontId="45" fillId="0" borderId="12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centerContinuous"/>
    </xf>
    <xf numFmtId="0" fontId="4" fillId="3" borderId="6" xfId="0" applyFont="1" applyFill="1" applyBorder="1" applyAlignment="1">
      <alignment horizontal="centerContinuous"/>
    </xf>
    <xf numFmtId="0" fontId="5" fillId="4" borderId="13" xfId="0" applyFont="1" applyFill="1" applyBorder="1" applyAlignment="1">
      <alignment horizontal="centerContinuous"/>
    </xf>
    <xf numFmtId="0" fontId="5" fillId="4" borderId="14" xfId="0" applyFont="1" applyFill="1" applyBorder="1" applyAlignment="1">
      <alignment horizontal="centerContinuous"/>
    </xf>
    <xf numFmtId="0" fontId="5" fillId="5" borderId="13" xfId="0" applyFont="1" applyFill="1" applyBorder="1" applyAlignment="1">
      <alignment horizontal="centerContinuous"/>
    </xf>
    <xf numFmtId="0" fontId="5" fillId="5" borderId="14" xfId="0" applyFont="1" applyFill="1" applyBorder="1" applyAlignment="1">
      <alignment horizontal="centerContinuous"/>
    </xf>
    <xf numFmtId="0" fontId="5" fillId="6" borderId="13" xfId="0" applyFont="1" applyFill="1" applyBorder="1" applyAlignment="1">
      <alignment horizontal="centerContinuous"/>
    </xf>
    <xf numFmtId="0" fontId="5" fillId="6" borderId="14" xfId="0" applyFont="1" applyFill="1" applyBorder="1" applyAlignment="1">
      <alignment horizontal="centerContinuous"/>
    </xf>
    <xf numFmtId="0" fontId="7" fillId="8" borderId="9" xfId="0" applyFont="1" applyFill="1" applyBorder="1" applyAlignment="1">
      <alignment horizontal="centerContinuous"/>
    </xf>
    <xf numFmtId="0" fontId="7" fillId="8" borderId="10" xfId="0" applyFont="1" applyFill="1" applyBorder="1" applyAlignment="1">
      <alignment horizontal="centerContinuous"/>
    </xf>
    <xf numFmtId="0" fontId="8" fillId="8" borderId="13" xfId="0" applyFont="1" applyFill="1" applyBorder="1" applyAlignment="1">
      <alignment horizontal="centerContinuous"/>
    </xf>
    <xf numFmtId="0" fontId="8" fillId="8" borderId="14" xfId="0" applyFont="1" applyFill="1" applyBorder="1" applyAlignment="1">
      <alignment horizontal="centerContinuous"/>
    </xf>
    <xf numFmtId="0" fontId="9" fillId="10" borderId="13" xfId="0" applyFont="1" applyFill="1" applyBorder="1" applyAlignment="1">
      <alignment horizontal="centerContinuous"/>
    </xf>
    <xf numFmtId="0" fontId="9" fillId="10" borderId="14" xfId="0" applyFont="1" applyFill="1" applyBorder="1" applyAlignment="1">
      <alignment horizontal="centerContinuous"/>
    </xf>
    <xf numFmtId="0" fontId="5" fillId="5" borderId="9" xfId="0" applyFont="1" applyFill="1" applyBorder="1" applyAlignment="1">
      <alignment horizontal="centerContinuous"/>
    </xf>
    <xf numFmtId="0" fontId="5" fillId="5" borderId="10" xfId="0" applyFont="1" applyFill="1" applyBorder="1" applyAlignment="1">
      <alignment horizontal="centerContinuous"/>
    </xf>
    <xf numFmtId="0" fontId="13" fillId="0" borderId="56" xfId="0" applyFont="1" applyBorder="1"/>
    <xf numFmtId="0" fontId="5" fillId="45" borderId="49" xfId="0" applyFont="1" applyFill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20" borderId="33" xfId="0" applyFont="1" applyFill="1" applyBorder="1" applyAlignment="1">
      <alignment horizontal="center"/>
    </xf>
    <xf numFmtId="0" fontId="24" fillId="31" borderId="33" xfId="0" applyFont="1" applyFill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31" fillId="30" borderId="49" xfId="0" applyFont="1" applyFill="1" applyBorder="1" applyAlignment="1">
      <alignment horizontal="center"/>
    </xf>
    <xf numFmtId="0" fontId="8" fillId="20" borderId="49" xfId="0" applyFont="1" applyFill="1" applyBorder="1" applyAlignment="1">
      <alignment horizontal="center"/>
    </xf>
    <xf numFmtId="0" fontId="20" fillId="18" borderId="33" xfId="0" applyFont="1" applyFill="1" applyBorder="1" applyAlignment="1">
      <alignment horizontal="center"/>
    </xf>
    <xf numFmtId="0" fontId="24" fillId="42" borderId="49" xfId="0" applyFont="1" applyFill="1" applyBorder="1"/>
    <xf numFmtId="0" fontId="24" fillId="11" borderId="33" xfId="0" applyFont="1" applyFill="1" applyBorder="1" applyAlignment="1">
      <alignment horizontal="center"/>
    </xf>
    <xf numFmtId="0" fontId="19" fillId="0" borderId="80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27" borderId="48" xfId="0" applyFont="1" applyFill="1" applyBorder="1" applyAlignment="1">
      <alignment horizontal="center"/>
    </xf>
    <xf numFmtId="0" fontId="5" fillId="23" borderId="48" xfId="0" applyFont="1" applyFill="1" applyBorder="1" applyAlignment="1">
      <alignment horizontal="center"/>
    </xf>
    <xf numFmtId="0" fontId="5" fillId="27" borderId="48" xfId="0" applyFont="1" applyFill="1" applyBorder="1" applyAlignment="1">
      <alignment horizontal="center"/>
    </xf>
    <xf numFmtId="0" fontId="8" fillId="27" borderId="48" xfId="0" applyFont="1" applyFill="1" applyBorder="1" applyAlignment="1">
      <alignment horizontal="center"/>
    </xf>
    <xf numFmtId="0" fontId="31" fillId="24" borderId="48" xfId="0" applyFont="1" applyFill="1" applyBorder="1" applyAlignment="1">
      <alignment horizontal="center"/>
    </xf>
    <xf numFmtId="0" fontId="31" fillId="48" borderId="48" xfId="0" applyFont="1" applyFill="1" applyBorder="1" applyAlignment="1">
      <alignment horizontal="center"/>
    </xf>
    <xf numFmtId="0" fontId="5" fillId="25" borderId="48" xfId="0" applyFont="1" applyFill="1" applyBorder="1" applyAlignment="1">
      <alignment horizontal="center"/>
    </xf>
    <xf numFmtId="0" fontId="38" fillId="32" borderId="48" xfId="0" applyFont="1" applyFill="1" applyBorder="1" applyAlignment="1">
      <alignment horizontal="center" vertical="center"/>
    </xf>
    <xf numFmtId="0" fontId="24" fillId="23" borderId="48" xfId="0" applyFont="1" applyFill="1" applyBorder="1" applyAlignment="1">
      <alignment horizontal="center"/>
    </xf>
    <xf numFmtId="0" fontId="46" fillId="27" borderId="48" xfId="0" applyFont="1" applyFill="1" applyBorder="1" applyAlignment="1">
      <alignment horizontal="center" vertical="center"/>
    </xf>
    <xf numFmtId="0" fontId="31" fillId="23" borderId="48" xfId="0" applyFont="1" applyFill="1" applyBorder="1"/>
    <xf numFmtId="0" fontId="12" fillId="13" borderId="24" xfId="0" applyFont="1" applyFill="1" applyBorder="1" applyAlignment="1">
      <alignment horizontal="center"/>
    </xf>
    <xf numFmtId="0" fontId="11" fillId="9" borderId="63" xfId="0" applyFont="1" applyFill="1" applyBorder="1" applyAlignment="1">
      <alignment horizontal="center"/>
    </xf>
    <xf numFmtId="0" fontId="31" fillId="32" borderId="6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Continuous"/>
    </xf>
    <xf numFmtId="0" fontId="14" fillId="0" borderId="6" xfId="0" applyFont="1" applyBorder="1" applyAlignment="1">
      <alignment horizontal="centerContinuous"/>
    </xf>
    <xf numFmtId="0" fontId="14" fillId="0" borderId="40" xfId="0" applyFont="1" applyBorder="1" applyAlignment="1">
      <alignment horizontal="centerContinuous"/>
    </xf>
    <xf numFmtId="0" fontId="5" fillId="43" borderId="33" xfId="0" applyFont="1" applyFill="1" applyBorder="1" applyAlignment="1">
      <alignment horizontal="center"/>
    </xf>
    <xf numFmtId="0" fontId="5" fillId="45" borderId="33" xfId="0" applyFont="1" applyFill="1" applyBorder="1" applyAlignment="1">
      <alignment horizontal="center"/>
    </xf>
    <xf numFmtId="0" fontId="19" fillId="27" borderId="33" xfId="0" applyFont="1" applyFill="1" applyBorder="1" applyAlignment="1">
      <alignment horizontal="center"/>
    </xf>
    <xf numFmtId="0" fontId="5" fillId="23" borderId="33" xfId="0" applyFont="1" applyFill="1" applyBorder="1" applyAlignment="1">
      <alignment horizontal="center"/>
    </xf>
    <xf numFmtId="0" fontId="5" fillId="27" borderId="33" xfId="0" applyFont="1" applyFill="1" applyBorder="1" applyAlignment="1">
      <alignment horizontal="center"/>
    </xf>
    <xf numFmtId="0" fontId="8" fillId="27" borderId="33" xfId="0" applyFont="1" applyFill="1" applyBorder="1" applyAlignment="1">
      <alignment horizontal="center"/>
    </xf>
    <xf numFmtId="0" fontId="19" fillId="27" borderId="35" xfId="0" applyFont="1" applyFill="1" applyBorder="1" applyAlignment="1">
      <alignment horizontal="center"/>
    </xf>
    <xf numFmtId="0" fontId="5" fillId="20" borderId="33" xfId="0" applyFont="1" applyFill="1" applyBorder="1" applyAlignment="1">
      <alignment horizontal="center"/>
    </xf>
    <xf numFmtId="0" fontId="31" fillId="24" borderId="33" xfId="0" applyFont="1" applyFill="1" applyBorder="1" applyAlignment="1">
      <alignment horizontal="center"/>
    </xf>
    <xf numFmtId="0" fontId="19" fillId="27" borderId="49" xfId="0" applyFont="1" applyFill="1" applyBorder="1" applyAlignment="1">
      <alignment horizontal="center"/>
    </xf>
    <xf numFmtId="0" fontId="31" fillId="48" borderId="33" xfId="0" applyFont="1" applyFill="1" applyBorder="1" applyAlignment="1">
      <alignment horizontal="center"/>
    </xf>
    <xf numFmtId="0" fontId="31" fillId="23" borderId="49" xfId="0" applyFont="1" applyFill="1" applyBorder="1"/>
    <xf numFmtId="0" fontId="24" fillId="5" borderId="49" xfId="0" applyFont="1" applyFill="1" applyBorder="1" applyAlignment="1">
      <alignment horizontal="center"/>
    </xf>
    <xf numFmtId="0" fontId="46" fillId="25" borderId="33" xfId="0" applyFont="1" applyFill="1" applyBorder="1"/>
    <xf numFmtId="0" fontId="46" fillId="28" borderId="33" xfId="0" applyFont="1" applyFill="1" applyBorder="1" applyAlignment="1">
      <alignment horizontal="center" vertical="center"/>
    </xf>
    <xf numFmtId="0" fontId="45" fillId="0" borderId="12" xfId="0" applyFont="1" applyBorder="1" applyAlignment="1">
      <alignment vertical="center"/>
    </xf>
    <xf numFmtId="0" fontId="45" fillId="0" borderId="112" xfId="0" applyFont="1" applyBorder="1" applyAlignment="1">
      <alignment vertical="center"/>
    </xf>
    <xf numFmtId="0" fontId="47" fillId="0" borderId="99" xfId="0" applyFont="1" applyBorder="1" applyAlignment="1">
      <alignment vertical="center"/>
    </xf>
    <xf numFmtId="0" fontId="45" fillId="0" borderId="81" xfId="0" applyFont="1" applyBorder="1" applyAlignment="1">
      <alignment vertical="center"/>
    </xf>
    <xf numFmtId="0" fontId="47" fillId="0" borderId="72" xfId="0" applyFont="1" applyBorder="1" applyAlignment="1">
      <alignment vertical="center"/>
    </xf>
    <xf numFmtId="0" fontId="45" fillId="0" borderId="119" xfId="0" applyFont="1" applyBorder="1" applyAlignment="1">
      <alignment vertical="center"/>
    </xf>
    <xf numFmtId="0" fontId="47" fillId="0" borderId="116" xfId="0" applyFont="1" applyBorder="1" applyAlignment="1">
      <alignment vertical="center"/>
    </xf>
    <xf numFmtId="0" fontId="62" fillId="0" borderId="0" xfId="0" applyFont="1"/>
    <xf numFmtId="0" fontId="3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60" fillId="0" borderId="48" xfId="0" applyFont="1" applyBorder="1" applyAlignment="1">
      <alignment horizontal="center" vertical="center"/>
    </xf>
    <xf numFmtId="0" fontId="61" fillId="4" borderId="48" xfId="0" applyFont="1" applyFill="1" applyBorder="1" applyAlignment="1">
      <alignment horizontal="center" vertical="center"/>
    </xf>
    <xf numFmtId="0" fontId="64" fillId="32" borderId="48" xfId="0" applyFont="1" applyFill="1" applyBorder="1" applyAlignment="1">
      <alignment horizontal="center" vertical="center"/>
    </xf>
    <xf numFmtId="0" fontId="52" fillId="0" borderId="48" xfId="0" applyFont="1" applyBorder="1" applyAlignment="1">
      <alignment horizontal="center" vertical="center"/>
    </xf>
    <xf numFmtId="0" fontId="38" fillId="19" borderId="48" xfId="0" applyFont="1" applyFill="1" applyBorder="1" applyAlignment="1">
      <alignment horizontal="center"/>
    </xf>
    <xf numFmtId="0" fontId="38" fillId="11" borderId="48" xfId="0" applyFont="1" applyFill="1" applyBorder="1" applyAlignment="1">
      <alignment horizontal="center"/>
    </xf>
    <xf numFmtId="0" fontId="59" fillId="22" borderId="48" xfId="0" applyFont="1" applyFill="1" applyBorder="1" applyAlignment="1">
      <alignment horizontal="center"/>
    </xf>
    <xf numFmtId="0" fontId="59" fillId="22" borderId="48" xfId="0" applyFont="1" applyFill="1" applyBorder="1" applyAlignment="1">
      <alignment horizontal="center" vertical="center"/>
    </xf>
    <xf numFmtId="0" fontId="18" fillId="48" borderId="48" xfId="0" applyFont="1" applyFill="1" applyBorder="1" applyAlignment="1">
      <alignment horizontal="center"/>
    </xf>
    <xf numFmtId="0" fontId="25" fillId="19" borderId="48" xfId="0" applyFont="1" applyFill="1" applyBorder="1" applyAlignment="1">
      <alignment horizontal="center"/>
    </xf>
    <xf numFmtId="0" fontId="25" fillId="18" borderId="48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Continuous"/>
    </xf>
    <xf numFmtId="0" fontId="31" fillId="49" borderId="13" xfId="0" applyFont="1" applyFill="1" applyBorder="1" applyAlignment="1">
      <alignment horizontal="centerContinuous"/>
    </xf>
    <xf numFmtId="0" fontId="2" fillId="0" borderId="22" xfId="0" applyFont="1" applyBorder="1" applyAlignment="1">
      <alignment vertical="center"/>
    </xf>
    <xf numFmtId="0" fontId="2" fillId="0" borderId="22" xfId="0" applyFont="1" applyBorder="1" applyAlignment="1">
      <alignment horizontal="center"/>
    </xf>
    <xf numFmtId="0" fontId="51" fillId="6" borderId="33" xfId="0" applyFont="1" applyFill="1" applyBorder="1" applyAlignment="1">
      <alignment horizontal="center" vertical="center"/>
    </xf>
    <xf numFmtId="0" fontId="60" fillId="0" borderId="33" xfId="0" applyFont="1" applyBorder="1" applyAlignment="1">
      <alignment horizontal="center" vertical="center"/>
    </xf>
    <xf numFmtId="0" fontId="51" fillId="24" borderId="33" xfId="0" applyFont="1" applyFill="1" applyBorder="1" applyAlignment="1">
      <alignment horizontal="center" vertical="center"/>
    </xf>
    <xf numFmtId="0" fontId="20" fillId="32" borderId="33" xfId="0" applyFont="1" applyFill="1" applyBorder="1" applyAlignment="1">
      <alignment horizontal="center" vertical="center"/>
    </xf>
    <xf numFmtId="0" fontId="43" fillId="0" borderId="35" xfId="0" applyFont="1" applyBorder="1" applyAlignment="1">
      <alignment horizontal="center" vertical="center"/>
    </xf>
    <xf numFmtId="0" fontId="31" fillId="30" borderId="49" xfId="0" applyFont="1" applyFill="1" applyBorder="1" applyAlignment="1">
      <alignment horizontal="center" vertical="center"/>
    </xf>
    <xf numFmtId="0" fontId="59" fillId="22" borderId="49" xfId="0" applyFont="1" applyFill="1" applyBorder="1" applyAlignment="1">
      <alignment horizontal="center"/>
    </xf>
    <xf numFmtId="0" fontId="59" fillId="22" borderId="49" xfId="0" applyFont="1" applyFill="1" applyBorder="1" applyAlignment="1">
      <alignment horizontal="center" vertical="center"/>
    </xf>
    <xf numFmtId="0" fontId="38" fillId="19" borderId="33" xfId="0" applyFont="1" applyFill="1" applyBorder="1" applyAlignment="1">
      <alignment horizontal="center"/>
    </xf>
    <xf numFmtId="0" fontId="25" fillId="19" borderId="49" xfId="0" applyFont="1" applyFill="1" applyBorder="1" applyAlignment="1">
      <alignment horizontal="center"/>
    </xf>
    <xf numFmtId="0" fontId="38" fillId="32" borderId="33" xfId="0" applyFont="1" applyFill="1" applyBorder="1" applyAlignment="1">
      <alignment horizontal="center"/>
    </xf>
    <xf numFmtId="0" fontId="18" fillId="49" borderId="35" xfId="0" applyFont="1" applyFill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14" xfId="0" applyFont="1" applyBorder="1" applyAlignment="1">
      <alignment horizontal="center"/>
    </xf>
    <xf numFmtId="0" fontId="17" fillId="0" borderId="93" xfId="0" applyFont="1" applyBorder="1" applyAlignment="1">
      <alignment horizontal="center"/>
    </xf>
    <xf numFmtId="0" fontId="17" fillId="0" borderId="115" xfId="0" applyFont="1" applyBorder="1" applyAlignment="1">
      <alignment horizontal="center"/>
    </xf>
    <xf numFmtId="0" fontId="17" fillId="0" borderId="102" xfId="0" applyFont="1" applyBorder="1" applyAlignment="1">
      <alignment horizontal="center"/>
    </xf>
    <xf numFmtId="0" fontId="17" fillId="0" borderId="103" xfId="0" applyFont="1" applyBorder="1" applyAlignment="1">
      <alignment horizontal="center"/>
    </xf>
    <xf numFmtId="0" fontId="17" fillId="0" borderId="97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17" fillId="0" borderId="104" xfId="0" applyFont="1" applyBorder="1" applyAlignment="1">
      <alignment horizontal="center"/>
    </xf>
    <xf numFmtId="0" fontId="5" fillId="48" borderId="48" xfId="0" applyFont="1" applyFill="1" applyBorder="1" applyAlignment="1">
      <alignment horizontal="center"/>
    </xf>
    <xf numFmtId="0" fontId="13" fillId="0" borderId="51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0" fillId="0" borderId="1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0" fillId="0" borderId="27" xfId="0" applyBorder="1" applyAlignment="1">
      <alignment horizontal="centerContinuous" vertical="center"/>
    </xf>
    <xf numFmtId="0" fontId="8" fillId="23" borderId="48" xfId="0" applyFont="1" applyFill="1" applyBorder="1" applyAlignment="1">
      <alignment horizontal="center" vertical="center"/>
    </xf>
    <xf numFmtId="0" fontId="63" fillId="0" borderId="48" xfId="0" applyFont="1" applyBorder="1" applyAlignment="1">
      <alignment horizontal="center" vertical="center"/>
    </xf>
    <xf numFmtId="0" fontId="38" fillId="53" borderId="48" xfId="0" applyFont="1" applyFill="1" applyBorder="1" applyAlignment="1">
      <alignment horizontal="center" vertical="center"/>
    </xf>
    <xf numFmtId="0" fontId="8" fillId="20" borderId="48" xfId="0" applyFont="1" applyFill="1" applyBorder="1" applyAlignment="1">
      <alignment horizontal="center" vertical="center"/>
    </xf>
    <xf numFmtId="0" fontId="5" fillId="19" borderId="48" xfId="0" applyFont="1" applyFill="1" applyBorder="1" applyAlignment="1">
      <alignment horizontal="center" vertical="center"/>
    </xf>
    <xf numFmtId="0" fontId="5" fillId="24" borderId="48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left"/>
    </xf>
    <xf numFmtId="0" fontId="31" fillId="0" borderId="4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4" fillId="51" borderId="33" xfId="0" applyFont="1" applyFill="1" applyBorder="1" applyAlignment="1">
      <alignment horizontal="center" vertical="center"/>
    </xf>
    <xf numFmtId="0" fontId="31" fillId="23" borderId="33" xfId="0" applyFont="1" applyFill="1" applyBorder="1"/>
    <xf numFmtId="0" fontId="31" fillId="23" borderId="35" xfId="0" applyFont="1" applyFill="1" applyBorder="1"/>
    <xf numFmtId="0" fontId="4" fillId="22" borderId="33" xfId="0" applyFont="1" applyFill="1" applyBorder="1" applyAlignment="1">
      <alignment horizontal="center" vertical="center"/>
    </xf>
    <xf numFmtId="0" fontId="38" fillId="53" borderId="33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46" fillId="0" borderId="18" xfId="0" applyFont="1" applyBorder="1"/>
    <xf numFmtId="0" fontId="5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wrapText="1"/>
    </xf>
    <xf numFmtId="0" fontId="1" fillId="9" borderId="27" xfId="0" applyFont="1" applyFill="1" applyBorder="1" applyAlignment="1">
      <alignment wrapText="1"/>
    </xf>
    <xf numFmtId="0" fontId="0" fillId="0" borderId="48" xfId="0" applyBorder="1"/>
    <xf numFmtId="0" fontId="5" fillId="0" borderId="2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31" fillId="54" borderId="48" xfId="0" applyFont="1" applyFill="1" applyBorder="1" applyAlignment="1">
      <alignment horizontal="center" vertical="center"/>
    </xf>
    <xf numFmtId="0" fontId="13" fillId="0" borderId="56" xfId="0" applyFont="1" applyBorder="1" applyAlignment="1">
      <alignment vertical="center"/>
    </xf>
    <xf numFmtId="0" fontId="11" fillId="9" borderId="49" xfId="0" applyFont="1" applyFill="1" applyBorder="1" applyAlignment="1">
      <alignment horizontal="center"/>
    </xf>
    <xf numFmtId="0" fontId="31" fillId="0" borderId="49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46" fillId="0" borderId="22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1" fillId="54" borderId="33" xfId="0" applyFont="1" applyFill="1" applyBorder="1" applyAlignment="1">
      <alignment horizontal="center" vertical="center"/>
    </xf>
    <xf numFmtId="0" fontId="5" fillId="24" borderId="3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Continuous"/>
    </xf>
    <xf numFmtId="0" fontId="31" fillId="49" borderId="14" xfId="0" applyFont="1" applyFill="1" applyBorder="1" applyAlignment="1">
      <alignment horizontal="centerContinuous"/>
    </xf>
    <xf numFmtId="0" fontId="38" fillId="6" borderId="33" xfId="0" applyFont="1" applyFill="1" applyBorder="1" applyAlignment="1">
      <alignment horizontal="center"/>
    </xf>
    <xf numFmtId="0" fontId="31" fillId="32" borderId="2" xfId="0" applyFont="1" applyFill="1" applyBorder="1" applyAlignment="1">
      <alignment horizontal="center" vertical="center"/>
    </xf>
    <xf numFmtId="0" fontId="57" fillId="35" borderId="48" xfId="0" applyFont="1" applyFill="1" applyBorder="1" applyAlignment="1">
      <alignment horizontal="center"/>
    </xf>
    <xf numFmtId="0" fontId="31" fillId="49" borderId="48" xfId="0" applyFont="1" applyFill="1" applyBorder="1" applyAlignment="1">
      <alignment horizontal="centerContinuous"/>
    </xf>
    <xf numFmtId="0" fontId="5" fillId="6" borderId="48" xfId="0" applyFont="1" applyFill="1" applyBorder="1" applyAlignment="1">
      <alignment horizontal="centerContinuous"/>
    </xf>
    <xf numFmtId="0" fontId="5" fillId="4" borderId="4" xfId="0" applyFont="1" applyFill="1" applyBorder="1" applyAlignment="1">
      <alignment horizontal="centerContinuous"/>
    </xf>
    <xf numFmtId="0" fontId="5" fillId="4" borderId="28" xfId="0" applyFont="1" applyFill="1" applyBorder="1" applyAlignment="1">
      <alignment horizontal="centerContinuous"/>
    </xf>
    <xf numFmtId="0" fontId="31" fillId="49" borderId="12" xfId="0" applyFont="1" applyFill="1" applyBorder="1" applyAlignment="1">
      <alignment horizontal="centerContinuous"/>
    </xf>
    <xf numFmtId="0" fontId="5" fillId="6" borderId="12" xfId="0" applyFont="1" applyFill="1" applyBorder="1" applyAlignment="1">
      <alignment horizontal="centerContinuous"/>
    </xf>
    <xf numFmtId="0" fontId="7" fillId="8" borderId="8" xfId="0" applyFont="1" applyFill="1" applyBorder="1" applyAlignment="1">
      <alignment horizontal="centerContinuous"/>
    </xf>
    <xf numFmtId="0" fontId="7" fillId="8" borderId="33" xfId="0" applyFont="1" applyFill="1" applyBorder="1" applyAlignment="1">
      <alignment horizontal="centerContinuous"/>
    </xf>
    <xf numFmtId="0" fontId="4" fillId="3" borderId="4" xfId="0" applyFont="1" applyFill="1" applyBorder="1" applyAlignment="1">
      <alignment horizontal="centerContinuous"/>
    </xf>
    <xf numFmtId="0" fontId="4" fillId="3" borderId="28" xfId="0" applyFont="1" applyFill="1" applyBorder="1" applyAlignment="1">
      <alignment horizontal="centerContinuous"/>
    </xf>
    <xf numFmtId="0" fontId="5" fillId="5" borderId="8" xfId="0" applyFont="1" applyFill="1" applyBorder="1" applyAlignment="1">
      <alignment horizontal="centerContinuous"/>
    </xf>
    <xf numFmtId="0" fontId="5" fillId="5" borderId="33" xfId="0" applyFont="1" applyFill="1" applyBorder="1" applyAlignment="1">
      <alignment horizontal="centerContinuous"/>
    </xf>
    <xf numFmtId="0" fontId="24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47" fillId="0" borderId="51" xfId="0" applyFont="1" applyBorder="1" applyAlignment="1">
      <alignment horizontal="left" vertical="center"/>
    </xf>
    <xf numFmtId="0" fontId="46" fillId="0" borderId="51" xfId="0" applyFont="1" applyBorder="1" applyAlignment="1">
      <alignment horizontal="left" vertical="center"/>
    </xf>
    <xf numFmtId="0" fontId="42" fillId="0" borderId="48" xfId="0" applyFont="1" applyBorder="1" applyAlignment="1">
      <alignment horizontal="center" vertical="center"/>
    </xf>
    <xf numFmtId="0" fontId="42" fillId="0" borderId="49" xfId="0" applyFont="1" applyBorder="1" applyAlignment="1">
      <alignment horizontal="center" vertical="center"/>
    </xf>
    <xf numFmtId="0" fontId="57" fillId="35" borderId="48" xfId="0" applyFont="1" applyFill="1" applyBorder="1" applyAlignment="1">
      <alignment horizontal="center" vertical="center"/>
    </xf>
    <xf numFmtId="0" fontId="5" fillId="42" borderId="33" xfId="0" applyFont="1" applyFill="1" applyBorder="1" applyAlignment="1">
      <alignment vertical="center"/>
    </xf>
    <xf numFmtId="0" fontId="5" fillId="42" borderId="35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1" fillId="49" borderId="4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Continuous" vertical="center"/>
    </xf>
    <xf numFmtId="0" fontId="30" fillId="0" borderId="0" xfId="0" applyFont="1" applyAlignment="1">
      <alignment vertical="center"/>
    </xf>
    <xf numFmtId="0" fontId="69" fillId="2" borderId="1" xfId="0" applyFont="1" applyFill="1" applyBorder="1" applyAlignment="1">
      <alignment horizontal="left" vertical="center"/>
    </xf>
    <xf numFmtId="0" fontId="13" fillId="0" borderId="51" xfId="0" applyFont="1" applyBorder="1" applyAlignment="1">
      <alignment vertical="center"/>
    </xf>
    <xf numFmtId="0" fontId="1" fillId="9" borderId="1" xfId="0" applyFont="1" applyFill="1" applyBorder="1" applyAlignment="1">
      <alignment horizontal="left" vertical="center" wrapText="1"/>
    </xf>
    <xf numFmtId="0" fontId="20" fillId="11" borderId="48" xfId="0" applyFont="1" applyFill="1" applyBorder="1" applyAlignment="1">
      <alignment horizontal="center"/>
    </xf>
    <xf numFmtId="0" fontId="1" fillId="9" borderId="5" xfId="0" applyFont="1" applyFill="1" applyBorder="1"/>
    <xf numFmtId="0" fontId="1" fillId="9" borderId="6" xfId="0" applyFont="1" applyFill="1" applyBorder="1"/>
    <xf numFmtId="0" fontId="1" fillId="9" borderId="6" xfId="0" applyFont="1" applyFill="1" applyBorder="1" applyAlignment="1">
      <alignment vertical="center"/>
    </xf>
    <xf numFmtId="0" fontId="1" fillId="9" borderId="40" xfId="0" applyFont="1" applyFill="1" applyBorder="1" applyAlignment="1">
      <alignment vertical="center"/>
    </xf>
    <xf numFmtId="0" fontId="12" fillId="13" borderId="48" xfId="0" applyFont="1" applyFill="1" applyBorder="1" applyAlignment="1">
      <alignment horizontal="center" vertical="center"/>
    </xf>
    <xf numFmtId="0" fontId="31" fillId="12" borderId="48" xfId="0" applyFont="1" applyFill="1" applyBorder="1" applyAlignment="1">
      <alignment horizontal="center" vertical="center"/>
    </xf>
    <xf numFmtId="0" fontId="31" fillId="9" borderId="48" xfId="0" applyFont="1" applyFill="1" applyBorder="1" applyAlignment="1">
      <alignment horizontal="center" vertical="center"/>
    </xf>
    <xf numFmtId="0" fontId="20" fillId="13" borderId="48" xfId="0" applyFont="1" applyFill="1" applyBorder="1" applyAlignment="1">
      <alignment horizontal="center" vertical="center"/>
    </xf>
    <xf numFmtId="0" fontId="24" fillId="11" borderId="48" xfId="0" applyFont="1" applyFill="1" applyBorder="1" applyAlignment="1">
      <alignment horizontal="center" vertical="center"/>
    </xf>
    <xf numFmtId="0" fontId="31" fillId="12" borderId="49" xfId="0" applyFont="1" applyFill="1" applyBorder="1" applyAlignment="1">
      <alignment horizontal="center" vertical="center"/>
    </xf>
    <xf numFmtId="0" fontId="47" fillId="0" borderId="33" xfId="0" applyFont="1" applyBorder="1" applyAlignment="1">
      <alignment horizontal="left" vertical="center"/>
    </xf>
    <xf numFmtId="0" fontId="45" fillId="0" borderId="8" xfId="0" applyFont="1" applyBorder="1" applyAlignment="1">
      <alignment horizontal="left" vertical="center"/>
    </xf>
    <xf numFmtId="0" fontId="70" fillId="0" borderId="0" xfId="0" applyFont="1" applyAlignment="1">
      <alignment horizontal="center" vertical="center"/>
    </xf>
    <xf numFmtId="0" fontId="29" fillId="55" borderId="80" xfId="0" applyFont="1" applyFill="1" applyBorder="1" applyAlignment="1">
      <alignment horizontal="center" vertical="center"/>
    </xf>
    <xf numFmtId="0" fontId="29" fillId="55" borderId="81" xfId="0" applyFont="1" applyFill="1" applyBorder="1" applyAlignment="1">
      <alignment horizontal="center" vertical="center"/>
    </xf>
    <xf numFmtId="0" fontId="29" fillId="55" borderId="83" xfId="0" applyFont="1" applyFill="1" applyBorder="1" applyAlignment="1">
      <alignment horizontal="center" vertical="center"/>
    </xf>
    <xf numFmtId="0" fontId="5" fillId="55" borderId="83" xfId="0" applyFont="1" applyFill="1" applyBorder="1" applyAlignment="1">
      <alignment horizontal="center" vertical="center"/>
    </xf>
    <xf numFmtId="0" fontId="17" fillId="55" borderId="12" xfId="0" applyFont="1" applyFill="1" applyBorder="1" applyAlignment="1">
      <alignment horizontal="center" vertical="center"/>
    </xf>
    <xf numFmtId="0" fontId="17" fillId="55" borderId="12" xfId="0" applyFont="1" applyFill="1" applyBorder="1" applyAlignment="1">
      <alignment horizontal="center"/>
    </xf>
    <xf numFmtId="0" fontId="17" fillId="55" borderId="24" xfId="0" applyFont="1" applyFill="1" applyBorder="1" applyAlignment="1">
      <alignment horizontal="center"/>
    </xf>
    <xf numFmtId="0" fontId="46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Continuous" vertical="center"/>
    </xf>
    <xf numFmtId="0" fontId="5" fillId="4" borderId="6" xfId="0" applyFont="1" applyFill="1" applyBorder="1" applyAlignment="1">
      <alignment horizontal="centerContinuous" vertical="center"/>
    </xf>
    <xf numFmtId="0" fontId="31" fillId="49" borderId="13" xfId="0" applyFont="1" applyFill="1" applyBorder="1" applyAlignment="1">
      <alignment horizontal="centerContinuous" vertical="center"/>
    </xf>
    <xf numFmtId="0" fontId="31" fillId="49" borderId="14" xfId="0" applyFont="1" applyFill="1" applyBorder="1" applyAlignment="1">
      <alignment horizontal="centerContinuous" vertical="center"/>
    </xf>
    <xf numFmtId="0" fontId="14" fillId="0" borderId="29" xfId="0" applyFont="1" applyBorder="1" applyAlignment="1">
      <alignment horizontal="centerContinuous" vertical="center"/>
    </xf>
    <xf numFmtId="0" fontId="14" fillId="0" borderId="6" xfId="0" applyFont="1" applyBorder="1" applyAlignment="1">
      <alignment horizontal="centerContinuous" vertical="center" wrapText="1"/>
    </xf>
    <xf numFmtId="0" fontId="14" fillId="0" borderId="40" xfId="0" applyFont="1" applyBorder="1" applyAlignment="1">
      <alignment horizontal="centerContinuous" vertical="center" wrapText="1"/>
    </xf>
    <xf numFmtId="0" fontId="45" fillId="0" borderId="8" xfId="0" applyFont="1" applyBorder="1" applyAlignment="1">
      <alignment vertical="center"/>
    </xf>
    <xf numFmtId="0" fontId="3" fillId="2" borderId="107" xfId="0" applyFont="1" applyFill="1" applyBorder="1"/>
    <xf numFmtId="0" fontId="3" fillId="2" borderId="1" xfId="0" applyFont="1" applyFill="1" applyBorder="1"/>
    <xf numFmtId="0" fontId="13" fillId="0" borderId="57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24" fillId="32" borderId="50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2" borderId="28" xfId="0" applyFont="1" applyFill="1" applyBorder="1" applyAlignment="1">
      <alignment horizontal="center" vertical="center"/>
    </xf>
    <xf numFmtId="0" fontId="11" fillId="12" borderId="32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12" borderId="33" xfId="0" applyFont="1" applyFill="1" applyBorder="1" applyAlignment="1">
      <alignment horizontal="center" vertical="center"/>
    </xf>
    <xf numFmtId="0" fontId="11" fillId="12" borderId="29" xfId="0" applyFont="1" applyFill="1" applyBorder="1" applyAlignment="1">
      <alignment horizontal="center" vertical="center"/>
    </xf>
    <xf numFmtId="0" fontId="11" fillId="12" borderId="34" xfId="0" applyFont="1" applyFill="1" applyBorder="1" applyAlignment="1">
      <alignment horizontal="center" vertical="center"/>
    </xf>
    <xf numFmtId="0" fontId="24" fillId="32" borderId="55" xfId="0" applyFont="1" applyFill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20" fillId="18" borderId="51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24" fillId="32" borderId="26" xfId="0" applyFont="1" applyFill="1" applyBorder="1" applyAlignment="1">
      <alignment horizontal="center" vertical="center"/>
    </xf>
    <xf numFmtId="0" fontId="24" fillId="19" borderId="1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35" xfId="0" applyFont="1" applyFill="1" applyBorder="1" applyAlignment="1">
      <alignment horizontal="center" vertical="center"/>
    </xf>
    <xf numFmtId="0" fontId="24" fillId="32" borderId="24" xfId="0" applyFont="1" applyFill="1" applyBorder="1" applyAlignment="1">
      <alignment horizontal="center" vertical="center"/>
    </xf>
    <xf numFmtId="0" fontId="24" fillId="32" borderId="52" xfId="0" applyFont="1" applyFill="1" applyBorder="1" applyAlignment="1">
      <alignment horizontal="center" vertical="center"/>
    </xf>
    <xf numFmtId="0" fontId="24" fillId="19" borderId="12" xfId="0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6" xfId="0" applyBorder="1" applyAlignment="1">
      <alignment horizontal="centerContinuous" vertical="center"/>
    </xf>
    <xf numFmtId="0" fontId="0" fillId="0" borderId="40" xfId="0" applyBorder="1" applyAlignment="1">
      <alignment horizontal="centerContinuous" vertical="center"/>
    </xf>
    <xf numFmtId="0" fontId="45" fillId="0" borderId="12" xfId="0" applyFont="1" applyBorder="1"/>
    <xf numFmtId="0" fontId="2" fillId="0" borderId="12" xfId="0" applyFont="1" applyBorder="1"/>
    <xf numFmtId="0" fontId="2" fillId="0" borderId="8" xfId="0" applyFont="1" applyBorder="1"/>
    <xf numFmtId="0" fontId="71" fillId="0" borderId="12" xfId="0" applyFont="1" applyBorder="1" applyAlignment="1">
      <alignment horizontal="left" vertical="center"/>
    </xf>
    <xf numFmtId="0" fontId="20" fillId="19" borderId="35" xfId="0" applyFont="1" applyFill="1" applyBorder="1" applyAlignment="1">
      <alignment horizontal="center"/>
    </xf>
    <xf numFmtId="0" fontId="72" fillId="0" borderId="0" xfId="0" applyFont="1" applyAlignment="1">
      <alignment horizontal="center" vertical="center"/>
    </xf>
    <xf numFmtId="0" fontId="5" fillId="6" borderId="51" xfId="0" applyFont="1" applyFill="1" applyBorder="1" applyAlignment="1">
      <alignment horizontal="center" vertical="center"/>
    </xf>
    <xf numFmtId="0" fontId="4" fillId="22" borderId="51" xfId="0" applyFont="1" applyFill="1" applyBorder="1" applyAlignment="1">
      <alignment horizontal="center" vertical="center"/>
    </xf>
    <xf numFmtId="0" fontId="31" fillId="30" borderId="15" xfId="0" applyFont="1" applyFill="1" applyBorder="1" applyAlignment="1">
      <alignment horizontal="center" vertical="center"/>
    </xf>
    <xf numFmtId="0" fontId="4" fillId="22" borderId="15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34" fillId="50" borderId="72" xfId="0" applyFont="1" applyFill="1" applyBorder="1" applyAlignment="1">
      <alignment horizontal="center" vertical="center"/>
    </xf>
    <xf numFmtId="0" fontId="42" fillId="0" borderId="72" xfId="0" applyFont="1" applyBorder="1" applyAlignment="1">
      <alignment horizontal="center" vertical="center"/>
    </xf>
    <xf numFmtId="0" fontId="31" fillId="56" borderId="72" xfId="0" applyFont="1" applyFill="1" applyBorder="1" applyAlignment="1">
      <alignment horizontal="center" vertical="center"/>
    </xf>
    <xf numFmtId="0" fontId="24" fillId="0" borderId="12" xfId="0" applyFont="1" applyBorder="1"/>
    <xf numFmtId="0" fontId="5" fillId="0" borderId="12" xfId="0" applyFont="1" applyBorder="1"/>
    <xf numFmtId="0" fontId="5" fillId="0" borderId="8" xfId="0" applyFont="1" applyBorder="1"/>
    <xf numFmtId="0" fontId="56" fillId="0" borderId="12" xfId="0" applyFont="1" applyBorder="1"/>
    <xf numFmtId="0" fontId="1" fillId="9" borderId="25" xfId="0" applyFont="1" applyFill="1" applyBorder="1" applyAlignment="1">
      <alignment vertical="center" wrapText="1"/>
    </xf>
    <xf numFmtId="0" fontId="46" fillId="0" borderId="34" xfId="0" applyFont="1" applyBorder="1" applyAlignment="1">
      <alignment horizontal="left" vertical="center"/>
    </xf>
    <xf numFmtId="0" fontId="20" fillId="23" borderId="48" xfId="0" applyFont="1" applyFill="1" applyBorder="1" applyAlignment="1">
      <alignment horizontal="center" vertical="center"/>
    </xf>
    <xf numFmtId="0" fontId="8" fillId="8" borderId="51" xfId="0" applyFont="1" applyFill="1" applyBorder="1" applyAlignment="1">
      <alignment horizontal="center" vertical="center"/>
    </xf>
    <xf numFmtId="0" fontId="24" fillId="19" borderId="51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4" fillId="22" borderId="12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5" fillId="6" borderId="55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 wrapText="1"/>
    </xf>
    <xf numFmtId="0" fontId="19" fillId="0" borderId="52" xfId="0" applyFont="1" applyBorder="1" applyAlignment="1">
      <alignment horizontal="center" vertical="center"/>
    </xf>
    <xf numFmtId="0" fontId="6" fillId="7" borderId="51" xfId="0" applyFont="1" applyFill="1" applyBorder="1" applyAlignment="1">
      <alignment horizontal="center" vertical="center"/>
    </xf>
    <xf numFmtId="0" fontId="31" fillId="49" borderId="15" xfId="0" applyFont="1" applyFill="1" applyBorder="1" applyAlignment="1">
      <alignment horizontal="center" vertical="center"/>
    </xf>
    <xf numFmtId="0" fontId="31" fillId="49" borderId="12" xfId="0" applyFont="1" applyFill="1" applyBorder="1" applyAlignment="1">
      <alignment horizontal="center" vertical="center"/>
    </xf>
    <xf numFmtId="0" fontId="31" fillId="49" borderId="34" xfId="0" applyFont="1" applyFill="1" applyBorder="1" applyAlignment="1">
      <alignment horizontal="center" vertical="center"/>
    </xf>
    <xf numFmtId="0" fontId="31" fillId="49" borderId="51" xfId="0" applyFont="1" applyFill="1" applyBorder="1" applyAlignment="1">
      <alignment horizontal="center" vertical="center"/>
    </xf>
    <xf numFmtId="0" fontId="20" fillId="18" borderId="15" xfId="0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1" fillId="9" borderId="55" xfId="0" applyFont="1" applyFill="1" applyBorder="1" applyAlignment="1">
      <alignment vertical="center" wrapText="1"/>
    </xf>
    <xf numFmtId="0" fontId="1" fillId="9" borderId="26" xfId="0" applyFont="1" applyFill="1" applyBorder="1" applyAlignment="1">
      <alignment vertical="center" wrapText="1"/>
    </xf>
    <xf numFmtId="0" fontId="8" fillId="8" borderId="65" xfId="0" applyFont="1" applyFill="1" applyBorder="1" applyAlignment="1">
      <alignment horizontal="center" vertical="center"/>
    </xf>
    <xf numFmtId="0" fontId="8" fillId="8" borderId="79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6" borderId="136" xfId="0" applyFont="1" applyFill="1" applyBorder="1" applyAlignment="1">
      <alignment horizontal="center" vertical="center"/>
    </xf>
    <xf numFmtId="0" fontId="5" fillId="6" borderId="79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4" borderId="134" xfId="0" applyFont="1" applyFill="1" applyBorder="1" applyAlignment="1">
      <alignment horizontal="center" vertical="center"/>
    </xf>
    <xf numFmtId="0" fontId="5" fillId="4" borderId="135" xfId="0" applyFont="1" applyFill="1" applyBorder="1" applyAlignment="1">
      <alignment horizontal="center" vertical="center"/>
    </xf>
    <xf numFmtId="0" fontId="24" fillId="19" borderId="136" xfId="0" applyFont="1" applyFill="1" applyBorder="1" applyAlignment="1">
      <alignment horizontal="center" vertical="center"/>
    </xf>
    <xf numFmtId="0" fontId="24" fillId="19" borderId="79" xfId="0" applyFont="1" applyFill="1" applyBorder="1" applyAlignment="1">
      <alignment horizontal="center" vertical="center"/>
    </xf>
    <xf numFmtId="0" fontId="5" fillId="6" borderId="67" xfId="0" applyFont="1" applyFill="1" applyBorder="1" applyAlignment="1">
      <alignment horizontal="center" vertical="center"/>
    </xf>
    <xf numFmtId="0" fontId="5" fillId="6" borderId="134" xfId="0" applyFont="1" applyFill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4" borderId="77" xfId="0" applyFont="1" applyFill="1" applyBorder="1" applyAlignment="1">
      <alignment horizontal="center" vertical="center"/>
    </xf>
    <xf numFmtId="0" fontId="5" fillId="4" borderId="137" xfId="0" applyFont="1" applyFill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6" borderId="137" xfId="0" applyFont="1" applyFill="1" applyBorder="1" applyAlignment="1">
      <alignment horizontal="center" vertical="center"/>
    </xf>
    <xf numFmtId="0" fontId="5" fillId="6" borderId="77" xfId="0" applyFont="1" applyFill="1" applyBorder="1" applyAlignment="1">
      <alignment horizontal="center" vertical="center"/>
    </xf>
    <xf numFmtId="0" fontId="5" fillId="0" borderId="137" xfId="0" applyFont="1" applyBorder="1" applyAlignment="1">
      <alignment horizontal="center" vertical="center"/>
    </xf>
    <xf numFmtId="0" fontId="24" fillId="19" borderId="77" xfId="0" applyFont="1" applyFill="1" applyBorder="1" applyAlignment="1">
      <alignment horizontal="center" vertical="center"/>
    </xf>
    <xf numFmtId="0" fontId="8" fillId="8" borderId="77" xfId="0" applyFont="1" applyFill="1" applyBorder="1" applyAlignment="1">
      <alignment horizontal="center" vertical="center"/>
    </xf>
    <xf numFmtId="0" fontId="8" fillId="8" borderId="137" xfId="0" applyFont="1" applyFill="1" applyBorder="1" applyAlignment="1">
      <alignment horizontal="center" vertical="center"/>
    </xf>
    <xf numFmtId="0" fontId="4" fillId="22" borderId="77" xfId="0" applyFont="1" applyFill="1" applyBorder="1" applyAlignment="1">
      <alignment horizontal="center" vertical="center"/>
    </xf>
    <xf numFmtId="0" fontId="4" fillId="22" borderId="137" xfId="0" applyFont="1" applyFill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138" xfId="0" applyFont="1" applyBorder="1" applyAlignment="1">
      <alignment horizontal="center" vertical="center"/>
    </xf>
    <xf numFmtId="0" fontId="24" fillId="19" borderId="138" xfId="0" applyFont="1" applyFill="1" applyBorder="1" applyAlignment="1">
      <alignment horizontal="center" vertical="center"/>
    </xf>
    <xf numFmtId="0" fontId="5" fillId="0" borderId="139" xfId="0" applyFont="1" applyBorder="1" applyAlignment="1">
      <alignment horizontal="center" vertical="center"/>
    </xf>
    <xf numFmtId="0" fontId="5" fillId="0" borderId="140" xfId="0" applyFont="1" applyBorder="1" applyAlignment="1">
      <alignment horizontal="center" vertical="center"/>
    </xf>
    <xf numFmtId="0" fontId="5" fillId="4" borderId="138" xfId="0" applyFont="1" applyFill="1" applyBorder="1" applyAlignment="1">
      <alignment horizontal="center" vertical="center"/>
    </xf>
    <xf numFmtId="0" fontId="5" fillId="4" borderId="141" xfId="0" applyFont="1" applyFill="1" applyBorder="1" applyAlignment="1">
      <alignment horizontal="center" vertical="center"/>
    </xf>
    <xf numFmtId="0" fontId="5" fillId="0" borderId="142" xfId="0" applyFont="1" applyBorder="1" applyAlignment="1">
      <alignment horizontal="center" vertical="center"/>
    </xf>
    <xf numFmtId="0" fontId="8" fillId="8" borderId="140" xfId="0" applyFont="1" applyFill="1" applyBorder="1" applyAlignment="1">
      <alignment horizontal="center" vertical="center"/>
    </xf>
    <xf numFmtId="0" fontId="8" fillId="8" borderId="138" xfId="0" applyFont="1" applyFill="1" applyBorder="1" applyAlignment="1">
      <alignment horizontal="center" vertical="center"/>
    </xf>
    <xf numFmtId="0" fontId="5" fillId="4" borderId="143" xfId="0" applyFont="1" applyFill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6" borderId="66" xfId="0" applyFont="1" applyFill="1" applyBorder="1" applyAlignment="1">
      <alignment horizontal="center" vertical="center"/>
    </xf>
    <xf numFmtId="0" fontId="24" fillId="19" borderId="137" xfId="0" applyFont="1" applyFill="1" applyBorder="1" applyAlignment="1">
      <alignment horizontal="center" vertical="center"/>
    </xf>
    <xf numFmtId="0" fontId="24" fillId="19" borderId="78" xfId="0" applyFont="1" applyFill="1" applyBorder="1" applyAlignment="1">
      <alignment horizontal="center" vertical="center"/>
    </xf>
    <xf numFmtId="0" fontId="5" fillId="0" borderId="143" xfId="0" applyFont="1" applyBorder="1" applyAlignment="1">
      <alignment horizontal="center" vertical="center"/>
    </xf>
    <xf numFmtId="0" fontId="24" fillId="19" borderId="141" xfId="0" applyFont="1" applyFill="1" applyBorder="1" applyAlignment="1">
      <alignment horizontal="center" vertical="center"/>
    </xf>
    <xf numFmtId="0" fontId="19" fillId="57" borderId="48" xfId="0" applyFont="1" applyFill="1" applyBorder="1" applyAlignment="1">
      <alignment horizontal="center" vertical="center"/>
    </xf>
    <xf numFmtId="0" fontId="38" fillId="6" borderId="48" xfId="0" applyFont="1" applyFill="1" applyBorder="1" applyAlignment="1">
      <alignment horizontal="center" vertical="center"/>
    </xf>
    <xf numFmtId="0" fontId="38" fillId="6" borderId="34" xfId="0" applyFont="1" applyFill="1" applyBorder="1" applyAlignment="1">
      <alignment horizontal="center" vertical="center"/>
    </xf>
    <xf numFmtId="0" fontId="38" fillId="6" borderId="11" xfId="0" applyFont="1" applyFill="1" applyBorder="1" applyAlignment="1">
      <alignment horizontal="center" vertical="center"/>
    </xf>
    <xf numFmtId="0" fontId="24" fillId="6" borderId="79" xfId="0" applyFont="1" applyFill="1" applyBorder="1" applyAlignment="1">
      <alignment horizontal="center" vertical="center"/>
    </xf>
    <xf numFmtId="0" fontId="38" fillId="6" borderId="51" xfId="0" applyFont="1" applyFill="1" applyBorder="1" applyAlignment="1">
      <alignment horizontal="center" vertical="center"/>
    </xf>
    <xf numFmtId="0" fontId="24" fillId="6" borderId="12" xfId="0" applyFont="1" applyFill="1" applyBorder="1" applyAlignment="1">
      <alignment horizontal="center" vertical="center"/>
    </xf>
    <xf numFmtId="0" fontId="24" fillId="6" borderId="49" xfId="0" applyFont="1" applyFill="1" applyBorder="1" applyAlignment="1">
      <alignment horizontal="center" vertical="center"/>
    </xf>
    <xf numFmtId="0" fontId="24" fillId="6" borderId="15" xfId="0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/>
    </xf>
    <xf numFmtId="0" fontId="24" fillId="6" borderId="137" xfId="0" applyFont="1" applyFill="1" applyBorder="1" applyAlignment="1">
      <alignment horizontal="center" vertical="center"/>
    </xf>
    <xf numFmtId="0" fontId="24" fillId="4" borderId="77" xfId="0" applyFont="1" applyFill="1" applyBorder="1" applyAlignment="1">
      <alignment horizontal="center" vertical="center"/>
    </xf>
    <xf numFmtId="0" fontId="24" fillId="4" borderId="48" xfId="0" applyFont="1" applyFill="1" applyBorder="1" applyAlignment="1">
      <alignment horizontal="center" vertical="center"/>
    </xf>
    <xf numFmtId="0" fontId="24" fillId="4" borderId="51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35" xfId="0" applyFont="1" applyFill="1" applyBorder="1" applyAlignment="1">
      <alignment horizontal="center" vertical="center"/>
    </xf>
    <xf numFmtId="0" fontId="24" fillId="4" borderId="67" xfId="0" applyFont="1" applyFill="1" applyBorder="1" applyAlignment="1">
      <alignment horizontal="center" vertical="center"/>
    </xf>
    <xf numFmtId="0" fontId="24" fillId="4" borderId="134" xfId="0" applyFont="1" applyFill="1" applyBorder="1" applyAlignment="1">
      <alignment horizontal="center" vertical="center"/>
    </xf>
    <xf numFmtId="0" fontId="24" fillId="4" borderId="135" xfId="0" applyFont="1" applyFill="1" applyBorder="1" applyAlignment="1">
      <alignment horizontal="center" vertical="center"/>
    </xf>
    <xf numFmtId="0" fontId="24" fillId="4" borderId="136" xfId="0" applyFont="1" applyFill="1" applyBorder="1" applyAlignment="1">
      <alignment horizontal="center" vertical="center"/>
    </xf>
    <xf numFmtId="0" fontId="46" fillId="28" borderId="65" xfId="0" applyFont="1" applyFill="1" applyBorder="1" applyAlignment="1">
      <alignment horizontal="center" vertical="center"/>
    </xf>
    <xf numFmtId="0" fontId="5" fillId="6" borderId="79" xfId="0" applyFont="1" applyFill="1" applyBorder="1" applyAlignment="1">
      <alignment horizontal="center"/>
    </xf>
    <xf numFmtId="0" fontId="5" fillId="4" borderId="79" xfId="0" applyFont="1" applyFill="1" applyBorder="1" applyAlignment="1">
      <alignment horizontal="center"/>
    </xf>
    <xf numFmtId="0" fontId="20" fillId="19" borderId="79" xfId="0" applyFont="1" applyFill="1" applyBorder="1" applyAlignment="1">
      <alignment horizontal="center"/>
    </xf>
    <xf numFmtId="0" fontId="24" fillId="11" borderId="79" xfId="0" applyFont="1" applyFill="1" applyBorder="1" applyAlignment="1">
      <alignment horizontal="center"/>
    </xf>
    <xf numFmtId="0" fontId="8" fillId="8" borderId="79" xfId="0" applyFont="1" applyFill="1" applyBorder="1" applyAlignment="1">
      <alignment horizontal="center"/>
    </xf>
    <xf numFmtId="0" fontId="5" fillId="4" borderId="66" xfId="0" applyFont="1" applyFill="1" applyBorder="1" applyAlignment="1">
      <alignment horizontal="center"/>
    </xf>
    <xf numFmtId="0" fontId="5" fillId="4" borderId="77" xfId="0" applyFont="1" applyFill="1" applyBorder="1" applyAlignment="1">
      <alignment horizontal="center"/>
    </xf>
    <xf numFmtId="0" fontId="5" fillId="6" borderId="137" xfId="0" applyFont="1" applyFill="1" applyBorder="1" applyAlignment="1">
      <alignment horizontal="center"/>
    </xf>
    <xf numFmtId="0" fontId="46" fillId="28" borderId="77" xfId="0" applyFont="1" applyFill="1" applyBorder="1" applyAlignment="1">
      <alignment horizontal="center" vertical="center"/>
    </xf>
    <xf numFmtId="0" fontId="8" fillId="8" borderId="137" xfId="0" applyFont="1" applyFill="1" applyBorder="1" applyAlignment="1">
      <alignment horizontal="center"/>
    </xf>
    <xf numFmtId="0" fontId="8" fillId="8" borderId="77" xfId="0" applyFont="1" applyFill="1" applyBorder="1" applyAlignment="1">
      <alignment horizontal="center"/>
    </xf>
    <xf numFmtId="0" fontId="20" fillId="19" borderId="137" xfId="0" applyFont="1" applyFill="1" applyBorder="1" applyAlignment="1">
      <alignment horizontal="center"/>
    </xf>
    <xf numFmtId="0" fontId="5" fillId="4" borderId="137" xfId="0" applyFont="1" applyFill="1" applyBorder="1" applyAlignment="1">
      <alignment horizontal="center"/>
    </xf>
    <xf numFmtId="0" fontId="38" fillId="53" borderId="78" xfId="0" applyFont="1" applyFill="1" applyBorder="1" applyAlignment="1">
      <alignment horizontal="center" vertical="center"/>
    </xf>
    <xf numFmtId="0" fontId="5" fillId="4" borderId="138" xfId="0" applyFont="1" applyFill="1" applyBorder="1" applyAlignment="1">
      <alignment horizontal="center"/>
    </xf>
    <xf numFmtId="0" fontId="31" fillId="49" borderId="138" xfId="0" applyFont="1" applyFill="1" applyBorder="1" applyAlignment="1">
      <alignment horizontal="center"/>
    </xf>
    <xf numFmtId="0" fontId="8" fillId="8" borderId="138" xfId="0" applyFont="1" applyFill="1" applyBorder="1" applyAlignment="1">
      <alignment horizontal="center"/>
    </xf>
    <xf numFmtId="0" fontId="5" fillId="6" borderId="138" xfId="0" applyFont="1" applyFill="1" applyBorder="1" applyAlignment="1">
      <alignment horizontal="center"/>
    </xf>
    <xf numFmtId="0" fontId="6" fillId="7" borderId="138" xfId="0" applyFont="1" applyFill="1" applyBorder="1" applyAlignment="1">
      <alignment horizontal="center"/>
    </xf>
    <xf numFmtId="0" fontId="5" fillId="6" borderId="143" xfId="0" applyFont="1" applyFill="1" applyBorder="1" applyAlignment="1">
      <alignment horizontal="center"/>
    </xf>
    <xf numFmtId="0" fontId="46" fillId="0" borderId="51" xfId="0" applyFont="1" applyBorder="1"/>
    <xf numFmtId="0" fontId="46" fillId="0" borderId="34" xfId="0" applyFont="1" applyBorder="1"/>
    <xf numFmtId="0" fontId="11" fillId="9" borderId="16" xfId="0" applyFont="1" applyFill="1" applyBorder="1" applyAlignment="1">
      <alignment horizontal="center" vertical="center"/>
    </xf>
    <xf numFmtId="0" fontId="11" fillId="9" borderId="53" xfId="0" applyFont="1" applyFill="1" applyBorder="1" applyAlignment="1">
      <alignment horizontal="center" vertical="center"/>
    </xf>
    <xf numFmtId="0" fontId="24" fillId="32" borderId="80" xfId="0" applyFont="1" applyFill="1" applyBorder="1" applyAlignment="1">
      <alignment horizontal="center" vertical="center"/>
    </xf>
    <xf numFmtId="0" fontId="24" fillId="32" borderId="74" xfId="0" applyFont="1" applyFill="1" applyBorder="1" applyAlignment="1">
      <alignment horizontal="center" vertical="center"/>
    </xf>
    <xf numFmtId="0" fontId="19" fillId="6" borderId="81" xfId="0" applyFont="1" applyFill="1" applyBorder="1" applyAlignment="1">
      <alignment horizontal="center" vertical="center"/>
    </xf>
    <xf numFmtId="0" fontId="5" fillId="4" borderId="81" xfId="0" applyFont="1" applyFill="1" applyBorder="1" applyAlignment="1">
      <alignment horizontal="center" vertical="center"/>
    </xf>
    <xf numFmtId="0" fontId="24" fillId="4" borderId="82" xfId="0" applyFont="1" applyFill="1" applyBorder="1" applyAlignment="1">
      <alignment horizontal="center" vertical="center"/>
    </xf>
    <xf numFmtId="0" fontId="38" fillId="6" borderId="83" xfId="0" applyFont="1" applyFill="1" applyBorder="1" applyAlignment="1">
      <alignment horizontal="center" vertical="center"/>
    </xf>
    <xf numFmtId="0" fontId="38" fillId="6" borderId="85" xfId="0" applyFont="1" applyFill="1" applyBorder="1" applyAlignment="1">
      <alignment horizontal="center" vertical="center"/>
    </xf>
    <xf numFmtId="0" fontId="1" fillId="9" borderId="129" xfId="0" applyFont="1" applyFill="1" applyBorder="1"/>
    <xf numFmtId="0" fontId="1" fillId="9" borderId="121" xfId="0" applyFont="1" applyFill="1" applyBorder="1"/>
    <xf numFmtId="0" fontId="2" fillId="0" borderId="77" xfId="0" applyFont="1" applyBorder="1" applyAlignment="1">
      <alignment horizontal="left" vertical="center"/>
    </xf>
    <xf numFmtId="0" fontId="2" fillId="0" borderId="78" xfId="0" applyFont="1" applyBorder="1" applyAlignment="1">
      <alignment horizontal="left" vertical="center"/>
    </xf>
    <xf numFmtId="0" fontId="5" fillId="0" borderId="138" xfId="0" applyFont="1" applyBorder="1" applyAlignment="1">
      <alignment horizontal="center"/>
    </xf>
    <xf numFmtId="0" fontId="17" fillId="0" borderId="83" xfId="0" applyFont="1" applyBorder="1" applyAlignment="1">
      <alignment horizontal="center" vertical="center"/>
    </xf>
    <xf numFmtId="0" fontId="5" fillId="43" borderId="48" xfId="0" applyFont="1" applyFill="1" applyBorder="1" applyAlignment="1">
      <alignment horizontal="center" vertical="center"/>
    </xf>
    <xf numFmtId="0" fontId="24" fillId="58" borderId="48" xfId="0" applyFont="1" applyFill="1" applyBorder="1" applyAlignment="1">
      <alignment horizontal="center"/>
    </xf>
    <xf numFmtId="0" fontId="24" fillId="32" borderId="51" xfId="0" applyFont="1" applyFill="1" applyBorder="1" applyAlignment="1">
      <alignment horizontal="center" vertical="center"/>
    </xf>
    <xf numFmtId="0" fontId="19" fillId="25" borderId="48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53" xfId="0" applyFont="1" applyFill="1" applyBorder="1" applyAlignment="1">
      <alignment horizontal="center" vertical="center"/>
    </xf>
    <xf numFmtId="0" fontId="31" fillId="0" borderId="82" xfId="0" applyFont="1" applyBorder="1" applyAlignment="1">
      <alignment horizontal="center" vertical="center"/>
    </xf>
    <xf numFmtId="0" fontId="19" fillId="6" borderId="85" xfId="0" applyFont="1" applyFill="1" applyBorder="1" applyAlignment="1">
      <alignment horizontal="center" vertical="center"/>
    </xf>
    <xf numFmtId="0" fontId="19" fillId="57" borderId="33" xfId="0" applyFont="1" applyFill="1" applyBorder="1" applyAlignment="1">
      <alignment horizontal="center" vertical="center"/>
    </xf>
    <xf numFmtId="0" fontId="5" fillId="23" borderId="35" xfId="0" applyFont="1" applyFill="1" applyBorder="1" applyAlignment="1">
      <alignment horizontal="center" vertical="center"/>
    </xf>
    <xf numFmtId="0" fontId="5" fillId="54" borderId="33" xfId="0" applyFont="1" applyFill="1" applyBorder="1" applyAlignment="1">
      <alignment horizontal="center" vertical="center"/>
    </xf>
    <xf numFmtId="0" fontId="1" fillId="9" borderId="0" xfId="0" applyFont="1" applyFill="1" applyAlignment="1">
      <alignment vertical="center" wrapText="1"/>
    </xf>
    <xf numFmtId="0" fontId="31" fillId="49" borderId="80" xfId="0" applyFont="1" applyFill="1" applyBorder="1" applyAlignment="1">
      <alignment horizontal="center" vertical="center"/>
    </xf>
    <xf numFmtId="0" fontId="5" fillId="4" borderId="74" xfId="0" applyFont="1" applyFill="1" applyBorder="1" applyAlignment="1">
      <alignment horizontal="center" vertical="center"/>
    </xf>
    <xf numFmtId="0" fontId="5" fillId="6" borderId="81" xfId="0" applyFont="1" applyFill="1" applyBorder="1" applyAlignment="1">
      <alignment horizontal="center" vertical="center"/>
    </xf>
    <xf numFmtId="0" fontId="5" fillId="6" borderId="82" xfId="0" applyFont="1" applyFill="1" applyBorder="1" applyAlignment="1">
      <alignment horizontal="center" vertical="center"/>
    </xf>
    <xf numFmtId="0" fontId="8" fillId="8" borderId="81" xfId="0" applyFont="1" applyFill="1" applyBorder="1" applyAlignment="1">
      <alignment horizontal="center" vertical="center"/>
    </xf>
    <xf numFmtId="0" fontId="5" fillId="4" borderId="83" xfId="0" applyFont="1" applyFill="1" applyBorder="1" applyAlignment="1">
      <alignment horizontal="center" vertical="center"/>
    </xf>
    <xf numFmtId="0" fontId="11" fillId="12" borderId="144" xfId="0" applyFont="1" applyFill="1" applyBorder="1" applyAlignment="1">
      <alignment horizontal="center" vertical="center"/>
    </xf>
    <xf numFmtId="0" fontId="11" fillId="12" borderId="54" xfId="0" applyFont="1" applyFill="1" applyBorder="1" applyAlignment="1">
      <alignment horizontal="center" vertical="center"/>
    </xf>
    <xf numFmtId="0" fontId="11" fillId="12" borderId="57" xfId="0" applyFont="1" applyFill="1" applyBorder="1" applyAlignment="1">
      <alignment horizontal="center" vertical="center"/>
    </xf>
    <xf numFmtId="0" fontId="24" fillId="32" borderId="73" xfId="0" applyFont="1" applyFill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24" fillId="4" borderId="84" xfId="0" applyFont="1" applyFill="1" applyBorder="1" applyAlignment="1">
      <alignment horizontal="center" vertical="center"/>
    </xf>
    <xf numFmtId="0" fontId="31" fillId="49" borderId="72" xfId="0" applyFont="1" applyFill="1" applyBorder="1" applyAlignment="1">
      <alignment horizontal="center" vertical="center"/>
    </xf>
    <xf numFmtId="0" fontId="73" fillId="59" borderId="72" xfId="0" applyFont="1" applyFill="1" applyBorder="1" applyAlignment="1">
      <alignment horizontal="center" vertical="center"/>
    </xf>
    <xf numFmtId="0" fontId="73" fillId="0" borderId="72" xfId="0" applyFont="1" applyBorder="1" applyAlignment="1">
      <alignment horizontal="center" vertical="center"/>
    </xf>
    <xf numFmtId="0" fontId="5" fillId="43" borderId="72" xfId="0" applyFont="1" applyFill="1" applyBorder="1" applyAlignment="1">
      <alignment horizontal="center" vertical="center"/>
    </xf>
    <xf numFmtId="0" fontId="5" fillId="4" borderId="73" xfId="0" applyFont="1" applyFill="1" applyBorder="1" applyAlignment="1">
      <alignment horizontal="center"/>
    </xf>
    <xf numFmtId="0" fontId="19" fillId="0" borderId="73" xfId="0" applyFont="1" applyBorder="1" applyAlignment="1">
      <alignment horizontal="center" vertical="center"/>
    </xf>
    <xf numFmtId="0" fontId="19" fillId="6" borderId="73" xfId="0" applyFont="1" applyFill="1" applyBorder="1" applyAlignment="1">
      <alignment horizontal="center"/>
    </xf>
    <xf numFmtId="0" fontId="24" fillId="19" borderId="73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73" fillId="0" borderId="82" xfId="0" applyFont="1" applyBorder="1" applyAlignment="1">
      <alignment horizontal="center" vertical="center"/>
    </xf>
    <xf numFmtId="0" fontId="31" fillId="49" borderId="81" xfId="0" applyFont="1" applyFill="1" applyBorder="1" applyAlignment="1">
      <alignment horizontal="center" vertical="center"/>
    </xf>
    <xf numFmtId="0" fontId="24" fillId="19" borderId="81" xfId="0" applyFont="1" applyFill="1" applyBorder="1" applyAlignment="1">
      <alignment horizontal="center" vertical="center"/>
    </xf>
    <xf numFmtId="0" fontId="24" fillId="11" borderId="84" xfId="0" applyFont="1" applyFill="1" applyBorder="1" applyAlignment="1">
      <alignment horizontal="center" vertical="center"/>
    </xf>
    <xf numFmtId="0" fontId="31" fillId="49" borderId="84" xfId="0" applyFont="1" applyFill="1" applyBorder="1" applyAlignment="1">
      <alignment horizontal="center" vertical="center"/>
    </xf>
    <xf numFmtId="0" fontId="5" fillId="6" borderId="84" xfId="0" applyFont="1" applyFill="1" applyBorder="1" applyAlignment="1">
      <alignment horizontal="center" vertical="center"/>
    </xf>
    <xf numFmtId="0" fontId="5" fillId="6" borderId="85" xfId="0" applyFont="1" applyFill="1" applyBorder="1" applyAlignment="1">
      <alignment horizontal="center" vertical="center"/>
    </xf>
    <xf numFmtId="0" fontId="21" fillId="21" borderId="138" xfId="0" applyFont="1" applyFill="1" applyBorder="1" applyAlignment="1">
      <alignment horizontal="center" vertical="center"/>
    </xf>
    <xf numFmtId="0" fontId="21" fillId="21" borderId="141" xfId="0" applyFont="1" applyFill="1" applyBorder="1" applyAlignment="1">
      <alignment horizontal="center" vertical="center"/>
    </xf>
    <xf numFmtId="0" fontId="24" fillId="32" borderId="12" xfId="0" applyFont="1" applyFill="1" applyBorder="1" applyAlignment="1">
      <alignment horizontal="center" vertical="center"/>
    </xf>
    <xf numFmtId="0" fontId="24" fillId="32" borderId="33" xfId="0" applyFont="1" applyFill="1" applyBorder="1" applyAlignment="1">
      <alignment horizontal="center"/>
    </xf>
    <xf numFmtId="0" fontId="24" fillId="4" borderId="49" xfId="0" applyFont="1" applyFill="1" applyBorder="1" applyAlignment="1">
      <alignment horizontal="center" vertical="center"/>
    </xf>
    <xf numFmtId="0" fontId="24" fillId="32" borderId="65" xfId="0" applyFont="1" applyFill="1" applyBorder="1" applyAlignment="1">
      <alignment horizontal="center" vertical="center"/>
    </xf>
    <xf numFmtId="0" fontId="24" fillId="32" borderId="66" xfId="0" applyFont="1" applyFill="1" applyBorder="1" applyAlignment="1">
      <alignment horizontal="center" vertical="center"/>
    </xf>
    <xf numFmtId="0" fontId="19" fillId="6" borderId="77" xfId="0" applyFont="1" applyFill="1" applyBorder="1" applyAlignment="1">
      <alignment horizontal="center" vertical="center"/>
    </xf>
    <xf numFmtId="0" fontId="19" fillId="6" borderId="137" xfId="0" applyFont="1" applyFill="1" applyBorder="1" applyAlignment="1">
      <alignment horizontal="center" vertical="center"/>
    </xf>
    <xf numFmtId="0" fontId="24" fillId="4" borderId="137" xfId="0" applyFont="1" applyFill="1" applyBorder="1" applyAlignment="1">
      <alignment horizontal="center" vertical="center"/>
    </xf>
    <xf numFmtId="0" fontId="24" fillId="32" borderId="86" xfId="0" applyFont="1" applyFill="1" applyBorder="1" applyAlignment="1">
      <alignment horizontal="center" vertical="center"/>
    </xf>
    <xf numFmtId="0" fontId="5" fillId="4" borderId="145" xfId="0" applyFont="1" applyFill="1" applyBorder="1" applyAlignment="1">
      <alignment horizontal="center" vertical="center"/>
    </xf>
    <xf numFmtId="0" fontId="5" fillId="0" borderId="145" xfId="0" applyFont="1" applyBorder="1" applyAlignment="1">
      <alignment horizontal="center" vertical="center"/>
    </xf>
    <xf numFmtId="0" fontId="19" fillId="6" borderId="145" xfId="0" applyFont="1" applyFill="1" applyBorder="1" applyAlignment="1">
      <alignment horizontal="center" vertical="center"/>
    </xf>
    <xf numFmtId="0" fontId="24" fillId="4" borderId="146" xfId="0" applyFont="1" applyFill="1" applyBorder="1" applyAlignment="1">
      <alignment horizontal="center" vertical="center"/>
    </xf>
    <xf numFmtId="0" fontId="24" fillId="32" borderId="87" xfId="0" applyFont="1" applyFill="1" applyBorder="1" applyAlignment="1">
      <alignment horizontal="center" vertical="center"/>
    </xf>
    <xf numFmtId="0" fontId="31" fillId="0" borderId="88" xfId="0" applyFont="1" applyBorder="1" applyAlignment="1">
      <alignment horizontal="center" vertical="center"/>
    </xf>
    <xf numFmtId="0" fontId="24" fillId="4" borderId="88" xfId="0" applyFont="1" applyFill="1" applyBorder="1" applyAlignment="1">
      <alignment horizontal="center" vertical="center"/>
    </xf>
    <xf numFmtId="0" fontId="19" fillId="6" borderId="89" xfId="0" applyFont="1" applyFill="1" applyBorder="1" applyAlignment="1">
      <alignment horizontal="center" vertical="center"/>
    </xf>
    <xf numFmtId="0" fontId="24" fillId="19" borderId="145" xfId="0" applyFont="1" applyFill="1" applyBorder="1" applyAlignment="1">
      <alignment horizontal="center" vertical="center"/>
    </xf>
    <xf numFmtId="0" fontId="31" fillId="30" borderId="65" xfId="0" applyFont="1" applyFill="1" applyBorder="1" applyAlignment="1">
      <alignment horizontal="center" vertical="center"/>
    </xf>
    <xf numFmtId="0" fontId="31" fillId="30" borderId="79" xfId="0" applyFont="1" applyFill="1" applyBorder="1" applyAlignment="1">
      <alignment horizontal="center" vertical="center"/>
    </xf>
    <xf numFmtId="0" fontId="31" fillId="30" borderId="66" xfId="0" applyFont="1" applyFill="1" applyBorder="1" applyAlignment="1">
      <alignment horizontal="center" vertical="center"/>
    </xf>
    <xf numFmtId="0" fontId="31" fillId="30" borderId="77" xfId="0" applyFont="1" applyFill="1" applyBorder="1" applyAlignment="1">
      <alignment horizontal="center" vertical="center"/>
    </xf>
    <xf numFmtId="0" fontId="31" fillId="30" borderId="137" xfId="0" applyFont="1" applyFill="1" applyBorder="1" applyAlignment="1">
      <alignment horizontal="center" vertical="center"/>
    </xf>
    <xf numFmtId="0" fontId="42" fillId="0" borderId="77" xfId="0" applyFont="1" applyBorder="1" applyAlignment="1">
      <alignment horizontal="center"/>
    </xf>
    <xf numFmtId="0" fontId="42" fillId="0" borderId="137" xfId="0" applyFont="1" applyBorder="1" applyAlignment="1">
      <alignment horizontal="center"/>
    </xf>
    <xf numFmtId="0" fontId="21" fillId="21" borderId="78" xfId="0" applyFont="1" applyFill="1" applyBorder="1" applyAlignment="1">
      <alignment horizontal="center" vertical="center"/>
    </xf>
    <xf numFmtId="0" fontId="21" fillId="21" borderId="143" xfId="0" applyFont="1" applyFill="1" applyBorder="1" applyAlignment="1">
      <alignment horizontal="center" vertical="center"/>
    </xf>
    <xf numFmtId="0" fontId="0" fillId="0" borderId="51" xfId="0" applyBorder="1" applyAlignment="1">
      <alignment horizontal="left" vertical="center"/>
    </xf>
    <xf numFmtId="0" fontId="47" fillId="0" borderId="34" xfId="0" applyFont="1" applyBorder="1" applyAlignment="1">
      <alignment horizontal="left" vertical="center"/>
    </xf>
    <xf numFmtId="0" fontId="24" fillId="6" borderId="77" xfId="0" applyFont="1" applyFill="1" applyBorder="1" applyAlignment="1">
      <alignment horizontal="center" vertical="center"/>
    </xf>
    <xf numFmtId="0" fontId="19" fillId="57" borderId="137" xfId="0" applyFont="1" applyFill="1" applyBorder="1" applyAlignment="1">
      <alignment horizontal="center" vertical="center"/>
    </xf>
    <xf numFmtId="0" fontId="5" fillId="4" borderId="78" xfId="0" applyFont="1" applyFill="1" applyBorder="1" applyAlignment="1">
      <alignment horizontal="center" vertical="center"/>
    </xf>
    <xf numFmtId="0" fontId="31" fillId="0" borderId="72" xfId="0" applyFont="1" applyBorder="1" applyAlignment="1">
      <alignment horizontal="center"/>
    </xf>
    <xf numFmtId="0" fontId="24" fillId="19" borderId="72" xfId="0" applyFont="1" applyFill="1" applyBorder="1" applyAlignment="1">
      <alignment horizontal="center"/>
    </xf>
    <xf numFmtId="0" fontId="19" fillId="6" borderId="72" xfId="0" applyFont="1" applyFill="1" applyBorder="1" applyAlignment="1">
      <alignment horizontal="center"/>
    </xf>
    <xf numFmtId="0" fontId="5" fillId="4" borderId="51" xfId="0" applyFont="1" applyFill="1" applyBorder="1" applyAlignment="1">
      <alignment horizontal="center"/>
    </xf>
    <xf numFmtId="0" fontId="20" fillId="18" borderId="51" xfId="0" applyFont="1" applyFill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74" fillId="21" borderId="72" xfId="0" applyFont="1" applyFill="1" applyBorder="1" applyAlignment="1">
      <alignment horizontal="center" vertical="center"/>
    </xf>
    <xf numFmtId="0" fontId="19" fillId="50" borderId="49" xfId="0" applyFont="1" applyFill="1" applyBorder="1" applyAlignment="1">
      <alignment horizontal="center" vertical="center"/>
    </xf>
    <xf numFmtId="0" fontId="24" fillId="32" borderId="79" xfId="0" applyFont="1" applyFill="1" applyBorder="1" applyAlignment="1">
      <alignment horizontal="center" vertical="center"/>
    </xf>
    <xf numFmtId="0" fontId="24" fillId="32" borderId="147" xfId="0" applyFont="1" applyFill="1" applyBorder="1" applyAlignment="1">
      <alignment horizontal="center" vertical="center"/>
    </xf>
    <xf numFmtId="0" fontId="5" fillId="6" borderId="77" xfId="0" applyFont="1" applyFill="1" applyBorder="1" applyAlignment="1">
      <alignment horizontal="center"/>
    </xf>
    <xf numFmtId="0" fontId="24" fillId="31" borderId="137" xfId="0" applyFont="1" applyFill="1" applyBorder="1" applyAlignment="1">
      <alignment horizontal="center"/>
    </xf>
    <xf numFmtId="0" fontId="24" fillId="11" borderId="78" xfId="0" applyFont="1" applyFill="1" applyBorder="1" applyAlignment="1">
      <alignment horizontal="center"/>
    </xf>
    <xf numFmtId="0" fontId="24" fillId="19" borderId="138" xfId="0" applyFont="1" applyFill="1" applyBorder="1" applyAlignment="1">
      <alignment horizontal="center"/>
    </xf>
    <xf numFmtId="0" fontId="5" fillId="0" borderId="141" xfId="0" applyFont="1" applyBorder="1" applyAlignment="1">
      <alignment horizontal="center"/>
    </xf>
    <xf numFmtId="0" fontId="19" fillId="50" borderId="84" xfId="0" applyFont="1" applyFill="1" applyBorder="1" applyAlignment="1">
      <alignment horizontal="center" vertical="center"/>
    </xf>
    <xf numFmtId="0" fontId="19" fillId="6" borderId="140" xfId="0" applyFont="1" applyFill="1" applyBorder="1" applyAlignment="1">
      <alignment horizontal="center" vertical="center"/>
    </xf>
    <xf numFmtId="0" fontId="19" fillId="6" borderId="138" xfId="0" applyFont="1" applyFill="1" applyBorder="1" applyAlignment="1">
      <alignment horizontal="center" vertical="center"/>
    </xf>
    <xf numFmtId="0" fontId="19" fillId="6" borderId="143" xfId="0" applyFont="1" applyFill="1" applyBorder="1" applyAlignment="1">
      <alignment horizontal="center" vertical="center"/>
    </xf>
    <xf numFmtId="0" fontId="47" fillId="0" borderId="51" xfId="0" applyFont="1" applyBorder="1"/>
    <xf numFmtId="0" fontId="12" fillId="13" borderId="54" xfId="0" applyFont="1" applyFill="1" applyBorder="1" applyAlignment="1">
      <alignment horizontal="center"/>
    </xf>
    <xf numFmtId="0" fontId="11" fillId="9" borderId="54" xfId="0" applyFont="1" applyFill="1" applyBorder="1" applyAlignment="1">
      <alignment horizontal="center"/>
    </xf>
    <xf numFmtId="0" fontId="5" fillId="0" borderId="72" xfId="0" applyFont="1" applyBorder="1" applyAlignment="1">
      <alignment horizontal="center"/>
    </xf>
    <xf numFmtId="0" fontId="4" fillId="3" borderId="72" xfId="0" applyFont="1" applyFill="1" applyBorder="1" applyAlignment="1">
      <alignment horizontal="center"/>
    </xf>
    <xf numFmtId="0" fontId="6" fillId="7" borderId="72" xfId="0" applyFont="1" applyFill="1" applyBorder="1" applyAlignment="1">
      <alignment horizontal="center"/>
    </xf>
    <xf numFmtId="0" fontId="20" fillId="19" borderId="72" xfId="0" applyFont="1" applyFill="1" applyBorder="1" applyAlignment="1">
      <alignment horizontal="center"/>
    </xf>
    <xf numFmtId="0" fontId="46" fillId="0" borderId="141" xfId="0" applyFont="1" applyBorder="1" applyAlignment="1">
      <alignment horizontal="left" vertical="center"/>
    </xf>
    <xf numFmtId="0" fontId="28" fillId="0" borderId="24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0" fontId="28" fillId="0" borderId="52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24" fillId="19" borderId="26" xfId="0" applyFont="1" applyFill="1" applyBorder="1" applyAlignment="1">
      <alignment horizontal="center" vertical="center"/>
    </xf>
    <xf numFmtId="0" fontId="24" fillId="19" borderId="60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31" fillId="30" borderId="54" xfId="0" applyFont="1" applyFill="1" applyBorder="1" applyAlignment="1">
      <alignment horizontal="center" vertical="center"/>
    </xf>
    <xf numFmtId="0" fontId="5" fillId="4" borderId="72" xfId="0" applyFont="1" applyFill="1" applyBorder="1" applyAlignment="1">
      <alignment horizontal="center"/>
    </xf>
    <xf numFmtId="0" fontId="8" fillId="8" borderId="72" xfId="0" applyFont="1" applyFill="1" applyBorder="1" applyAlignment="1">
      <alignment horizontal="center"/>
    </xf>
    <xf numFmtId="0" fontId="31" fillId="49" borderId="72" xfId="0" applyFont="1" applyFill="1" applyBorder="1" applyAlignment="1">
      <alignment horizontal="center"/>
    </xf>
    <xf numFmtId="0" fontId="5" fillId="4" borderId="82" xfId="0" applyFont="1" applyFill="1" applyBorder="1" applyAlignment="1">
      <alignment horizontal="center"/>
    </xf>
    <xf numFmtId="0" fontId="19" fillId="0" borderId="82" xfId="0" applyFont="1" applyBorder="1" applyAlignment="1">
      <alignment horizontal="center" vertical="center"/>
    </xf>
    <xf numFmtId="0" fontId="5" fillId="4" borderId="81" xfId="0" applyFont="1" applyFill="1" applyBorder="1" applyAlignment="1">
      <alignment horizontal="center"/>
    </xf>
    <xf numFmtId="0" fontId="19" fillId="6" borderId="82" xfId="0" applyFont="1" applyFill="1" applyBorder="1" applyAlignment="1">
      <alignment horizontal="center"/>
    </xf>
    <xf numFmtId="0" fontId="5" fillId="6" borderId="145" xfId="0" applyFont="1" applyFill="1" applyBorder="1" applyAlignment="1">
      <alignment horizontal="center" vertical="center"/>
    </xf>
    <xf numFmtId="0" fontId="24" fillId="19" borderId="88" xfId="0" applyFont="1" applyFill="1" applyBorder="1" applyAlignment="1">
      <alignment horizontal="center" vertical="center"/>
    </xf>
    <xf numFmtId="0" fontId="73" fillId="59" borderId="99" xfId="0" applyFont="1" applyFill="1" applyBorder="1" applyAlignment="1">
      <alignment horizontal="center" vertical="center"/>
    </xf>
    <xf numFmtId="0" fontId="73" fillId="0" borderId="99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8" fillId="8" borderId="95" xfId="0" applyFont="1" applyFill="1" applyBorder="1" applyAlignment="1">
      <alignment horizontal="center" vertical="center"/>
    </xf>
    <xf numFmtId="0" fontId="19" fillId="0" borderId="78" xfId="0" applyFont="1" applyBorder="1" applyAlignment="1">
      <alignment horizontal="center" vertical="center"/>
    </xf>
    <xf numFmtId="0" fontId="6" fillId="7" borderId="138" xfId="0" applyFont="1" applyFill="1" applyBorder="1" applyAlignment="1">
      <alignment horizontal="center" vertical="center"/>
    </xf>
    <xf numFmtId="0" fontId="5" fillId="23" borderId="138" xfId="0" applyFont="1" applyFill="1" applyBorder="1" applyAlignment="1">
      <alignment horizontal="center" vertical="center"/>
    </xf>
    <xf numFmtId="0" fontId="4" fillId="3" borderId="138" xfId="0" applyFont="1" applyFill="1" applyBorder="1" applyAlignment="1">
      <alignment horizontal="center" vertical="center"/>
    </xf>
    <xf numFmtId="0" fontId="31" fillId="30" borderId="138" xfId="0" applyFont="1" applyFill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24" fillId="11" borderId="72" xfId="0" applyFont="1" applyFill="1" applyBorder="1" applyAlignment="1">
      <alignment horizontal="center" vertical="center"/>
    </xf>
    <xf numFmtId="0" fontId="21" fillId="21" borderId="55" xfId="0" applyFont="1" applyFill="1" applyBorder="1" applyAlignment="1">
      <alignment horizontal="center" vertical="center"/>
    </xf>
    <xf numFmtId="0" fontId="21" fillId="21" borderId="75" xfId="0" applyFont="1" applyFill="1" applyBorder="1" applyAlignment="1">
      <alignment horizontal="center" vertical="center"/>
    </xf>
    <xf numFmtId="0" fontId="21" fillId="21" borderId="50" xfId="0" applyFont="1" applyFill="1" applyBorder="1" applyAlignment="1">
      <alignment horizontal="center" vertical="center"/>
    </xf>
    <xf numFmtId="0" fontId="21" fillId="21" borderId="76" xfId="0" applyFont="1" applyFill="1" applyBorder="1" applyAlignment="1">
      <alignment horizontal="center" vertical="center"/>
    </xf>
    <xf numFmtId="0" fontId="1" fillId="9" borderId="80" xfId="0" applyFont="1" applyFill="1" applyBorder="1" applyAlignment="1">
      <alignment wrapText="1"/>
    </xf>
    <xf numFmtId="0" fontId="1" fillId="9" borderId="73" xfId="0" applyFont="1" applyFill="1" applyBorder="1" applyAlignment="1">
      <alignment wrapText="1"/>
    </xf>
    <xf numFmtId="0" fontId="1" fillId="9" borderId="74" xfId="0" applyFont="1" applyFill="1" applyBorder="1" applyAlignment="1">
      <alignment wrapText="1"/>
    </xf>
    <xf numFmtId="0" fontId="4" fillId="3" borderId="81" xfId="0" applyFont="1" applyFill="1" applyBorder="1" applyAlignment="1">
      <alignment horizontal="center" vertical="center"/>
    </xf>
    <xf numFmtId="0" fontId="6" fillId="7" borderId="82" xfId="0" applyFont="1" applyFill="1" applyBorder="1" applyAlignment="1">
      <alignment horizontal="center" vertical="center"/>
    </xf>
    <xf numFmtId="0" fontId="6" fillId="7" borderId="81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 vertical="center"/>
    </xf>
    <xf numFmtId="0" fontId="4" fillId="3" borderId="84" xfId="0" applyFont="1" applyFill="1" applyBorder="1" applyAlignment="1">
      <alignment horizontal="center" vertical="center"/>
    </xf>
    <xf numFmtId="0" fontId="6" fillId="7" borderId="84" xfId="0" applyFont="1" applyFill="1" applyBorder="1" applyAlignment="1">
      <alignment horizontal="center" vertical="center"/>
    </xf>
    <xf numFmtId="0" fontId="31" fillId="25" borderId="48" xfId="0" applyFont="1" applyFill="1" applyBorder="1" applyAlignment="1">
      <alignment horizontal="center" vertical="center"/>
    </xf>
    <xf numFmtId="0" fontId="20" fillId="60" borderId="48" xfId="0" applyFont="1" applyFill="1" applyBorder="1" applyAlignment="1">
      <alignment horizontal="center" vertical="center"/>
    </xf>
    <xf numFmtId="0" fontId="34" fillId="40" borderId="84" xfId="0" applyFont="1" applyFill="1" applyBorder="1" applyAlignment="1">
      <alignment horizontal="center" vertical="center"/>
    </xf>
    <xf numFmtId="0" fontId="75" fillId="32" borderId="72" xfId="0" applyFont="1" applyFill="1" applyBorder="1" applyAlignment="1">
      <alignment horizontal="center" vertical="center"/>
    </xf>
    <xf numFmtId="0" fontId="8" fillId="8" borderId="82" xfId="0" applyFont="1" applyFill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20" fillId="19" borderId="84" xfId="0" applyFont="1" applyFill="1" applyBorder="1" applyAlignment="1">
      <alignment horizontal="center"/>
    </xf>
    <xf numFmtId="0" fontId="24" fillId="11" borderId="87" xfId="0" applyFont="1" applyFill="1" applyBorder="1" applyAlignment="1">
      <alignment horizontal="center"/>
    </xf>
    <xf numFmtId="0" fontId="24" fillId="11" borderId="88" xfId="0" applyFont="1" applyFill="1" applyBorder="1" applyAlignment="1">
      <alignment horizontal="center"/>
    </xf>
    <xf numFmtId="0" fontId="5" fillId="4" borderId="88" xfId="0" applyFont="1" applyFill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0" borderId="80" xfId="0" applyFont="1" applyBorder="1" applyAlignment="1">
      <alignment horizontal="left" vertical="center"/>
    </xf>
    <xf numFmtId="0" fontId="46" fillId="0" borderId="74" xfId="0" applyFont="1" applyBorder="1" applyAlignment="1">
      <alignment horizontal="left" vertical="center"/>
    </xf>
    <xf numFmtId="0" fontId="2" fillId="0" borderId="81" xfId="0" applyFont="1" applyBorder="1" applyAlignment="1">
      <alignment horizontal="left" vertical="center"/>
    </xf>
    <xf numFmtId="0" fontId="46" fillId="0" borderId="82" xfId="0" applyFont="1" applyBorder="1" applyAlignment="1">
      <alignment horizontal="left" vertical="center"/>
    </xf>
    <xf numFmtId="0" fontId="2" fillId="0" borderId="83" xfId="0" applyFont="1" applyBorder="1" applyAlignment="1">
      <alignment horizontal="left" vertical="center"/>
    </xf>
    <xf numFmtId="0" fontId="46" fillId="0" borderId="85" xfId="0" applyFont="1" applyBorder="1" applyAlignment="1">
      <alignment horizontal="left" vertical="center"/>
    </xf>
    <xf numFmtId="0" fontId="4" fillId="3" borderId="82" xfId="0" applyFont="1" applyFill="1" applyBorder="1" applyAlignment="1">
      <alignment horizontal="center"/>
    </xf>
    <xf numFmtId="0" fontId="6" fillId="7" borderId="82" xfId="0" applyFont="1" applyFill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21" fillId="21" borderId="84" xfId="0" applyFont="1" applyFill="1" applyBorder="1" applyAlignment="1">
      <alignment horizontal="center"/>
    </xf>
    <xf numFmtId="0" fontId="20" fillId="0" borderId="84" xfId="0" applyFont="1" applyBorder="1" applyAlignment="1">
      <alignment horizontal="center"/>
    </xf>
    <xf numFmtId="0" fontId="4" fillId="0" borderId="84" xfId="0" applyFont="1" applyBorder="1" applyAlignment="1">
      <alignment horizontal="center"/>
    </xf>
    <xf numFmtId="0" fontId="6" fillId="0" borderId="84" xfId="0" applyFont="1" applyBorder="1" applyAlignment="1">
      <alignment horizontal="center"/>
    </xf>
    <xf numFmtId="0" fontId="5" fillId="0" borderId="85" xfId="0" applyFont="1" applyBorder="1" applyAlignment="1">
      <alignment horizontal="center"/>
    </xf>
    <xf numFmtId="0" fontId="0" fillId="0" borderId="95" xfId="0" applyBorder="1"/>
    <xf numFmtId="0" fontId="1" fillId="9" borderId="107" xfId="0" applyFont="1" applyFill="1" applyBorder="1" applyAlignment="1">
      <alignment horizontal="left" vertical="center" wrapText="1"/>
    </xf>
    <xf numFmtId="0" fontId="2" fillId="0" borderId="77" xfId="0" applyFont="1" applyBorder="1" applyAlignment="1">
      <alignment vertical="center"/>
    </xf>
    <xf numFmtId="0" fontId="2" fillId="0" borderId="78" xfId="0" applyFont="1" applyBorder="1" applyAlignment="1">
      <alignment vertical="center"/>
    </xf>
    <xf numFmtId="0" fontId="20" fillId="11" borderId="72" xfId="0" applyFont="1" applyFill="1" applyBorder="1" applyAlignment="1">
      <alignment horizontal="center" vertical="center"/>
    </xf>
    <xf numFmtId="0" fontId="46" fillId="0" borderId="86" xfId="0" applyFont="1" applyBorder="1" applyAlignment="1">
      <alignment horizontal="left" vertical="center"/>
    </xf>
    <xf numFmtId="0" fontId="46" fillId="0" borderId="145" xfId="0" applyFont="1" applyBorder="1" applyAlignment="1">
      <alignment horizontal="left" vertical="center"/>
    </xf>
    <xf numFmtId="0" fontId="46" fillId="0" borderId="146" xfId="0" applyFont="1" applyBorder="1" applyAlignment="1">
      <alignment horizontal="left" vertical="center"/>
    </xf>
    <xf numFmtId="0" fontId="31" fillId="49" borderId="81" xfId="0" applyFont="1" applyFill="1" applyBorder="1" applyAlignment="1">
      <alignment horizontal="center"/>
    </xf>
    <xf numFmtId="0" fontId="19" fillId="6" borderId="81" xfId="0" applyFont="1" applyFill="1" applyBorder="1" applyAlignment="1">
      <alignment horizontal="center"/>
    </xf>
    <xf numFmtId="0" fontId="6" fillId="7" borderId="83" xfId="0" applyFont="1" applyFill="1" applyBorder="1" applyAlignment="1">
      <alignment horizontal="center" vertical="center"/>
    </xf>
    <xf numFmtId="0" fontId="14" fillId="0" borderId="0" xfId="0" applyFont="1" applyAlignment="1">
      <alignment horizontal="centerContinuous" vertical="center" wrapText="1"/>
    </xf>
    <xf numFmtId="0" fontId="13" fillId="0" borderId="0" xfId="0" applyFont="1" applyAlignment="1">
      <alignment vertical="center"/>
    </xf>
    <xf numFmtId="0" fontId="20" fillId="15" borderId="72" xfId="0" applyFont="1" applyFill="1" applyBorder="1" applyAlignment="1">
      <alignment horizontal="center" vertical="center"/>
    </xf>
    <xf numFmtId="0" fontId="1" fillId="9" borderId="80" xfId="0" applyFont="1" applyFill="1" applyBorder="1" applyAlignment="1">
      <alignment vertical="center" wrapText="1"/>
    </xf>
    <xf numFmtId="0" fontId="1" fillId="9" borderId="73" xfId="0" applyFont="1" applyFill="1" applyBorder="1" applyAlignment="1">
      <alignment vertical="center" wrapText="1"/>
    </xf>
    <xf numFmtId="0" fontId="20" fillId="15" borderId="81" xfId="0" applyFont="1" applyFill="1" applyBorder="1" applyAlignment="1">
      <alignment horizontal="center"/>
    </xf>
    <xf numFmtId="0" fontId="31" fillId="0" borderId="85" xfId="0" applyFont="1" applyBorder="1" applyAlignment="1">
      <alignment horizontal="center" vertical="center"/>
    </xf>
    <xf numFmtId="0" fontId="1" fillId="9" borderId="73" xfId="0" applyFont="1" applyFill="1" applyBorder="1" applyAlignment="1">
      <alignment horizontal="center" vertical="center" wrapText="1"/>
    </xf>
    <xf numFmtId="0" fontId="8" fillId="8" borderId="113" xfId="0" applyFont="1" applyFill="1" applyBorder="1" applyAlignment="1">
      <alignment horizontal="center" vertical="center"/>
    </xf>
    <xf numFmtId="0" fontId="5" fillId="6" borderId="95" xfId="0" applyFont="1" applyFill="1" applyBorder="1" applyAlignment="1">
      <alignment horizontal="center" vertical="center"/>
    </xf>
    <xf numFmtId="0" fontId="5" fillId="4" borderId="95" xfId="0" applyFont="1" applyFill="1" applyBorder="1" applyAlignment="1">
      <alignment horizontal="center" vertical="center"/>
    </xf>
    <xf numFmtId="0" fontId="46" fillId="0" borderId="34" xfId="0" applyFont="1" applyBorder="1" applyAlignment="1">
      <alignment vertical="center"/>
    </xf>
    <xf numFmtId="0" fontId="24" fillId="11" borderId="81" xfId="0" applyFont="1" applyFill="1" applyBorder="1" applyAlignment="1">
      <alignment horizontal="center"/>
    </xf>
    <xf numFmtId="0" fontId="8" fillId="8" borderId="81" xfId="0" applyFont="1" applyFill="1" applyBorder="1" applyAlignment="1">
      <alignment horizontal="center"/>
    </xf>
    <xf numFmtId="0" fontId="46" fillId="0" borderId="51" xfId="0" applyFont="1" applyBorder="1" applyAlignment="1">
      <alignment horizontal="left"/>
    </xf>
    <xf numFmtId="0" fontId="1" fillId="9" borderId="74" xfId="0" applyFont="1" applyFill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20" fillId="0" borderId="84" xfId="0" applyFont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0" fontId="21" fillId="21" borderId="83" xfId="0" applyFont="1" applyFill="1" applyBorder="1" applyAlignment="1">
      <alignment horizontal="center" vertical="center"/>
    </xf>
    <xf numFmtId="0" fontId="21" fillId="21" borderId="84" xfId="0" applyFont="1" applyFill="1" applyBorder="1" applyAlignment="1">
      <alignment horizontal="center" vertical="center"/>
    </xf>
    <xf numFmtId="0" fontId="12" fillId="13" borderId="72" xfId="0" applyFont="1" applyFill="1" applyBorder="1" applyAlignment="1">
      <alignment horizontal="center" vertical="center"/>
    </xf>
    <xf numFmtId="0" fontId="24" fillId="31" borderId="72" xfId="0" applyFont="1" applyFill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58" xfId="0" applyFont="1" applyBorder="1" applyAlignment="1">
      <alignment vertical="center"/>
    </xf>
    <xf numFmtId="0" fontId="12" fillId="13" borderId="80" xfId="0" applyFont="1" applyFill="1" applyBorder="1" applyAlignment="1">
      <alignment horizontal="center" vertical="center"/>
    </xf>
    <xf numFmtId="0" fontId="11" fillId="12" borderId="73" xfId="0" applyFont="1" applyFill="1" applyBorder="1" applyAlignment="1">
      <alignment horizontal="center" vertical="center"/>
    </xf>
    <xf numFmtId="0" fontId="11" fillId="9" borderId="73" xfId="0" applyFont="1" applyFill="1" applyBorder="1" applyAlignment="1">
      <alignment horizontal="center" vertical="center"/>
    </xf>
    <xf numFmtId="0" fontId="12" fillId="13" borderId="73" xfId="0" applyFont="1" applyFill="1" applyBorder="1" applyAlignment="1">
      <alignment horizontal="center" vertical="center"/>
    </xf>
    <xf numFmtId="0" fontId="12" fillId="13" borderId="81" xfId="0" applyFont="1" applyFill="1" applyBorder="1" applyAlignment="1">
      <alignment horizontal="center"/>
    </xf>
    <xf numFmtId="0" fontId="24" fillId="32" borderId="81" xfId="0" applyFont="1" applyFill="1" applyBorder="1" applyAlignment="1">
      <alignment horizontal="center" vertical="center"/>
    </xf>
    <xf numFmtId="0" fontId="24" fillId="31" borderId="81" xfId="0" applyFont="1" applyFill="1" applyBorder="1" applyAlignment="1">
      <alignment horizontal="center" vertical="center"/>
    </xf>
    <xf numFmtId="0" fontId="24" fillId="19" borderId="81" xfId="0" applyFont="1" applyFill="1" applyBorder="1" applyAlignment="1">
      <alignment horizontal="center"/>
    </xf>
    <xf numFmtId="0" fontId="19" fillId="6" borderId="83" xfId="0" applyFont="1" applyFill="1" applyBorder="1" applyAlignment="1">
      <alignment horizontal="center" vertical="center"/>
    </xf>
    <xf numFmtId="0" fontId="19" fillId="50" borderId="48" xfId="0" applyFont="1" applyFill="1" applyBorder="1" applyAlignment="1">
      <alignment horizontal="center"/>
    </xf>
    <xf numFmtId="0" fontId="77" fillId="15" borderId="48" xfId="0" applyFont="1" applyFill="1" applyBorder="1" applyAlignment="1">
      <alignment horizontal="center" vertical="center"/>
    </xf>
    <xf numFmtId="0" fontId="77" fillId="15" borderId="72" xfId="0" applyFont="1" applyFill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11" fillId="12" borderId="99" xfId="0" applyFont="1" applyFill="1" applyBorder="1" applyAlignment="1">
      <alignment horizontal="center" vertical="center"/>
    </xf>
    <xf numFmtId="0" fontId="24" fillId="19" borderId="95" xfId="0" applyFont="1" applyFill="1" applyBorder="1" applyAlignment="1">
      <alignment horizontal="center" vertical="center"/>
    </xf>
    <xf numFmtId="0" fontId="5" fillId="6" borderId="151" xfId="0" applyFont="1" applyFill="1" applyBorder="1" applyAlignment="1">
      <alignment horizontal="center" vertical="center"/>
    </xf>
    <xf numFmtId="0" fontId="31" fillId="0" borderId="95" xfId="0" applyFont="1" applyBorder="1" applyAlignment="1">
      <alignment horizontal="center" vertical="center"/>
    </xf>
    <xf numFmtId="0" fontId="31" fillId="0" borderId="8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0" fontId="77" fillId="15" borderId="79" xfId="0" applyFont="1" applyFill="1" applyBorder="1" applyAlignment="1">
      <alignment horizontal="center" vertical="center"/>
    </xf>
    <xf numFmtId="0" fontId="19" fillId="6" borderId="79" xfId="0" applyFont="1" applyFill="1" applyBorder="1" applyAlignment="1">
      <alignment horizontal="center" vertical="center"/>
    </xf>
    <xf numFmtId="0" fontId="76" fillId="4" borderId="135" xfId="0" applyFont="1" applyFill="1" applyBorder="1" applyAlignment="1">
      <alignment horizontal="center" vertical="center"/>
    </xf>
    <xf numFmtId="0" fontId="19" fillId="0" borderId="138" xfId="0" applyFont="1" applyBorder="1" applyAlignment="1">
      <alignment horizontal="center" vertical="center"/>
    </xf>
    <xf numFmtId="0" fontId="19" fillId="0" borderId="139" xfId="0" applyFont="1" applyBorder="1" applyAlignment="1">
      <alignment horizontal="center" vertical="center"/>
    </xf>
    <xf numFmtId="0" fontId="78" fillId="0" borderId="138" xfId="0" applyFont="1" applyBorder="1" applyAlignment="1">
      <alignment horizontal="center" vertical="center"/>
    </xf>
    <xf numFmtId="0" fontId="5" fillId="4" borderId="50" xfId="0" applyFont="1" applyFill="1" applyBorder="1" applyAlignment="1">
      <alignment horizontal="center"/>
    </xf>
    <xf numFmtId="0" fontId="4" fillId="3" borderId="79" xfId="0" applyFont="1" applyFill="1" applyBorder="1" applyAlignment="1">
      <alignment horizontal="center" vertical="center"/>
    </xf>
    <xf numFmtId="0" fontId="6" fillId="7" borderId="79" xfId="0" applyFont="1" applyFill="1" applyBorder="1" applyAlignment="1">
      <alignment horizontal="center" vertical="center"/>
    </xf>
    <xf numFmtId="0" fontId="5" fillId="0" borderId="135" xfId="0" applyFont="1" applyBorder="1" applyAlignment="1">
      <alignment horizontal="center" vertical="center"/>
    </xf>
    <xf numFmtId="0" fontId="78" fillId="0" borderId="152" xfId="0" applyFont="1" applyBorder="1" applyAlignment="1">
      <alignment horizontal="center" vertical="center"/>
    </xf>
    <xf numFmtId="0" fontId="79" fillId="19" borderId="137" xfId="0" applyFont="1" applyFill="1" applyBorder="1" applyAlignment="1">
      <alignment horizontal="center" vertical="center"/>
    </xf>
    <xf numFmtId="0" fontId="19" fillId="0" borderId="145" xfId="0" applyFont="1" applyBorder="1" applyAlignment="1">
      <alignment horizontal="center" vertical="center"/>
    </xf>
    <xf numFmtId="0" fontId="31" fillId="49" borderId="88" xfId="0" applyFont="1" applyFill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6" borderId="95" xfId="0" applyFont="1" applyFill="1" applyBorder="1" applyAlignment="1">
      <alignment horizontal="center" vertical="center"/>
    </xf>
    <xf numFmtId="0" fontId="77" fillId="11" borderId="72" xfId="0" applyFont="1" applyFill="1" applyBorder="1" applyAlignment="1">
      <alignment horizontal="center" vertical="center"/>
    </xf>
    <xf numFmtId="0" fontId="8" fillId="8" borderId="145" xfId="0" applyFont="1" applyFill="1" applyBorder="1" applyAlignment="1">
      <alignment horizontal="center" vertical="center"/>
    </xf>
    <xf numFmtId="0" fontId="5" fillId="0" borderId="146" xfId="0" applyFont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76" fillId="0" borderId="26" xfId="0" applyFont="1" applyBorder="1" applyAlignment="1">
      <alignment horizontal="center" vertical="center"/>
    </xf>
    <xf numFmtId="0" fontId="20" fillId="15" borderId="60" xfId="0" applyFont="1" applyFill="1" applyBorder="1" applyAlignment="1">
      <alignment horizontal="center" vertical="center"/>
    </xf>
    <xf numFmtId="0" fontId="19" fillId="6" borderId="145" xfId="0" applyFont="1" applyFill="1" applyBorder="1" applyAlignment="1">
      <alignment horizontal="center"/>
    </xf>
    <xf numFmtId="0" fontId="5" fillId="4" borderId="145" xfId="0" applyFont="1" applyFill="1" applyBorder="1" applyAlignment="1">
      <alignment horizontal="center"/>
    </xf>
    <xf numFmtId="0" fontId="19" fillId="6" borderId="88" xfId="0" applyFont="1" applyFill="1" applyBorder="1" applyAlignment="1">
      <alignment horizontal="center"/>
    </xf>
    <xf numFmtId="0" fontId="5" fillId="4" borderId="153" xfId="0" applyFont="1" applyFill="1" applyBorder="1" applyAlignment="1">
      <alignment horizontal="center"/>
    </xf>
    <xf numFmtId="0" fontId="19" fillId="0" borderId="153" xfId="0" applyFont="1" applyBorder="1" applyAlignment="1">
      <alignment horizontal="center" vertical="center"/>
    </xf>
    <xf numFmtId="0" fontId="8" fillId="8" borderId="95" xfId="0" applyFont="1" applyFill="1" applyBorder="1" applyAlignment="1">
      <alignment horizontal="center"/>
    </xf>
    <xf numFmtId="0" fontId="19" fillId="23" borderId="48" xfId="0" applyFont="1" applyFill="1" applyBorder="1" applyAlignment="1">
      <alignment horizontal="center"/>
    </xf>
    <xf numFmtId="0" fontId="5" fillId="23" borderId="72" xfId="0" applyFont="1" applyFill="1" applyBorder="1" applyAlignment="1">
      <alignment horizontal="center"/>
    </xf>
    <xf numFmtId="0" fontId="80" fillId="7" borderId="72" xfId="0" applyFont="1" applyFill="1" applyBorder="1" applyAlignment="1">
      <alignment horizontal="center" vertical="center"/>
    </xf>
    <xf numFmtId="0" fontId="78" fillId="6" borderId="72" xfId="0" applyFont="1" applyFill="1" applyBorder="1" applyAlignment="1">
      <alignment horizontal="center" vertical="center"/>
    </xf>
    <xf numFmtId="0" fontId="81" fillId="29" borderId="72" xfId="0" applyFont="1" applyFill="1" applyBorder="1" applyAlignment="1">
      <alignment horizontal="center" vertical="center"/>
    </xf>
    <xf numFmtId="0" fontId="78" fillId="6" borderId="72" xfId="0" applyFont="1" applyFill="1" applyBorder="1" applyAlignment="1">
      <alignment horizontal="center"/>
    </xf>
    <xf numFmtId="0" fontId="76" fillId="4" borderId="72" xfId="0" applyFont="1" applyFill="1" applyBorder="1" applyAlignment="1">
      <alignment horizontal="center" vertical="center"/>
    </xf>
    <xf numFmtId="0" fontId="19" fillId="61" borderId="48" xfId="0" applyFont="1" applyFill="1" applyBorder="1" applyAlignment="1">
      <alignment horizontal="center" vertical="center"/>
    </xf>
    <xf numFmtId="0" fontId="76" fillId="23" borderId="72" xfId="0" applyFont="1" applyFill="1" applyBorder="1" applyAlignment="1">
      <alignment horizontal="center"/>
    </xf>
    <xf numFmtId="0" fontId="15" fillId="14" borderId="36" xfId="0" applyFont="1" applyFill="1" applyBorder="1" applyAlignment="1">
      <alignment horizontal="center" vertical="center"/>
    </xf>
    <xf numFmtId="0" fontId="15" fillId="14" borderId="37" xfId="0" applyFont="1" applyFill="1" applyBorder="1" applyAlignment="1">
      <alignment horizontal="center" vertical="center"/>
    </xf>
    <xf numFmtId="0" fontId="15" fillId="14" borderId="38" xfId="0" applyFont="1" applyFill="1" applyBorder="1" applyAlignment="1">
      <alignment horizontal="center" vertical="center"/>
    </xf>
    <xf numFmtId="0" fontId="16" fillId="9" borderId="46" xfId="0" applyFont="1" applyFill="1" applyBorder="1" applyAlignment="1">
      <alignment horizontal="center" vertical="center"/>
    </xf>
    <xf numFmtId="0" fontId="16" fillId="9" borderId="47" xfId="0" applyFont="1" applyFill="1" applyBorder="1" applyAlignment="1">
      <alignment horizontal="center" vertical="center"/>
    </xf>
    <xf numFmtId="0" fontId="16" fillId="9" borderId="31" xfId="0" applyFont="1" applyFill="1" applyBorder="1" applyAlignment="1">
      <alignment horizontal="center" vertical="center"/>
    </xf>
    <xf numFmtId="0" fontId="16" fillId="9" borderId="44" xfId="0" applyFont="1" applyFill="1" applyBorder="1" applyAlignment="1">
      <alignment horizontal="center" vertical="center"/>
    </xf>
    <xf numFmtId="0" fontId="16" fillId="9" borderId="30" xfId="0" applyFont="1" applyFill="1" applyBorder="1" applyAlignment="1">
      <alignment horizontal="center" vertical="center"/>
    </xf>
    <xf numFmtId="0" fontId="16" fillId="9" borderId="41" xfId="0" applyFont="1" applyFill="1" applyBorder="1" applyAlignment="1">
      <alignment horizontal="center" vertical="center"/>
    </xf>
    <xf numFmtId="0" fontId="16" fillId="9" borderId="42" xfId="0" applyFont="1" applyFill="1" applyBorder="1" applyAlignment="1">
      <alignment horizontal="center" vertical="center"/>
    </xf>
    <xf numFmtId="0" fontId="16" fillId="9" borderId="43" xfId="0" applyFont="1" applyFill="1" applyBorder="1" applyAlignment="1">
      <alignment horizontal="center" vertical="center"/>
    </xf>
    <xf numFmtId="0" fontId="16" fillId="9" borderId="46" xfId="0" applyFont="1" applyFill="1" applyBorder="1" applyAlignment="1">
      <alignment horizontal="center"/>
    </xf>
    <xf numFmtId="0" fontId="16" fillId="9" borderId="47" xfId="0" applyFont="1" applyFill="1" applyBorder="1" applyAlignment="1">
      <alignment horizontal="center"/>
    </xf>
    <xf numFmtId="0" fontId="16" fillId="9" borderId="31" xfId="0" applyFont="1" applyFill="1" applyBorder="1" applyAlignment="1">
      <alignment horizontal="center"/>
    </xf>
    <xf numFmtId="0" fontId="16" fillId="9" borderId="44" xfId="0" applyFont="1" applyFill="1" applyBorder="1" applyAlignment="1">
      <alignment horizontal="center"/>
    </xf>
    <xf numFmtId="0" fontId="16" fillId="9" borderId="30" xfId="0" applyFont="1" applyFill="1" applyBorder="1" applyAlignment="1">
      <alignment horizontal="center"/>
    </xf>
    <xf numFmtId="0" fontId="16" fillId="9" borderId="41" xfId="0" applyFont="1" applyFill="1" applyBorder="1" applyAlignment="1">
      <alignment horizontal="center"/>
    </xf>
    <xf numFmtId="0" fontId="16" fillId="9" borderId="42" xfId="0" applyFont="1" applyFill="1" applyBorder="1" applyAlignment="1">
      <alignment horizontal="center"/>
    </xf>
    <xf numFmtId="0" fontId="16" fillId="9" borderId="43" xfId="0" applyFont="1" applyFill="1" applyBorder="1" applyAlignment="1">
      <alignment horizontal="center"/>
    </xf>
    <xf numFmtId="0" fontId="16" fillId="9" borderId="20" xfId="0" applyFont="1" applyFill="1" applyBorder="1" applyAlignment="1">
      <alignment horizontal="center"/>
    </xf>
    <xf numFmtId="0" fontId="16" fillId="9" borderId="23" xfId="0" applyFont="1" applyFill="1" applyBorder="1" applyAlignment="1">
      <alignment horizontal="center"/>
    </xf>
    <xf numFmtId="0" fontId="16" fillId="9" borderId="45" xfId="0" applyFont="1" applyFill="1" applyBorder="1" applyAlignment="1">
      <alignment horizontal="center"/>
    </xf>
    <xf numFmtId="0" fontId="1" fillId="9" borderId="109" xfId="0" applyFont="1" applyFill="1" applyBorder="1" applyAlignment="1">
      <alignment horizontal="center" vertical="center" wrapText="1"/>
    </xf>
    <xf numFmtId="0" fontId="1" fillId="9" borderId="127" xfId="0" applyFont="1" applyFill="1" applyBorder="1" applyAlignment="1">
      <alignment horizontal="center" vertical="center" wrapText="1"/>
    </xf>
    <xf numFmtId="0" fontId="1" fillId="9" borderId="129" xfId="0" applyFont="1" applyFill="1" applyBorder="1" applyAlignment="1">
      <alignment horizontal="center" vertical="center" wrapText="1"/>
    </xf>
    <xf numFmtId="0" fontId="1" fillId="9" borderId="121" xfId="0" applyFont="1" applyFill="1" applyBorder="1" applyAlignment="1">
      <alignment horizontal="center" vertical="center" wrapText="1"/>
    </xf>
    <xf numFmtId="0" fontId="1" fillId="9" borderId="107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/>
    </xf>
    <xf numFmtId="0" fontId="16" fillId="9" borderId="45" xfId="0" applyFont="1" applyFill="1" applyBorder="1" applyAlignment="1">
      <alignment horizontal="center" vertical="center"/>
    </xf>
    <xf numFmtId="0" fontId="1" fillId="9" borderId="148" xfId="0" applyFont="1" applyFill="1" applyBorder="1" applyAlignment="1">
      <alignment horizontal="center" vertical="center" wrapText="1"/>
    </xf>
    <xf numFmtId="0" fontId="1" fillId="9" borderId="149" xfId="0" applyFont="1" applyFill="1" applyBorder="1" applyAlignment="1">
      <alignment horizontal="center" vertical="center" wrapText="1"/>
    </xf>
    <xf numFmtId="0" fontId="1" fillId="9" borderId="150" xfId="0" applyFont="1" applyFill="1" applyBorder="1" applyAlignment="1">
      <alignment horizontal="center" vertical="center" wrapText="1"/>
    </xf>
    <xf numFmtId="0" fontId="1" fillId="9" borderId="1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7">
    <dxf>
      <font>
        <b/>
        <i val="0"/>
        <color theme="9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b/>
        <i val="0"/>
        <color rgb="FF92D05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b/>
        <i val="0"/>
        <color rgb="FF92D05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b/>
        <i val="0"/>
        <color rgb="FF92D050"/>
      </font>
    </dxf>
  </dxfs>
  <tableStyles count="0" defaultTableStyle="TableStyleMedium2" defaultPivotStyle="PivotStyleLight16"/>
  <colors>
    <mruColors>
      <color rgb="FFFF00EE"/>
      <color rgb="FFFFE8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ST, MARCOS" id="{8BDAD3F1-B258-47C5-92EE-5817EAFCD49D}" userId="marcos.best@dlh.de" providerId="PeoplePicker"/>
  <person displayName="BEST, MARCOS" id="{82F48BFA-1EBD-487C-AE0B-0B3554398DC1}" userId="S::marcos.best@dlh.de::72c9463f-7dc8-4913-829a-20d65122db2f" providerId="AD"/>
  <person displayName="SILVA, MARIANA" id="{43F84E04-2B8C-4AA4-94BB-CD8391879D49}" userId="S::mariana.silva@dlh.de::640c14cc-6d7d-4eec-a0a5-45507382615c" providerId="AD"/>
  <person displayName="CASTRO, GONCALO" id="{F1064E40-A32F-4F29-9607-D9EC7C7FCF87}" userId="S::goncalo.castro@dlh.de::de98684b-0f4b-49ef-981f-249de9f62125" providerId="AD"/>
  <person displayName="CASTRO, MARIANA" id="{BF801294-ED43-0E4D-9CAC-827A62000D4E}" userId="S::mariana.castro@dlh.de::009affd3-cf00-4d51-b585-0841d4b0766c" providerId="AD"/>
  <person displayName="GONCALVES, EDGAR" id="{B0E28831-4287-47AD-AE33-435B3F722430}" userId="S::edgar.goncalves@dlh.de::42e61395-6fdb-40aa-b94d-171485675090" providerId="AD"/>
  <person displayName="FERREIRA, CATARINA" id="{06172D48-E03B-4470-93EB-1F871B852D1E}" userId="S::catarina.ferreira@dlh.de::f1718c0a-842d-4b34-ac26-682deb5f2096" providerId="AD"/>
  <person displayName="NICOLA SILVA, ANA CLAUDIA" id="{EBB1B9DA-E752-40CA-BA40-F02065FF0A8F}" userId="S::anaclaudia.nicolasilva@dlh.de::fbe16fb1-ae16-401b-8661-d621eb75b43b" providerId="AD"/>
  <person displayName="FERREIRA, CRISTIANA MARGARIDA" id="{7541D837-02DF-472C-BD43-002ED8022395}" userId="S::cristiana-margarida.ferreira@dlh.de::ee5ece23-f36b-49fb-a607-f7b53bcc73f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6" dT="2025-01-07T14:20:02.02" personId="{BF801294-ED43-0E4D-9CAC-827A62000D4E}" id="{006CBC05-5B0B-40FA-98DB-D6CF9B4BAABB}">
    <text>erro de SDP desde 2020; lancar 3 S3 nas ferias de 2025; ja retificado em Abril 2025</text>
  </threadedComment>
  <threadedComment ref="T11" dT="2024-12-30T14:55:56.88" personId="{EBB1B9DA-E752-40CA-BA40-F02065FF0A8F}" id="{EB87BDA4-CB0E-4CAF-94C7-D1F9EBF576E7}">
    <text xml:space="preserve">Pedido de troca
</text>
  </threadedComment>
  <threadedComment ref="Z15" dT="2025-01-24T08:20:07.92" personId="{43F84E04-2B8C-4AA4-94BB-CD8391879D49}" id="{8E293C21-6145-439A-8873-EA2B9711B53D}">
    <text>Marshals + INAD Hubs</text>
  </threadedComment>
  <threadedComment ref="AP15" dT="2025-01-07T13:41:34.70" personId="{BF801294-ED43-0E4D-9CAC-827A62000D4E}" id="{D7F6C2A2-A59F-4D88-A7C8-D1969D2F8563}">
    <text xml:space="preserve">27 Marco 2024 lancado como UA, erro. Para igualar S3 a 3 Janeiro 2025
</text>
  </threadedComment>
  <threadedComment ref="L16" dT="2025-01-02T12:46:11.99" personId="{43F84E04-2B8C-4AA4-94BB-CD8391879D49}" id="{A2EE1ED2-F562-4C17-A603-9CBF785CCF1B}">
    <text>FAL training 14h-15h</text>
  </threadedComment>
  <threadedComment ref="L17" dT="2025-01-02T12:46:01.66" personId="{43F84E04-2B8C-4AA4-94BB-CD8391879D49}" id="{533EB987-E3D5-4FF8-82C2-A202484E4CF3}">
    <text>FAL training - 10h-11h</text>
  </threadedComment>
  <threadedComment ref="AP17" dT="2025-01-07T13:47:07.87" personId="{BF801294-ED43-0E4D-9CAC-827A62000D4E}" id="{C9A3B85C-1747-4A10-9A3F-162765427174}">
    <text>erro no horario 2024, passagem de Jan para Fev Staff Travel. ainda tem 1 dia de 2024</text>
  </threadedComment>
  <threadedComment ref="J18" dT="2025-01-02T12:45:42.68" personId="{43F84E04-2B8C-4AA4-94BB-CD8391879D49}" id="{5A26B229-B49D-493B-8C68-C6FD3B1A61F4}">
    <text>FAL training 15h-16h</text>
  </threadedComment>
  <threadedComment ref="AP26" dT="2025-01-07T14:01:41.80" personId="{BF801294-ED43-0E4D-9CAC-827A62000D4E}" id="{46A1AB91-BF0A-44CB-B4E3-2F6C9AA437D4}">
    <text>erro 1 de Maio lancado como U no SDP, lancar um UA como S3; ja retificado em Marco 2025</text>
  </threadedComment>
  <threadedComment ref="T30" dT="2024-12-30T14:55:47.73" personId="{EBB1B9DA-E752-40CA-BA40-F02065FF0A8F}" id="{167A2E32-E25E-4C8E-9B6D-386294FFAC7B}">
    <text>Pedido de troca</text>
  </threadedComment>
  <threadedComment ref="AP30" dT="2025-01-08T09:55:53.71" personId="{BF801294-ED43-0E4D-9CAC-827A62000D4E}" id="{BA338321-A2FE-4ED4-BF15-9151FB15D417}">
    <text>erro: em 2024 apenas tinha 20 dias de ferias em vez de 21; para que nao seja prejudicado S3 lancado a 13 Jan</text>
  </threadedComment>
  <threadedComment ref="AP42" dT="2025-01-08T10:09:53.47" personId="{BF801294-ED43-0E4D-9CAC-827A62000D4E}" id="{55D2AAB3-3FAE-473B-AB1F-54FCB3F4B97B}">
    <text xml:space="preserve">lancar o primeiro dia de ferias de 2025 como S3, ja corrigido a 4 FEv 25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6" dT="2025-02-07T14:27:18.88" personId="{B0E28831-4287-47AD-AE33-435B3F722430}" id="{D3F02E92-51C9-427B-94CD-1B48C3A29F59}">
    <text>Marta Vieira</text>
  </threadedComment>
  <threadedComment ref="Q6" dT="2025-01-22T14:21:32.79" personId="{43F84E04-2B8C-4AA4-94BB-CD8391879D49}" id="{F0419624-E53C-4A03-BC4A-8E95B44001C1}">
    <text>Aeroporto 15-18FEB</text>
  </threadedComment>
  <threadedComment ref="R6" dT="2025-01-22T14:22:17.06" personId="{43F84E04-2B8C-4AA4-94BB-CD8391879D49}" id="{FD823B80-1BC8-457E-AFD6-BDF6FEA07337}">
    <text>11h50-19h50
Aeroporto 15-18FEB</text>
  </threadedComment>
  <threadedComment ref="S6" dT="2025-01-22T14:21:37.00" personId="{43F84E04-2B8C-4AA4-94BB-CD8391879D49}" id="{45BABD44-EB0C-49EB-9D6B-02BA7B6D3833}">
    <text>Aeroporto 15-18FEB</text>
  </threadedComment>
  <threadedComment ref="T6" dT="2025-01-22T14:21:59.14" personId="{43F84E04-2B8C-4AA4-94BB-CD8391879D49}" id="{07C2F655-1E5E-4A9C-8095-A2A4263C5F6D}">
    <text>Aeroporto 15-18FEB</text>
  </threadedComment>
  <threadedComment ref="L8" dT="2025-02-07T14:27:01.55" personId="{B0E28831-4287-47AD-AE33-435B3F722430}" id="{CBA4A34A-8C72-43BC-A766-9EED702711BE}">
    <text>Marta Vieira</text>
  </threadedComment>
  <threadedComment ref="S15" dT="2025-01-22T14:21:37.00" personId="{43F84E04-2B8C-4AA4-94BB-CD8391879D49}" id="{8E9AA865-375C-4D4E-9F4C-DBC4B0F96114}">
    <text>Aeroporto 17-20FEB</text>
  </threadedComment>
  <threadedComment ref="T15" dT="2025-01-22T14:21:37.00" personId="{43F84E04-2B8C-4AA4-94BB-CD8391879D49}" id="{F0CE4C01-8951-4868-B9C4-CFC15F794851}">
    <text>Aeroporto 17-20FEB</text>
  </threadedComment>
  <threadedComment ref="U15" dT="2025-01-22T14:21:37.00" personId="{43F84E04-2B8C-4AA4-94BB-CD8391879D49}" id="{1F3545BC-4399-492B-B252-536D0717EA78}">
    <text>Aeroporto 17-20FEB</text>
  </threadedComment>
  <threadedComment ref="V15" dT="2025-01-22T14:21:37.00" personId="{43F84E04-2B8C-4AA4-94BB-CD8391879D49}" id="{28E121F0-EB31-4D1A-8788-78C4AB559F51}">
    <text>Aeroporto 17-20FEB</text>
  </threadedComment>
  <threadedComment ref="AA15" dT="2025-02-14T10:36:02.94" personId="{B0E28831-4287-47AD-AE33-435B3F722430}" id="{7ED649A2-CE41-4C97-9DEF-5BC134F6A583}">
    <text>07:30-11:00 + 5H's A comp 13JAN 17:00-22:00</text>
  </threadedComment>
  <threadedComment ref="J26" dT="2025-01-10T12:17:06.08" personId="{06172D48-E03B-4470-93EB-1F871B852D1E}" id="{C28E625C-F442-4AE2-9F76-3E1B594B1CC3}">
    <text>Pedido de troca</text>
  </threadedComment>
  <threadedComment ref="K27" dT="2025-01-21T11:40:08.14" personId="{06172D48-E03B-4470-93EB-1F871B852D1E}" id="{DDC029DB-6845-40B0-B718-B4FC8CBA1FBE}">
    <text>Pedido de troca</text>
  </threadedComment>
  <threadedComment ref="I34" dT="2025-01-21T11:39:40.39" personId="{06172D48-E03B-4470-93EB-1F871B852D1E}" id="{0056FBA6-19FB-4435-B371-5D9D4E9CBD43}">
    <text>Pedido de troca</text>
  </threadedComment>
  <threadedComment ref="G35" dT="2025-02-03T06:12:36.52" personId="{06172D48-E03B-4470-93EB-1F871B852D1E}" id="{729D04D7-D84F-4379-B926-857DDDA2B5F7}">
    <text>compensacao folga 26</text>
  </threadedComment>
  <threadedComment ref="C42" dT="2025-01-07T14:20:27.17" personId="{EBB1B9DA-E752-40CA-BA40-F02065FF0A8F}" id="{F24D8833-2F8C-48A7-A85D-35050E760D99}">
    <text xml:space="preserve">Ajuste de folgas - formação EW
</text>
  </threadedComment>
  <threadedComment ref="Y46" dT="2025-02-22T15:06:08.72" personId="{06172D48-E03B-4470-93EB-1F871B852D1E}" id="{5531F7E4-3885-4C1C-90FE-45DCCDF02106}">
    <text xml:space="preserve">catering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10" dT="2025-03-02T06:33:40.66" personId="{06172D48-E03B-4470-93EB-1F871B852D1E}" id="{FBEE86AF-F93A-4021-9B08-9A12FEA95370}">
    <text>Pedido de troca</text>
  </threadedComment>
  <threadedComment ref="P10" dT="2025-02-28T06:32:50.87" personId="{06172D48-E03B-4470-93EB-1F871B852D1E}" id="{7CFF8EFA-6047-4268-9800-4029FDE161B6}">
    <text>Pedido de troca</text>
  </threadedComment>
  <threadedComment ref="M11" dT="2025-03-02T06:32:52.97" personId="{06172D48-E03B-4470-93EB-1F871B852D1E}" id="{2E4AAFBF-4CF0-462F-A17A-3CFB4908B95F}">
    <text>Pedido de troca</text>
  </threadedComment>
  <threadedComment ref="AF11" dT="2025-03-18T14:34:47.03" personId="{06172D48-E03B-4470-93EB-1F871B852D1E}" id="{C16F166F-C1F1-47D9-91E0-6834364FBCF3}">
    <text>TROCA</text>
  </threadedComment>
  <threadedComment ref="AG11" dT="2025-03-18T14:35:01.39" personId="{06172D48-E03B-4470-93EB-1F871B852D1E}" id="{6203B099-2854-489D-BAB1-28DAB7B38378}">
    <text>troca</text>
  </threadedComment>
  <threadedComment ref="T12" dT="2025-02-28T06:32:50.87" personId="{06172D48-E03B-4470-93EB-1F871B852D1E}" id="{4420E123-DCCA-4855-A670-E33146784F0A}">
    <text>Pedido de troca</text>
  </threadedComment>
  <threadedComment ref="F15" dT="2025-02-11T12:46:29.03" personId="{7541D837-02DF-472C-BD43-002ED8022395}" id="{C99945F0-5D58-4D9C-83FE-19914B2E0596}">
    <text>INADs e Marshals</text>
  </threadedComment>
  <threadedComment ref="AE15" dT="2025-03-25T16:33:42.98" personId="{7541D837-02DF-472C-BD43-002ED8022395}" id="{DC1D5927-EF57-4498-B9F7-E019D79FB6F3}">
    <text>INADs e apoio Marshals</text>
  </threadedComment>
  <threadedComment ref="AF15" dT="2025-03-25T16:33:54.84" personId="{7541D837-02DF-472C-BD43-002ED8022395}" id="{62F406A1-06A8-43FC-ADCC-332A33948FC4}">
    <text>INAD e apoio Marshals</text>
  </threadedComment>
  <threadedComment ref="AG15" dT="2025-03-25T16:34:04.48" personId="{7541D837-02DF-472C-BD43-002ED8022395}" id="{B8A9C69A-76F0-4E67-BB77-ECBA3C1A4F40}">
    <text>INADs e apoio Marshals</text>
  </threadedComment>
  <threadedComment ref="D16" dT="2025-02-11T12:46:35.52" personId="{7541D837-02DF-472C-BD43-002ED8022395}" id="{E327230F-1136-4612-AAF6-7C95E035095C}">
    <text>INADs</text>
  </threadedComment>
  <threadedComment ref="E16" dT="2025-02-11T12:46:22.52" personId="{7541D837-02DF-472C-BD43-002ED8022395}" id="{530E2C84-0A45-4A69-AF70-BCB7BCBB344E}">
    <text>INADs e Marshals</text>
  </threadedComment>
  <threadedComment ref="H16" dT="2025-02-11T12:48:41.78" personId="{7541D837-02DF-472C-BD43-002ED8022395}" id="{B7BF7FAA-D028-4C49-9707-696B97F44EF9}">
    <text>INADs</text>
  </threadedComment>
  <threadedComment ref="I16" dT="2025-02-11T12:46:47.69" personId="{7541D837-02DF-472C-BD43-002ED8022395}" id="{2ED06868-CAF5-4BDB-8A51-F36C0118B914}">
    <text>INADs e Marshals</text>
  </threadedComment>
  <threadedComment ref="J16" dT="2025-02-11T12:46:54.08" personId="{7541D837-02DF-472C-BD43-002ED8022395}" id="{A2354359-181B-4D89-82CA-82C7CC0353D1}">
    <text>INADs e Marshals</text>
  </threadedComment>
  <threadedComment ref="K16" dT="2025-02-11T12:46:58.36" personId="{7541D837-02DF-472C-BD43-002ED8022395}" id="{3CC3EB47-A131-4310-9513-788859E6698F}">
    <text>INADs</text>
  </threadedComment>
  <threadedComment ref="N16" dT="2025-02-27T15:47:57.44" personId="{7541D837-02DF-472C-BD43-002ED8022395}" id="{DD03FCA7-D981-45B0-B2D7-118DE7872FE4}">
    <text>INADS</text>
  </threadedComment>
  <threadedComment ref="O16" dT="2025-02-11T12:47:12.17" personId="{7541D837-02DF-472C-BD43-002ED8022395}" id="{1E7DEDD6-87B7-45CD-8984-2F1FE40E1B4B}">
    <text>INADs e Marshals</text>
  </threadedComment>
  <threadedComment ref="P16" dT="2025-02-11T12:47:15.92" personId="{7541D837-02DF-472C-BD43-002ED8022395}" id="{F9F95508-E5E8-48B0-82F2-9FFD228472E4}">
    <text>INADs e Marshals</text>
  </threadedComment>
  <threadedComment ref="Q16" dT="2025-02-11T12:47:19.61" personId="{7541D837-02DF-472C-BD43-002ED8022395}" id="{39958E38-ACA4-4A96-BFFA-C9D53AD1F3AF}">
    <text>INADs e Marshals</text>
  </threadedComment>
  <threadedComment ref="T16" dT="2025-02-11T12:47:31.34" personId="{7541D837-02DF-472C-BD43-002ED8022395}" id="{9A61D470-D637-4693-B550-FABF8904D2B8}">
    <text>INADs piso 2</text>
  </threadedComment>
  <threadedComment ref="U16" dT="2025-02-11T12:47:34.72" personId="{7541D837-02DF-472C-BD43-002ED8022395}" id="{DDC72714-F2D6-4482-BB0F-1396B7E4640E}">
    <text>INADs e Marshals</text>
  </threadedComment>
  <threadedComment ref="V16" dT="2025-02-11T12:47:38.38" personId="{7541D837-02DF-472C-BD43-002ED8022395}" id="{2ADEB70B-EBC2-4263-8E50-0B00956F56E5}">
    <text>INADs e Marshals</text>
  </threadedComment>
  <threadedComment ref="W16" dT="2025-02-11T12:48:11.83" personId="{7541D837-02DF-472C-BD43-002ED8022395}" id="{06D28D41-8A7F-4295-AD9B-27829371D358}">
    <text>INADs</text>
  </threadedComment>
  <threadedComment ref="Z16" dT="2025-02-11T12:47:55.53" personId="{7541D837-02DF-472C-BD43-002ED8022395}" id="{EBD7C677-574A-4FF3-B2FC-56CADF58529E}">
    <text>INADs e Marshals</text>
  </threadedComment>
  <threadedComment ref="AA16" dT="2025-02-11T12:48:57.44" personId="{7541D837-02DF-472C-BD43-002ED8022395}" id="{7BEC8BF5-9674-44AF-B9BC-27FD9D578695}">
    <text>INADs e Marshals</text>
  </threadedComment>
  <threadedComment ref="AB16" dT="2025-02-11T12:49:03.13" personId="{7541D837-02DF-472C-BD43-002ED8022395}" id="{AEFAE344-4363-4031-A4C3-51DD333AF40A}">
    <text>INADs e Marshals</text>
  </threadedComment>
  <threadedComment ref="AG16" dT="2025-02-11T12:50:26.14" personId="{7541D837-02DF-472C-BD43-002ED8022395}" id="{73D068BD-5256-48C7-A5DD-ADBA5BA2598C}">
    <text>INADs piso 2</text>
  </threadedComment>
  <threadedComment ref="F17" dT="2025-03-11T11:49:49.95" personId="{7541D837-02DF-472C-BD43-002ED8022395}" id="{4312E7E0-4197-4840-8949-305C5EA73B73}">
    <text>troca de turno com 07MAR</text>
  </threadedComment>
  <threadedComment ref="AE22" dT="2025-03-25T16:33:42.98" personId="{7541D837-02DF-472C-BD43-002ED8022395}" id="{C43CF473-348D-4E69-9DF8-09FAADD02535}">
    <text>apoio Marshals e INADs</text>
  </threadedComment>
  <threadedComment ref="D23" dT="2025-02-11T12:54:35.10" personId="{7541D837-02DF-472C-BD43-002ED8022395}" id="{040F61C3-3834-413A-9136-1BA9AFE7A878}">
    <text>INADs e Marshals</text>
  </threadedComment>
  <threadedComment ref="J23" dT="2025-02-11T12:54:46.58" personId="{7541D837-02DF-472C-BD43-002ED8022395}" id="{98155BDE-54FF-4CF4-A182-EB57B48260D8}">
    <text>INADs e Marshals</text>
  </threadedComment>
  <threadedComment ref="AD23" dT="2025-02-27T15:52:55.17" personId="{7541D837-02DF-472C-BD43-002ED8022395}" id="{9043FE27-5A9F-43DF-943E-2616F5A4555B}">
    <text>Marshals</text>
  </threadedComment>
  <threadedComment ref="AE23" dT="2025-03-25T16:33:42.98" personId="{7541D837-02DF-472C-BD43-002ED8022395}" id="{95BE91EA-A67F-403E-BA89-8D11FEAD643E}">
    <text>INADs e apoio Marshals</text>
  </threadedComment>
  <threadedComment ref="C24" dT="2025-02-11T12:54:26.02" personId="{7541D837-02DF-472C-BD43-002ED8022395}" id="{6EF6E735-0D20-4A85-BC54-2B7843DA9E3F}">
    <text>INADs e Marshals</text>
  </threadedComment>
  <threadedComment ref="O30" dT="2025-03-13T14:28:05.55" personId="{F1064E40-A32F-4F29-9607-D9EC7C7FCF87}" id="{544C732F-CB06-41B9-A078-A8930AE341F1}">
    <text>K: 12</text>
  </threadedComment>
  <threadedComment ref="P30" dT="2025-03-13T14:28:12.60" personId="{F1064E40-A32F-4F29-9607-D9EC7C7FCF87}" id="{EB53B717-9A04-4864-A6C3-F5F95D23A932}">
    <text>K: 13</text>
  </threadedComment>
  <threadedComment ref="I33" dT="2025-02-21T14:46:49.98" personId="{06172D48-E03B-4470-93EB-1F871B852D1E}" id="{EEBFF3E3-2C89-4C1C-A873-78650152F9BD}">
    <text xml:space="preserve">Pedido de troca
</text>
  </threadedComment>
  <threadedComment ref="K43" dT="2025-03-05T17:45:34.71" personId="{06172D48-E03B-4470-93EB-1F871B852D1E}" id="{16030E6E-19B7-40EF-BB8B-F88C18D787A7}">
    <text>Pedido de troca</text>
  </threadedComment>
  <threadedComment ref="Q46" dT="2025-02-24T10:50:43.42" personId="{06172D48-E03B-4470-93EB-1F871B852D1E}" id="{0E3166F0-4567-4CA6-9DD4-76D0523AB106}">
    <text xml:space="preserve">Compensacao folga 26/02
</text>
  </threadedComment>
  <threadedComment ref="Z46" dT="2025-03-06T15:56:24.18" personId="{06172D48-E03B-4470-93EB-1F871B852D1E}" id="{7D273BCD-E217-4118-80A6-936CD0A2180E}">
    <text>Pedido de troca</text>
  </threadedComment>
  <threadedComment ref="Z48" dT="2025-03-06T15:56:39.42" personId="{06172D48-E03B-4470-93EB-1F871B852D1E}" id="{D7EA145D-94DD-48BB-ADDB-9109346A9B1B}">
    <text>Pedido de troca</text>
  </threadedComment>
  <threadedComment ref="Z51" dT="2025-03-23T10:33:19.06" personId="{06172D48-E03B-4470-93EB-1F871B852D1E}" id="{1CC478B7-8ADE-426A-A26B-43EABD679AB4}">
    <text>FORMACAO</text>
  </threadedComment>
  <threadedComment ref="Q53" dT="2025-03-14T07:27:07.85" personId="{06172D48-E03B-4470-93EB-1F871B852D1E}" id="{6921208D-B368-4B49-90A3-5E99475AC43D}">
    <text>pedido de troca</text>
  </threadedComment>
  <threadedComment ref="X54" dT="2025-03-17T15:28:31.63" personId="{06172D48-E03B-4470-93EB-1F871B852D1E}" id="{1390BC1F-A7D2-49CF-8885-C6E227755262}">
    <text>troca</text>
  </threadedComment>
  <threadedComment ref="AF67" dT="2025-03-25T06:19:22.38" personId="{06172D48-E03B-4470-93EB-1F871B852D1E}" id="{7D333859-0783-4198-AA16-76D1B3E07883}">
    <text>LHX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R6" dT="2025-04-29T14:47:11.36" personId="{F1064E40-A32F-4F29-9607-D9EC7C7FCF87}" id="{21DB4D0A-D784-4E35-AEDE-C56092C66508}">
    <text>S3 - U</text>
  </threadedComment>
  <threadedComment ref="S6" dT="2025-04-29T14:47:19.46" personId="{F1064E40-A32F-4F29-9607-D9EC7C7FCF87}" id="{95E40948-0A8B-4774-826B-46E644447DD4}">
    <text>S3 - U</text>
  </threadedComment>
  <threadedComment ref="X6" dT="2025-04-29T14:47:26.11" personId="{F1064E40-A32F-4F29-9607-D9EC7C7FCF87}" id="{F4250843-27D2-496C-AE98-7E6C3D064529}">
    <text>S3 - U</text>
  </threadedComment>
  <threadedComment ref="V9" dT="2025-04-02T14:37:42.03" personId="{EBB1B9DA-E752-40CA-BA40-F02065FF0A8F}" id="{9AA3726F-9413-429C-849D-FE4C80910DF9}">
    <text>Aeroporto</text>
  </threadedComment>
  <threadedComment ref="W9" dT="2025-04-02T14:37:42.03" personId="{EBB1B9DA-E752-40CA-BA40-F02065FF0A8F}" id="{AFCFD69C-8241-4B14-B6F5-8942097E6E0B}">
    <text>Aeroporto</text>
  </threadedComment>
  <threadedComment ref="X9" dT="2025-04-02T14:37:42.03" personId="{EBB1B9DA-E752-40CA-BA40-F02065FF0A8F}" id="{D0453C03-BF80-418F-A161-B7341D58626E}">
    <text>Aeroporto</text>
  </threadedComment>
  <threadedComment ref="Y9" dT="2025-04-02T14:37:42.03" personId="{EBB1B9DA-E752-40CA-BA40-F02065FF0A8F}" id="{F5755AD4-5677-40AF-AC14-D4C9C4139204}">
    <text>Aeroporto</text>
  </threadedComment>
  <threadedComment ref="AC11" dT="2025-04-02T14:37:42.03" personId="{EBB1B9DA-E752-40CA-BA40-F02065FF0A8F}" id="{E04C646D-E995-480D-BE21-58A39143FF09}">
    <text>Aeroporto</text>
  </threadedComment>
  <threadedComment ref="AD11" dT="2025-04-02T14:37:42.03" personId="{EBB1B9DA-E752-40CA-BA40-F02065FF0A8F}" id="{1E4A2B77-7C13-413D-9DF9-5A62533E169E}">
    <text>Aeroporto</text>
  </threadedComment>
  <threadedComment ref="AE11" dT="2025-04-02T14:37:42.03" personId="{EBB1B9DA-E752-40CA-BA40-F02065FF0A8F}" id="{550BD204-1AD8-42A8-BF80-CEB4348497B0}">
    <text>Aeroporto</text>
  </threadedComment>
  <threadedComment ref="AF11" dT="2025-04-02T14:37:42.03" personId="{EBB1B9DA-E752-40CA-BA40-F02065FF0A8F}" id="{F12C1717-77F6-4573-9D25-4CDE5E5A92B1}">
    <text>Aeroporto</text>
  </threadedComment>
  <threadedComment ref="F15" dT="2025-03-25T10:01:33.56" personId="{7541D837-02DF-472C-BD43-002ED8022395}" id="{BADB2AC0-903E-4B6D-BE36-D4091B8E8D8D}">
    <text>inads piso 2</text>
  </threadedComment>
  <threadedComment ref="G15" dT="2025-03-28T12:36:08.83" personId="{7541D837-02DF-472C-BD43-002ED8022395}" id="{E8B4970B-DCCA-4D13-AA80-C7010153284E}">
    <text>inads piso 2</text>
  </threadedComment>
  <threadedComment ref="H15" dT="2025-03-28T12:39:20.71" personId="{7541D837-02DF-472C-BD43-002ED8022395}" id="{A8BA0960-52AC-4589-97F9-F86231539A6D}">
    <text>inads e marshals</text>
  </threadedComment>
  <threadedComment ref="W15" dT="2025-04-04T08:34:59.58" personId="{7541D837-02DF-472C-BD43-002ED8022395}" id="{5496EAE2-711C-4A21-93DB-720A71244EAE}">
    <text>marshals</text>
  </threadedComment>
  <threadedComment ref="X15" dT="2025-04-04T08:35:05.79" personId="{7541D837-02DF-472C-BD43-002ED8022395}" id="{2BE5E5FF-17F2-4182-AACE-F1D662EEE4C0}">
    <text>marshals</text>
  </threadedComment>
  <threadedComment ref="Y15" dT="2025-04-04T08:37:51.90" personId="{7541D837-02DF-472C-BD43-002ED8022395}" id="{4DB11E7D-93DB-48F6-AE31-F07D356484F9}">
    <text>INADS</text>
  </threadedComment>
  <threadedComment ref="Z15" dT="2025-04-04T08:37:58.25" personId="{7541D837-02DF-472C-BD43-002ED8022395}" id="{90DB0EB6-A779-4D3C-B0A9-4062A0294278}">
    <text>INADs</text>
  </threadedComment>
  <threadedComment ref="AC15" dT="2025-02-24T15:24:45.29" personId="{7541D837-02DF-472C-BD43-002ED8022395}" id="{4812AC9A-C4FD-4BED-8DBC-4BA0902B4358}">
    <text>INADs e Marshals</text>
  </threadedComment>
  <threadedComment ref="AD15" dT="2025-04-24T14:53:20.47" personId="{82F48BFA-1EBD-487C-AE0B-0B3554398DC1}" id="{A9BA9AB1-AD93-44D2-8C81-D7B23CDF60B4}">
    <text>INADs</text>
  </threadedComment>
  <threadedComment ref="C16" dT="2025-03-25T10:00:43.90" personId="{7541D837-02DF-472C-BD43-002ED8022395}" id="{88290D29-C78B-4DCE-870A-95F4233C1A30}">
    <text>inads e marshals</text>
  </threadedComment>
  <threadedComment ref="D16" dT="2025-03-28T12:35:48.57" personId="{7541D837-02DF-472C-BD43-002ED8022395}" id="{50A86355-EF9D-4537-8FE4-66A04B376493}">
    <text>inads e marshals</text>
  </threadedComment>
  <threadedComment ref="G16" dT="2025-03-28T12:36:42.46" personId="{7541D837-02DF-472C-BD43-002ED8022395}" id="{527CACA9-93D4-4D4F-B757-42268B672407}">
    <text>inads piso 2</text>
  </threadedComment>
  <threadedComment ref="H16" dT="2025-03-28T12:36:54.16" personId="{7541D837-02DF-472C-BD43-002ED8022395}" id="{491581C9-3B03-40D3-962F-BFB02F849672}">
    <text>inads piso 2</text>
  </threadedComment>
  <threadedComment ref="I16" dT="2025-03-28T12:37:16.18" personId="{7541D837-02DF-472C-BD43-002ED8022395}" id="{13D00AFE-BBC8-4288-991A-622B29A24D98}">
    <text>inads</text>
  </threadedComment>
  <threadedComment ref="J16" dT="2025-03-28T12:37:02.04" personId="{7541D837-02DF-472C-BD43-002ED8022395}" id="{9C05785B-FC6B-4777-985F-1EF811AC6E35}">
    <text>inads piso 2</text>
  </threadedComment>
  <threadedComment ref="M16" dT="2025-04-04T08:32:45.05" personId="{7541D837-02DF-472C-BD43-002ED8022395}" id="{034DE893-0151-4677-B931-6956E9BDDB1F}">
    <text>inads piso 2</text>
  </threadedComment>
  <threadedComment ref="N16" dT="2025-04-04T08:32:51.11" personId="{7541D837-02DF-472C-BD43-002ED8022395}" id="{BB46798C-DD33-4FE7-907E-3F5AF6D5AFB7}">
    <text>inads piso 2</text>
  </threadedComment>
  <threadedComment ref="O16" dT="2025-04-04T08:33:06.16" personId="{7541D837-02DF-472C-BD43-002ED8022395}" id="{EE456EE4-5D26-44B1-BAD4-A9EB6236663B}">
    <text>marshals e inads</text>
  </threadedComment>
  <threadedComment ref="Z16" dT="2025-04-04T08:39:50.61" personId="{7541D837-02DF-472C-BD43-002ED8022395}" id="{89A7006D-E8ED-4C6C-9221-54D2EB0A01F8}">
    <text>marshals e depo</text>
  </threadedComment>
  <threadedComment ref="AA16" dT="2025-04-04T08:39:02.62" personId="{7541D837-02DF-472C-BD43-002ED8022395}" id="{09D5321F-6BF0-4062-ACDE-AC618CEE83B6}">
    <text>marshals e depo</text>
  </threadedComment>
  <threadedComment ref="AB16" dT="2025-04-04T08:39:15.89" personId="{7541D837-02DF-472C-BD43-002ED8022395}" id="{6EB54673-1A41-47DA-BD8E-AEF96277FDBE}">
    <text xml:space="preserve">marshals </text>
  </threadedComment>
  <threadedComment ref="N17" dT="2025-04-04T08:32:33.31" personId="{7541D837-02DF-472C-BD43-002ED8022395}" id="{76702212-7A8A-4152-9E93-32FBF6DF4F3C}">
    <text>marshals e depo</text>
  </threadedComment>
  <threadedComment ref="AA17" dT="2025-04-04T08:40:04.70" personId="{7541D837-02DF-472C-BD43-002ED8022395}" id="{CCFBFA14-3ACF-401F-B744-B4F457D21DAD}">
    <text>depo</text>
  </threadedComment>
  <threadedComment ref="J18" dT="2025-04-02T08:24:15.37" personId="{7541D837-02DF-472C-BD43-002ED8022395}" id="{11AE2747-181C-4883-9B9D-FAF49007745D}">
    <text>DEPO</text>
  </threadedComment>
  <threadedComment ref="M18" dT="2025-04-04T08:31:25.01" personId="{7541D837-02DF-472C-BD43-002ED8022395}" id="{D462223D-33BA-411D-8E22-110CE75D9F49}">
    <text>DEPO</text>
  </threadedComment>
  <threadedComment ref="P18" dT="2025-04-04T08:33:26.69" personId="{7541D837-02DF-472C-BD43-002ED8022395}" id="{7BC6A38C-31C9-41DA-AEA8-0B3B99FC9CCB}">
    <text>DEPO</text>
  </threadedComment>
  <threadedComment ref="Y18" dT="2025-04-04T08:39:36.25" personId="{7541D837-02DF-472C-BD43-002ED8022395}" id="{F0406FA5-6834-4ECE-9AA1-F2F0125C347A}">
    <text>depo</text>
  </threadedComment>
  <threadedComment ref="AB18" dT="2025-04-03T14:16:13.55" personId="{7541D837-02DF-472C-BD43-002ED8022395}" id="{F72ACBEE-75BA-45A3-AA1E-7E276BB51501}">
    <text>DEPO</text>
  </threadedComment>
  <threadedComment ref="C23" dT="2025-03-28T12:38:41.91" personId="{7541D837-02DF-472C-BD43-002ED8022395}" id="{F942032A-F7E4-45EB-9233-31440E80D45A}">
    <text>inads e apoio marshals</text>
  </threadedComment>
  <threadedComment ref="D23" dT="2025-03-28T12:38:53.95" personId="{7541D837-02DF-472C-BD43-002ED8022395}" id="{43E27185-3E03-4B9F-A5EE-B9DF718C795F}">
    <text>inads apoio marshals</text>
  </threadedComment>
  <threadedComment ref="I23" dT="2025-04-02T08:23:13.74" personId="{7541D837-02DF-472C-BD43-002ED8022395}" id="{DB73CDB6-8C97-4632-9DD9-533C5FDBD4B7}">
    <text>inads e marshals</text>
  </threadedComment>
  <threadedComment ref="J23" dT="2025-04-02T08:23:23.88" personId="{7541D837-02DF-472C-BD43-002ED8022395}" id="{DCFEF40B-5051-4BB1-A13F-CD3035B88797}">
    <text>inads e marshals</text>
  </threadedComment>
  <threadedComment ref="AD23" dT="2025-04-24T14:52:59.92" personId="{82F48BFA-1EBD-487C-AE0B-0B3554398DC1}" id="{24324D46-5DDE-43D8-91D7-EEC9DDCDF351}">
    <text>Evento H.A</text>
  </threadedComment>
  <threadedComment ref="Y24" dT="2025-04-04T08:37:27.57" personId="{7541D837-02DF-472C-BD43-002ED8022395}" id="{9A1734EC-DC7E-4310-886E-B7BF50D1D3D6}">
    <text>RST</text>
  </threadedComment>
  <threadedComment ref="Z24" dT="2025-04-04T08:37:35.06" personId="{7541D837-02DF-472C-BD43-002ED8022395}" id="{F8D40E4B-0470-40E6-960A-2151BE782A38}">
    <text>RST</text>
  </threadedComment>
  <threadedComment ref="AA24" dT="2025-04-04T08:40:13.75" personId="{7541D837-02DF-472C-BD43-002ED8022395}" id="{77F393B4-2F80-4A67-AB42-99E49BD6729F}">
    <text>marshals e inads</text>
  </threadedComment>
  <threadedComment ref="S32" dT="2025-04-22T11:17:05.18" personId="{EBB1B9DA-E752-40CA-BA40-F02065FF0A8F}" id="{55AFEDC7-BB92-4530-99E1-6C8AB21BD312}">
    <text>Folga de compensação PIYC - 3may</text>
  </threadedComment>
  <threadedComment ref="H51" dT="2025-03-20T20:06:32.71" personId="{06172D48-E03B-4470-93EB-1F871B852D1E}" id="{8DBC1499-EBDD-40A1-9918-160EF0ECCCE9}">
    <text>pedido de troca</text>
  </threadedComment>
  <threadedComment ref="AA54" dT="2025-03-19T17:19:56.76" personId="{06172D48-E03B-4470-93EB-1F871B852D1E}" id="{38D09FC3-D004-4DFC-A6AB-811B1841993B}">
    <text>pedido de troca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N7" dT="2025-04-02T14:37:42.03" personId="{EBB1B9DA-E752-40CA-BA40-F02065FF0A8F}" id="{FF643AF5-AE31-4B91-B149-C593880DA889}">
    <text>Aeroporto - 11H50</text>
  </threadedComment>
  <threadedComment ref="O7" dT="2025-04-02T14:37:42.03" personId="{EBB1B9DA-E752-40CA-BA40-F02065FF0A8F}" id="{D9C89768-5059-4264-AA0D-E81071003577}">
    <text>Aeroporto</text>
  </threadedComment>
  <threadedComment ref="P7" dT="2025-04-02T14:37:42.03" personId="{EBB1B9DA-E752-40CA-BA40-F02065FF0A8F}" id="{3B044A71-4DC8-4B71-81AB-F06D7A4C94B0}">
    <text>Aeroporto</text>
  </threadedComment>
  <threadedComment ref="Q7" dT="2025-04-02T14:37:42.03" personId="{EBB1B9DA-E752-40CA-BA40-F02065FF0A8F}" id="{8B985B10-2769-4F5A-82A9-B7045E5CD00B}">
    <text>Aeroporto - 11H50</text>
  </threadedComment>
  <threadedComment ref="AC8" dT="2025-05-20T14:03:11.06" personId="{EBB1B9DA-E752-40CA-BA40-F02065FF0A8F}" id="{BF00358C-6206-43EE-952F-F9C054C7FE9B}">
    <text>Troca com o Duarte</text>
  </threadedComment>
  <threadedComment ref="H10" dT="2025-04-02T14:37:42.03" personId="{EBB1B9DA-E752-40CA-BA40-F02065FF0A8F}" id="{A985E7EA-F4C3-4319-B1C9-16C849E672FC}">
    <text>Aeroporto</text>
  </threadedComment>
  <threadedComment ref="I10" dT="2025-04-02T14:37:42.03" personId="{EBB1B9DA-E752-40CA-BA40-F02065FF0A8F}" id="{D0EE7547-691B-4FF3-AECE-9CDD5F01C751}">
    <text>Aeroporto</text>
  </threadedComment>
  <threadedComment ref="J10" dT="2025-04-02T14:37:42.03" personId="{EBB1B9DA-E752-40CA-BA40-F02065FF0A8F}" id="{BEECBB49-2493-449C-89C5-23E02FFF121D}">
    <text>Aeroporto</text>
  </threadedComment>
  <threadedComment ref="K10" dT="2025-04-02T14:37:42.03" personId="{EBB1B9DA-E752-40CA-BA40-F02065FF0A8F}" id="{93F76795-CCDB-4265-BFAD-0EEE5ECF5385}">
    <text>Aeroporto</text>
  </threadedComment>
  <threadedComment ref="X10" dT="2025-03-19T14:15:39.40" personId="{06172D48-E03B-4470-93EB-1F871B852D1E}" id="{D58A27E2-4321-4542-9EE1-77EAFC460976}">
    <text>pedido de troca</text>
  </threadedComment>
  <threadedComment ref="AA10" dT="2025-03-19T14:15:39.40" personId="{06172D48-E03B-4470-93EB-1F871B852D1E}" id="{F88EEC2C-D85E-46B1-9A3C-05F28F074460}">
    <text>pedido de troca</text>
  </threadedComment>
  <threadedComment ref="N11" dT="2025-03-08T14:16:24.35" personId="{06172D48-E03B-4470-93EB-1F871B852D1E}" id="{1734B66D-5573-49EA-82E5-6B021F5D98AE}">
    <text>Pedido de troca</text>
  </threadedComment>
  <threadedComment ref="O11" dT="2025-03-08T14:16:30.06" personId="{06172D48-E03B-4470-93EB-1F871B852D1E}" id="{C040FD54-961B-48FC-92F4-30FF8F1BFDFB}">
    <text>Pedido de troca</text>
  </threadedComment>
  <threadedComment ref="F12" dT="2025-03-30T04:57:07.43" personId="{06172D48-E03B-4470-93EB-1F871B852D1E}" id="{C42F8FD7-3A12-4FCD-A8AF-F5CC82458639}">
    <text>Pedido de troca</text>
  </threadedComment>
  <threadedComment ref="J12" dT="2025-04-02T14:37:42.03" personId="{EBB1B9DA-E752-40CA-BA40-F02065FF0A8F}" id="{FA85A79B-3237-4951-80AC-BE8A154E0D55}">
    <text>Aeroporto - 11H50</text>
  </threadedComment>
  <threadedComment ref="K12" dT="2025-04-02T14:37:42.03" personId="{EBB1B9DA-E752-40CA-BA40-F02065FF0A8F}" id="{86065ABE-9745-4A7E-82C2-4D5B219A861F}">
    <text>Aeroporto - 11H50</text>
  </threadedComment>
  <threadedComment ref="L12" dT="2025-04-02T14:37:42.03" personId="{EBB1B9DA-E752-40CA-BA40-F02065FF0A8F}" id="{DE87F3EF-E69B-43B7-9162-6BA409E24FA4}">
    <text>Aeroporto - 11H50</text>
  </threadedComment>
  <threadedComment ref="M12" dT="2025-04-02T14:37:42.03" personId="{EBB1B9DA-E752-40CA-BA40-F02065FF0A8F}" id="{A49A95FF-4BD8-4023-837D-4098E6F06C86}">
    <text>Aeroporto - 11H50</text>
  </threadedComment>
  <threadedComment ref="G15" dT="2025-05-02T10:52:48.13" personId="{7541D837-02DF-472C-BD43-002ED8022395}" id="{A44FB9B4-C0BC-46BE-BA4F-D121ACA1EA46}">
    <text>DEPO</text>
  </threadedComment>
  <threadedComment ref="H15" dT="2025-05-02T10:52:43.24" personId="{7541D837-02DF-472C-BD43-002ED8022395}" id="{0F782D2D-E2F6-43CF-86E0-A000EBA03AC1}">
    <text>DEPO</text>
  </threadedComment>
  <threadedComment ref="X15" dT="2025-05-08T09:14:28.82" personId="{82F48BFA-1EBD-487C-AE0B-0B3554398DC1}" id="{CC498964-4C94-4615-88A8-7A86C996B50B}">
    <text>Turno SM e INADs</text>
  </threadedComment>
  <threadedComment ref="Y15" dT="2025-04-30T13:50:43.26" personId="{7541D837-02DF-472C-BD43-002ED8022395}" id="{2E79EA06-E431-4E4C-AF7E-BCAC8F3F1E6E}">
    <text>INAD</text>
  </threadedComment>
  <threadedComment ref="Z15" dT="2025-04-30T13:50:48.94" personId="{7541D837-02DF-472C-BD43-002ED8022395}" id="{93BACDD0-6297-432E-B08D-10BCA80C509F}">
    <text>INAD e SM</text>
  </threadedComment>
  <threadedComment ref="AC15" dT="2025-04-30T13:54:36.96" personId="{7541D837-02DF-472C-BD43-002ED8022395}" id="{3199DCEC-B7C6-4F5A-8504-9C9DD52F85DC}">
    <text>INAD</text>
  </threadedComment>
  <threadedComment ref="AD15" dT="2025-04-30T13:54:48.26" personId="{7541D837-02DF-472C-BD43-002ED8022395}" id="{1E6F75D9-E55C-4E12-9B41-21CB5B044EE8}">
    <text>INAD</text>
  </threadedComment>
  <threadedComment ref="AE15" dT="2025-04-30T13:54:57.55" personId="{7541D837-02DF-472C-BD43-002ED8022395}" id="{92C78F4A-6BBD-4ABA-9446-E7E222CAD6FC}">
    <text>INAD</text>
  </threadedComment>
  <threadedComment ref="AF15" dT="2025-04-30T13:55:04.07" personId="{7541D837-02DF-472C-BD43-002ED8022395}" id="{57DED5CF-4C1F-4E25-8B56-72E3FD7CC074}">
    <text>INAD</text>
  </threadedComment>
  <threadedComment ref="I16" dT="2025-04-30T13:31:26.75" personId="{7541D837-02DF-472C-BD43-002ED8022395}" id="{8DCF8A26-3C44-4409-9A75-5B611BB6D20E}">
    <text>INAD e Marshals</text>
  </threadedComment>
  <threadedComment ref="J16" dT="2025-04-30T13:31:21.48" personId="{7541D837-02DF-472C-BD43-002ED8022395}" id="{894C4090-323B-4C07-AB5A-C0E2F11DFE28}">
    <text>INAD e Marshals</text>
  </threadedComment>
  <threadedComment ref="M16" dT="2025-05-05T12:20:50.73" personId="{7541D837-02DF-472C-BD43-002ED8022395}" id="{D789D843-B2E9-4A07-B5E2-B46DE588A08C}">
    <text>Marshals e INAD</text>
  </threadedComment>
  <threadedComment ref="N16" dT="2025-05-05T12:21:04.21" personId="{7541D837-02DF-472C-BD43-002ED8022395}" id="{A7AF8313-4CAE-422E-9516-03370F9D5FB3}">
    <text>Marshals e INAD</text>
  </threadedComment>
  <threadedComment ref="Y16" dT="2025-05-05T12:22:32.42" personId="{7541D837-02DF-472C-BD43-002ED8022395}" id="{399EB661-914A-4FB4-A50F-8637E1E77F5B}">
    <text xml:space="preserve">Marshals INAD </text>
  </threadedComment>
  <threadedComment ref="Z16" dT="2025-05-05T12:22:37.06" personId="{7541D837-02DF-472C-BD43-002ED8022395}" id="{00AE1EEB-4748-444A-9F9F-C5EFF02915C5}">
    <text>Marshals e DEPO</text>
  </threadedComment>
  <threadedComment ref="AA16" dT="2025-05-05T12:22:40.56" personId="{7541D837-02DF-472C-BD43-002ED8022395}" id="{9915F3D7-5865-41AF-B9C8-22E3866C293E}">
    <text xml:space="preserve">Marshals INAD /DEPO </text>
  </threadedComment>
  <threadedComment ref="AB16" dT="2025-05-05T12:22:44.14" personId="{7541D837-02DF-472C-BD43-002ED8022395}" id="{C4CE7566-E089-4BCB-86BE-95C9FC10155D}">
    <text>Marshals INAD</text>
  </threadedComment>
  <threadedComment ref="M17" dT="2025-05-02T10:00:49.76" personId="{7541D837-02DF-472C-BD43-002ED8022395}" id="{01A279E6-3785-4C8D-B3C0-F50FA3DD2FE5}">
    <text>TRSC refresh</text>
  </threadedComment>
  <threadedComment ref="N17" dT="2025-05-02T10:00:54.56" personId="{7541D837-02DF-472C-BD43-002ED8022395}" id="{7DF3D009-0B4F-4E4F-9B09-F8925CE33F3F}">
    <text>TRSC refresh</text>
  </threadedComment>
  <threadedComment ref="Q17" dT="2025-05-02T10:50:03.44" personId="{7541D837-02DF-472C-BD43-002ED8022395}" id="{27616F6E-16FA-41CF-B2AA-1AADC57A1877}">
    <text>TRSC refresh</text>
  </threadedComment>
  <threadedComment ref="R17" dT="2025-05-02T10:50:15.79" personId="{7541D837-02DF-472C-BD43-002ED8022395}" id="{3236F648-6B2C-4417-BE59-BB097B2735E5}">
    <text>TRSC refresh</text>
  </threadedComment>
  <threadedComment ref="S17" dT="2025-05-02T10:50:37.16" personId="{7541D837-02DF-472C-BD43-002ED8022395}" id="{2B802B5C-027B-4972-AFB6-6A29DF629FD3}">
    <text>TRSC refresh</text>
  </threadedComment>
  <threadedComment ref="T17" dT="2025-05-02T10:50:44.52" personId="{7541D837-02DF-472C-BD43-002ED8022395}" id="{EEC04143-E83B-4B60-BB00-BF345DBCB005}">
    <text>TRSC refresh</text>
  </threadedComment>
  <threadedComment ref="F18" dT="2025-04-30T13:56:10.09" personId="{7541D837-02DF-472C-BD43-002ED8022395}" id="{677CE902-AB4F-4E94-9E66-E3C2927A0953}">
    <text>DEPO</text>
  </threadedComment>
  <threadedComment ref="I18" dT="2025-04-30T13:42:31.91" personId="{7541D837-02DF-472C-BD43-002ED8022395}" id="{BD500117-6C3A-4B81-9B88-7FEE5E22B4F9}">
    <text>DEPO</text>
  </threadedComment>
  <threadedComment ref="J18" dT="2025-04-30T13:42:26.80" personId="{7541D837-02DF-472C-BD43-002ED8022395}" id="{0E6C6374-55F5-4FD6-8664-E6442B23A770}">
    <text>DEPO</text>
  </threadedComment>
  <threadedComment ref="X18" dT="2025-05-14T14:32:32.18" personId="{82F48BFA-1EBD-487C-AE0B-0B3554398DC1}" id="{24BAA2C9-1989-429C-A866-A94E40DE0D5C}">
    <text>Formaçao Segurança Burgo - 11H30</text>
  </threadedComment>
  <threadedComment ref="AA18" dT="2025-05-23T08:28:42.08" personId="{7541D837-02DF-472C-BD43-002ED8022395}" id="{6898FC50-8C61-46F7-A1C2-742D2F49D4B2}">
    <text>DEPO e Marshals</text>
  </threadedComment>
  <threadedComment ref="Q22" dT="2025-04-16T12:52:31.29" personId="{B0E28831-4287-47AD-AE33-435B3F722430}" id="{D57B8AEB-B334-461F-9357-D7F07483114E}">
    <text>Compensar - Dia F trabalhado 29MAR</text>
  </threadedComment>
  <threadedComment ref="N23" dT="2025-05-08T09:13:56.54" personId="{82F48BFA-1EBD-487C-AE0B-0B3554398DC1}" id="{CC696A0E-AE7C-4862-84EE-203B44ACC86B}">
    <text>Training PNR History</text>
  </threadedComment>
  <threadedComment ref="X23" dT="2025-05-08T09:15:04.32" personId="{82F48BFA-1EBD-487C-AE0B-0B3554398DC1}" id="{3D35E9A9-4743-498E-8257-8208C6E2245E}">
    <text>Folga de compensacao relativa a dia 12MAY25</text>
  </threadedComment>
  <threadedComment ref="Y26" dT="2025-05-14T14:38:09.42" personId="{82F48BFA-1EBD-487C-AE0B-0B3554398DC1}" id="{C9863657-C99D-4551-BCEB-198BB1FCDD26}">
    <text>Formaçao Segurança Burgo - 11:30H</text>
  </threadedComment>
  <threadedComment ref="Y26" dT="2025-05-20T14:29:14.89" personId="{7541D837-02DF-472C-BD43-002ED8022395}" id="{D2A0E566-93FA-4049-8302-608E7231EE53}" parentId="{C9863657-C99D-4551-BCEB-198BB1FCDD26}">
    <text>Formacao RST</text>
  </threadedComment>
  <threadedComment ref="AB26" dT="2025-05-20T14:29:24.63" personId="{7541D837-02DF-472C-BD43-002ED8022395}" id="{2EFB9E7C-DF05-4B35-8234-C822ACB00E5A}">
    <text>Formacao RST</text>
  </threadedComment>
  <threadedComment ref="AC26" dT="2025-05-20T14:29:32.95" personId="{7541D837-02DF-472C-BD43-002ED8022395}" id="{B60C4204-C901-4823-B02C-90CB56D7498E}">
    <text>Formacao RST</text>
  </threadedComment>
  <threadedComment ref="Q29" dT="2025-05-06T17:03:33.34" personId="{06172D48-E03B-4470-93EB-1F871B852D1E}" id="{1FD87BB9-2650-4AF3-9B7E-32EF0EB6BBAE}">
    <text>Pedido de troca</text>
  </threadedComment>
  <threadedComment ref="N30" dT="2025-03-08T14:16:24.35" personId="{06172D48-E03B-4470-93EB-1F871B852D1E}" id="{B175E91D-F380-457C-B699-DCC383D2B3A7}">
    <text>Pedido de troca</text>
  </threadedComment>
  <threadedComment ref="O30" dT="2025-03-08T14:18:52.02" personId="{06172D48-E03B-4470-93EB-1F871B852D1E}" id="{DB7B87BC-9B29-490C-AD48-62CE3FCD79A8}">
    <text>Pedido de troca</text>
  </threadedComment>
  <threadedComment ref="AF31" dT="2025-05-07T13:11:21.92" personId="{06172D48-E03B-4470-93EB-1F871B852D1E}" id="{43829521-296D-4FEB-9509-207861FD60A3}">
    <text>Pedido de troca</text>
  </threadedComment>
  <threadedComment ref="E32" dT="2025-04-22T11:16:20.43" personId="{EBB1B9DA-E752-40CA-BA40-F02065FF0A8F}" id="{7E5A2135-2A64-42AF-8A24-5202A26FA9AD}">
    <text xml:space="preserve">Folga de compensação PIYC  - 17APR </text>
  </threadedComment>
  <threadedComment ref="AC35" dT="2025-05-20T13:54:09.81" personId="{EBB1B9DA-E752-40CA-BA40-F02065FF0A8F}" id="{EC26BB5B-6C33-450B-8A67-0F5816CB3FE4}">
    <text>Troca de folga com Ana Magalhães</text>
  </threadedComment>
  <threadedComment ref="P37" dT="2025-04-22T15:12:38.37" personId="{EBB1B9DA-E752-40CA-BA40-F02065FF0A8F}" id="{F81ECE26-274A-47FB-B010-A689E2D99B53}">
    <text>Pedido de troca</text>
  </threadedComment>
  <threadedComment ref="AC37" dT="2025-05-08T12:09:48.97" personId="{EBB1B9DA-E752-40CA-BA40-F02065FF0A8F}" id="{B6F78135-C5FE-4746-B7C0-83F8EECD56B7}">
    <text>Flash Trainings - 11H30 às 16H</text>
  </threadedComment>
  <threadedComment ref="Q40" dT="2025-04-22T15:12:27.88" personId="{EBB1B9DA-E752-40CA-BA40-F02065FF0A8F}" id="{F3FDBD5E-DBC4-4FFE-A5C2-AB0532C233D2}">
    <text>Pedido de troca</text>
  </threadedComment>
  <threadedComment ref="AD40" dT="2025-05-08T12:09:48.97" personId="{EBB1B9DA-E752-40CA-BA40-F02065FF0A8F}" id="{14E69A27-54E2-435C-9B04-816563E58C3E}">
    <text>Flash Trainings - 11H30 às 16H</text>
  </threadedComment>
  <threadedComment ref="AC48" dT="2025-05-08T12:09:48.97" personId="{EBB1B9DA-E752-40CA-BA40-F02065FF0A8F}" id="{7E0F44E3-FD59-49D4-9BEA-4645E2679A6F}">
    <text>Flash Trainings - 11H30 às 16H</text>
  </threadedComment>
  <threadedComment ref="Q49" dT="2025-05-08T12:09:48.97" personId="{EBB1B9DA-E752-40CA-BA40-F02065FF0A8F}" id="{EAC7340D-2E9D-4DA0-AB77-7A0161A0B6E9}">
    <text>Flash Trainings - 11H30 às 16H</text>
  </threadedComment>
  <threadedComment ref="R50" dT="2025-05-08T12:09:48.97" personId="{EBB1B9DA-E752-40CA-BA40-F02065FF0A8F}" id="{E1A60122-EE48-4652-B1A1-D0ED1B59C78F}">
    <text>Flash Trainings - 11H30 às 16H</text>
  </threadedComment>
  <threadedComment ref="V50" dT="2025-05-12T08:57:18.88" personId="{06172D48-E03B-4470-93EB-1F871B852D1E}" id="{BDD8EBAF-357B-4A75-AAF4-0BDCBD0154DB}">
    <text>Folga compensacao 16Maio</text>
  </threadedComment>
  <threadedComment ref="AD52" dT="2025-05-08T12:09:48.97" personId="{EBB1B9DA-E752-40CA-BA40-F02065FF0A8F}" id="{39C5565F-5117-46B3-A8F4-05809A39B83D}">
    <text>Flash Trainings - 11H30 às 16H</text>
  </threadedComment>
  <threadedComment ref="AC53" dT="2025-05-08T12:09:48.97" personId="{EBB1B9DA-E752-40CA-BA40-F02065FF0A8F}" id="{02398223-C31B-45B9-A76D-645A884919DE}">
    <text>Flash Trainings - 11H30 às 16H</text>
  </threadedComment>
  <threadedComment ref="AD53" dT="2025-05-08T12:09:48.97" personId="{EBB1B9DA-E752-40CA-BA40-F02065FF0A8F}" id="{EA7E3709-72CA-4550-A677-3C0D4C8049E2}">
    <text>Flash Trainings - 11H30 às 16H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U6" dT="2025-06-16T10:47:42.75" personId="{EBB1B9DA-E752-40CA-BA40-F02065FF0A8F}" id="{65A0DEF4-CAB0-43B2-A8EE-E3493C7E95B1}">
    <text>Reforço turno RBC</text>
  </threadedComment>
  <threadedComment ref="P7" dT="2025-03-26T10:43:09.20" personId="{EBB1B9DA-E752-40CA-BA40-F02065FF0A8F}" id="{262711C6-130F-4A9F-8876-225D1E6C6E22}">
    <text>Troca com a Ana Magalhães</text>
  </threadedComment>
  <threadedComment ref="AC7" dT="2025-06-13T11:57:12.23" personId="{EBB1B9DA-E752-40CA-BA40-F02065FF0A8F}" id="{AE1595F6-C87C-4347-B833-CDCFEDD436DD}">
    <text>Pedido de troca</text>
  </threadedComment>
  <threadedComment ref="E8" dT="2025-05-23T11:30:33.55" personId="{EBB1B9DA-E752-40CA-BA40-F02065FF0A8F}" id="{27AFFEB5-66B1-4207-8788-E870D26848B5}">
    <text>Troca com o Duarte</text>
  </threadedComment>
  <threadedComment ref="P8" dT="2025-05-07T15:38:44.68" personId="{EBB1B9DA-E752-40CA-BA40-F02065FF0A8F}" id="{A959ADB0-73C2-45E8-BB90-445C85349EEB}">
    <text>Troca com o joão santos silva</text>
  </threadedComment>
  <threadedComment ref="X10" dT="2025-05-12T09:31:37.24" personId="{EBB1B9DA-E752-40CA-BA40-F02065FF0A8F}" id="{1B84A9D4-1261-474F-8730-D585B0C72882}">
    <text>Pedido de troca</text>
  </threadedComment>
  <threadedComment ref="K11" dT="2025-05-28T16:10:45.81" personId="{06172D48-E03B-4470-93EB-1F871B852D1E}" id="{71CB3E95-F947-4CA0-BE70-DA2A180C3360}">
    <text>TRAINING EN</text>
  </threadedComment>
  <threadedComment ref="AE11" dT="2025-03-08T14:16:24.35" personId="{06172D48-E03B-4470-93EB-1F871B852D1E}" id="{496414BD-D54A-41CD-9E29-412ED3ADBF5B}">
    <text>Pedido de troca</text>
  </threadedComment>
  <threadedComment ref="D15" dT="2025-05-20T14:31:21.77" personId="{7541D837-02DF-472C-BD43-002ED8022395}" id="{1AA0C184-1C99-4982-8CF2-C9AF45BE3C06}">
    <text>INADS</text>
  </threadedComment>
  <threadedComment ref="N15" dT="2025-06-06T15:07:10.80" personId="{82F48BFA-1EBD-487C-AE0B-0B3554398DC1}" id="{62C8FAD9-DEE4-4998-B729-F2965F2B5DA1}">
    <text>SM + INAD a partir de 19H</text>
  </threadedComment>
  <threadedComment ref="C16" dT="2025-05-14T13:45:46.22" personId="{7541D837-02DF-472C-BD43-002ED8022395}" id="{3704B898-CCB6-4754-9E52-3D5DB18A1126}">
    <text>INADs</text>
  </threadedComment>
  <threadedComment ref="D16" dT="2025-05-21T11:06:06.15" personId="{7541D837-02DF-472C-BD43-002ED8022395}" id="{80B55490-C5BB-4638-B555-E5896A7EF976}">
    <text>INADs</text>
  </threadedComment>
  <threadedComment ref="I16" dT="2025-05-30T11:23:44.88" personId="{7541D837-02DF-472C-BD43-002ED8022395}" id="{3CBA5532-4551-4A8F-81EB-36C3A8C5212E}">
    <text>INAD e Marshals</text>
  </threadedComment>
  <threadedComment ref="J16" dT="2025-05-30T11:23:51.93" personId="{7541D837-02DF-472C-BD43-002ED8022395}" id="{502D6C0D-8AF6-4CF9-9479-76253B7C9EE6}">
    <text>INAD</text>
  </threadedComment>
  <threadedComment ref="M16" dT="2025-05-29T14:24:57.86" personId="{7541D837-02DF-472C-BD43-002ED8022395}" id="{BC2C6E4B-ABC9-45E6-8767-37DE69F9BAF6}">
    <text>DEPO</text>
  </threadedComment>
  <threadedComment ref="N16" dT="2025-05-29T14:25:03.72" personId="{7541D837-02DF-472C-BD43-002ED8022395}" id="{4809ADA5-7CFE-4292-BA9A-5674A95AA721}">
    <text>DEPO</text>
  </threadedComment>
  <threadedComment ref="O16" dT="2025-06-12T14:44:07.96" personId="{82F48BFA-1EBD-487C-AE0B-0B3554398DC1}" id="{35D9729F-5D8F-4B41-A86A-A91192718B07}">
    <text>SM+INAD</text>
  </threadedComment>
  <threadedComment ref="P16" dT="2025-06-12T14:44:19.67" personId="{82F48BFA-1EBD-487C-AE0B-0B3554398DC1}" id="{4D89B53C-E109-4E98-A969-3295ADA75103}">
    <text>SM+INAD</text>
  </threadedComment>
  <threadedComment ref="S16" dT="2025-06-12T14:48:11.35" personId="{82F48BFA-1EBD-487C-AE0B-0B3554398DC1}" id="{182FC59A-6DC1-4960-B436-1C80254EAF41}">
    <text>SM+INAD</text>
  </threadedComment>
  <threadedComment ref="U16" dT="2025-05-29T14:25:45.74" personId="{7541D837-02DF-472C-BD43-002ED8022395}" id="{11C1610A-7FEF-4F76-B1FA-32C66FE42C1B}">
    <text>INADs e Marshals</text>
  </threadedComment>
  <threadedComment ref="V16" dT="2025-05-29T14:25:57.72" personId="{7541D837-02DF-472C-BD43-002ED8022395}" id="{0A180EDC-6A33-433B-BC87-D69E02B468AB}">
    <text>INADs e Marshals</text>
  </threadedComment>
  <threadedComment ref="Y16" dT="2025-05-02T13:41:30.48" personId="{7541D837-02DF-472C-BD43-002ED8022395}" id="{C5A276CC-6581-4946-94A5-868EFCDEF49C}">
    <text>INADs e Marshals</text>
  </threadedComment>
  <threadedComment ref="Z16" dT="2025-05-29T14:28:03.75" personId="{7541D837-02DF-472C-BD43-002ED8022395}" id="{94AF50ED-60ED-474E-90C2-0E209F0F9CAB}">
    <text>INADs e Marshals</text>
  </threadedComment>
  <threadedComment ref="AA16" dT="2025-05-30T11:25:01.62" personId="{7541D837-02DF-472C-BD43-002ED8022395}" id="{9E0F948F-763A-4658-AABC-ECC79C06194B}">
    <text>INAD</text>
  </threadedComment>
  <threadedComment ref="AB16" dT="2025-05-30T11:25:07.78" personId="{7541D837-02DF-472C-BD43-002ED8022395}" id="{B768EB66-62E3-46BC-8C7F-B1892830163C}">
    <text>INAD</text>
  </threadedComment>
  <threadedComment ref="G17" dT="2025-05-29T14:18:43.46" personId="{7541D837-02DF-472C-BD43-002ED8022395}" id="{D6045229-3E92-43BD-A208-67A89DBD3774}">
    <text>TRSC</text>
  </threadedComment>
  <threadedComment ref="H17" dT="2025-05-29T14:18:50.32" personId="{7541D837-02DF-472C-BD43-002ED8022395}" id="{A9386BA9-0331-49C1-89D7-BB42E67AAC0B}">
    <text>TRSC</text>
  </threadedComment>
  <threadedComment ref="C22" dT="2025-05-14T13:43:37.72" personId="{7541D837-02DF-472C-BD43-002ED8022395}" id="{61D0EB4E-2F44-4AFF-81D9-A16FAD222FE8}">
    <text>Marshals e INADs</text>
  </threadedComment>
  <threadedComment ref="Q22" dT="2025-06-12T14:44:41.32" personId="{82F48BFA-1EBD-487C-AE0B-0B3554398DC1}" id="{FD4E9863-FA67-461B-A5D5-49C0030339E8}">
    <text>SM+INAD</text>
  </threadedComment>
  <threadedComment ref="R22" dT="2025-06-12T14:44:44.88" personId="{82F48BFA-1EBD-487C-AE0B-0B3554398DC1}" id="{635D5D59-3880-47CE-A9E8-36153FD9A270}">
    <text>SM+INAD</text>
  </threadedComment>
  <threadedComment ref="W22" dT="2025-05-29T14:27:02.49" personId="{7541D837-02DF-472C-BD43-002ED8022395}" id="{BF8DC158-DEEF-4B68-ADFA-FA52AD7D2355}">
    <text>INADs e Marshals</text>
  </threadedComment>
  <threadedComment ref="X22" dT="2025-05-29T14:27:16.03" personId="{7541D837-02DF-472C-BD43-002ED8022395}" id="{459BE5D7-1FDE-4B43-A217-539835541996}">
    <text>INADs e Marshals</text>
  </threadedComment>
  <threadedComment ref="K23" dT="2025-05-05T12:24:07.85" personId="{7541D837-02DF-472C-BD43-002ED8022395}" id="{4896E527-7198-4273-AA67-53AE60DAE275}">
    <text>Marshals</text>
  </threadedComment>
  <threadedComment ref="L23" dT="2025-05-05T12:24:15.52" personId="{7541D837-02DF-472C-BD43-002ED8022395}" id="{A5E402B4-9847-46C4-88C9-0BCB093E7C6B}">
    <text xml:space="preserve">Marshals
</text>
  </threadedComment>
  <threadedComment ref="Q23" dT="2025-05-05T12:25:00.41" personId="{7541D837-02DF-472C-BD43-002ED8022395}" id="{B1218148-9C76-4095-81F8-87E83DF3EB19}">
    <text>Marshals</text>
  </threadedComment>
  <threadedComment ref="R23" dT="2025-05-05T12:24:49.69" personId="{7541D837-02DF-472C-BD43-002ED8022395}" id="{21F9B48A-13CC-4A71-9D4D-71110193F600}">
    <text>Marshals</text>
  </threadedComment>
  <threadedComment ref="R23" dT="2025-05-28T15:33:00.46" personId="{06172D48-E03B-4470-93EB-1F871B852D1E}" id="{E02B6643-A41E-4D5E-BA83-2AB773AD1E5A}" parentId="{21F9B48A-13CC-4A71-9D4D-71110193F600}">
    <text>formacao seguranca aeroporto</text>
  </threadedComment>
  <threadedComment ref="W23" dT="2025-05-05T12:25:25.57" personId="{7541D837-02DF-472C-BD43-002ED8022395}" id="{BDB85927-F967-4405-A3B4-A85C3ABFB990}">
    <text>Marshals</text>
  </threadedComment>
  <threadedComment ref="X23" dT="2025-05-05T12:25:33.92" personId="{7541D837-02DF-472C-BD43-002ED8022395}" id="{C54B7509-2C76-4B32-BF95-C4ECED2AD2B7}">
    <text>Marshals</text>
  </threadedComment>
  <threadedComment ref="AC23" dT="2025-06-25T13:15:21.10" personId="{82F48BFA-1EBD-487C-AE0B-0B3554398DC1}" id="{780C646B-A761-4E4E-A2DD-CDB9094BAA19}">
    <text>INAD+SM</text>
  </threadedComment>
  <threadedComment ref="AD23" dT="2025-06-25T13:15:29.71" personId="{82F48BFA-1EBD-487C-AE0B-0B3554398DC1}" id="{5FD83524-6D0E-4142-B264-A599BFA7CFB2}">
    <text>INAD+SM</text>
  </threadedComment>
  <threadedComment ref="J24" dT="2025-05-23T08:35:01.08" personId="{7541D837-02DF-472C-BD43-002ED8022395}" id="{EECAC8EA-DBEE-42C9-B1A1-3D409F5BD9B6}">
    <text>acerto fim de semana 24 e 25MAY</text>
  </threadedComment>
  <threadedComment ref="AC25" dT="2025-06-25T13:15:25.54" personId="{82F48BFA-1EBD-487C-AE0B-0B3554398DC1}" id="{414783C8-24CF-4332-A5A5-609FD478C6DA}">
    <text>INAD+SM</text>
  </threadedComment>
  <threadedComment ref="AD25" dT="2025-06-25T13:15:33.49" personId="{82F48BFA-1EBD-487C-AE0B-0B3554398DC1}" id="{1B726BF3-18EB-467A-B52F-BF426B809A08}">
    <text>INAD+SM</text>
  </threadedComment>
  <threadedComment ref="F30" dT="2025-05-07T13:09:53.08" personId="{06172D48-E03B-4470-93EB-1F871B852D1E}" id="{BC2299B1-4962-4EC3-B24A-E8EAD5F771E8}">
    <text>Pedido de troca</text>
  </threadedComment>
  <threadedComment ref="AA33" dT="2025-06-20T13:18:33.24" personId="{EBB1B9DA-E752-40CA-BA40-F02065FF0A8F}" id="{C8F34013-83B8-465B-AA36-76E2F72AC189}">
    <text>troca de folga dia 30 de junho</text>
  </threadedComment>
  <threadedComment ref="AF33" dT="2025-06-20T13:18:55.81" personId="{EBB1B9DA-E752-40CA-BA40-F02065FF0A8F}" id="{8E39FB3B-DAD1-4736-9AB1-E4E12AB51BBE}">
    <text>Pedido de troca.
Folga dia 25 de junho</text>
  </threadedComment>
  <threadedComment ref="E34" dT="2025-05-23T11:30:48.88" personId="{EBB1B9DA-E752-40CA-BA40-F02065FF0A8F}" id="{F4AE8169-11F4-42B3-882D-0729A43C1DFA}">
    <text>Troca com Ana Magalhaes</text>
  </threadedComment>
  <threadedComment ref="R37" dT="2025-05-29T14:40:56.72" personId="{06172D48-E03B-4470-93EB-1F871B852D1E}" id="{A00F5209-E575-4399-AB1B-F9203E698EA2}">
    <text xml:space="preserve">formacao seguranca aeroporto
</text>
  </threadedComment>
  <threadedComment ref="D46" dT="2025-05-24T06:33:43.78" personId="{06172D48-E03B-4470-93EB-1F871B852D1E}" id="{25042B92-28AF-4E55-83F4-1FDB7B56B352}">
    <text>Pedido de troca</text>
  </threadedComment>
  <threadedComment ref="I52" dT="2025-06-04T04:49:04.56" personId="{06172D48-E03B-4470-93EB-1F871B852D1E}" id="{E8BCACD5-E67C-49DB-8745-82CA68BE065E}">
    <text>Pedido de troca</text>
  </threadedComment>
  <threadedComment ref="AD60" dT="2025-06-03T12:46:33.74" personId="{06172D48-E03B-4470-93EB-1F871B852D1E}" id="{15F76F20-02AB-4E09-99CE-A03177631C20}">
    <text>Pedido de troca com a Catia</text>
  </threadedComment>
  <threadedComment ref="N61" dT="2025-06-03T12:46:08.64" personId="{06172D48-E03B-4470-93EB-1F871B852D1E}" id="{8D9A6E02-9426-4602-B343-02D29344E8DB}">
    <text>pedido de troca com a Telma</text>
  </threadedComment>
  <threadedComment ref="G62" dT="2025-05-22T11:56:46.17" personId="{F1064E40-A32F-4F29-9607-D9EC7C7FCF87}" id="{DE9AC54E-1995-40DB-B7AC-63AF244AB88B}">
    <text>E: Sai as 12h</text>
  </threadedComment>
  <threadedComment ref="M62" dT="2025-05-22T11:57:08.70" personId="{F1064E40-A32F-4F29-9607-D9EC7C7FCF87}" id="{67C55363-CFA9-467A-A1BE-C8151FF99C76}">
    <text>E: Sai as 19h</text>
  </threadedComment>
  <threadedComment ref="N62" dT="2025-05-22T11:57:08.70" personId="{F1064E40-A32F-4F29-9607-D9EC7C7FCF87}" id="{E97D7D26-553B-458F-853F-31A57A261032}">
    <text>E: Sai as 19h</text>
  </threadedComment>
  <threadedComment ref="O62" dT="2025-05-22T11:57:08.70" personId="{F1064E40-A32F-4F29-9607-D9EC7C7FCF87}" id="{364E38D0-DC77-4ED4-9971-92DEF022D567}">
    <text>E: Sai as 19h</text>
  </threadedComment>
  <threadedComment ref="R62" dT="2025-05-22T11:57:41.26" personId="{F1064E40-A32F-4F29-9607-D9EC7C7FCF87}" id="{E29D1702-21DD-4493-81F3-23A24F3CB97D}">
    <text>E: Entra as 07h</text>
  </threadedComment>
  <threadedComment ref="S62" dT="2025-05-22T11:57:47.01" personId="{F1064E40-A32F-4F29-9607-D9EC7C7FCF87}" id="{5B1D406C-6C66-4CD9-8984-533965DCB40D}">
    <text>E: Entra as 07h</text>
  </threadedComment>
  <threadedComment ref="AA62" dT="2025-05-22T11:58:08.64" personId="{F1064E40-A32F-4F29-9607-D9EC7C7FCF87}" id="{906AC52E-2364-4887-B3B8-EE06E83D268E}">
    <text>E: Sai as 19h</text>
  </threadedComment>
  <threadedComment ref="AF62" dT="2025-05-22T11:58:31.59" personId="{F1064E40-A32F-4F29-9607-D9EC7C7FCF87}" id="{62B6B3BB-BB79-428E-AA91-5B06551EFF7C}">
    <text>E: Entra as 07h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W8" dT="2025-06-06T11:22:37.62" personId="{EBB1B9DA-E752-40CA-BA40-F02065FF0A8F}" id="{B3A9564E-1283-451D-8B31-A8AA70096286}">
    <text>Troca de folga com o Joao - 14 de Junho</text>
  </threadedComment>
  <threadedComment ref="AA10" dT="2025-07-23T14:44:10.57" personId="{EBB1B9DA-E752-40CA-BA40-F02065FF0A8F}" id="{E28AAE01-717F-441B-A401-7A20589BE6A8}">
    <text>Pedido de troca</text>
  </threadedComment>
  <threadedComment ref="C16" dT="2025-06-11T15:05:09.33" personId="{82F48BFA-1EBD-487C-AE0B-0B3554398DC1}" id="{B3191547-2197-4EBA-9E04-C82D609052D1}">
    <text>Troca aprovada com Tiago Abreu relativo a 01 e 27 de Julho</text>
  </threadedComment>
  <threadedComment ref="F18" dT="2025-07-04T11:32:04.67" personId="{82F48BFA-1EBD-487C-AE0B-0B3554398DC1}" id="{C74B00B1-8994-4E39-9A93-55CEF5D099B9}">
    <text>SM</text>
  </threadedComment>
  <threadedComment ref="F23" dT="2025-07-04T11:32:10.36" personId="{82F48BFA-1EBD-487C-AE0B-0B3554398DC1}" id="{EC5A306D-8B9B-4375-B283-762E71D3FA73}">
    <text>Inad</text>
  </threadedComment>
  <threadedComment ref="AC23" dT="2025-06-11T15:06:25.18" personId="{82F48BFA-1EBD-487C-AE0B-0B3554398DC1}" id="{C79D277E-E383-4913-AF3A-057ACDEC53C5}">
    <text>Troca aprovada com Tiago Abreu relativo a 01 e 27 de Julho</text>
  </threadedComment>
  <threadedComment ref="E24" dT="2025-05-29T14:15:44.72" personId="{7541D837-02DF-472C-BD43-002ED8022395}" id="{B93229D1-027A-4ED4-AD8F-050FBF6E1BEA}">
    <text>INADs e Marshals</text>
  </threadedComment>
  <threadedComment ref="F24" dT="2025-05-29T14:15:55.47" personId="{7541D837-02DF-472C-BD43-002ED8022395}" id="{0C5B6D4D-C423-4A09-B001-5822EF56E870}">
    <text>INADs e Marshals</text>
  </threadedComment>
  <threadedComment ref="Q24" dT="2025-07-11T11:08:46.91" personId="{82F48BFA-1EBD-487C-AE0B-0B3554398DC1}" id="{DFF96084-5AC1-49F1-BFC7-7B59317DC40A}">
    <text>INAD piso 2</text>
  </threadedComment>
  <threadedComment ref="R24" dT="2025-07-11T11:07:34.88" personId="{82F48BFA-1EBD-487C-AE0B-0B3554398DC1}" id="{598E8C48-4CD9-4448-B844-4314AB5E18B4}">
    <text>SM</text>
  </threadedComment>
  <threadedComment ref="U24" dT="2025-05-21T13:28:45.15" personId="{7541D837-02DF-472C-BD43-002ED8022395}" id="{6B2D1F76-93E1-4467-BEB3-2E00A3A16CD6}">
    <text>folga compensacao 07junho</text>
  </threadedComment>
  <threadedComment ref="AA24" dT="2025-07-02T10:20:02.77" personId="{82F48BFA-1EBD-487C-AE0B-0B3554398DC1}" id="{1EA8F878-558A-4347-A97C-40A838A4E4AA}">
    <text>SM+INAD</text>
  </threadedComment>
  <threadedComment ref="AB24" dT="2025-07-02T10:20:06.03" personId="{82F48BFA-1EBD-487C-AE0B-0B3554398DC1}" id="{5251686E-3277-406C-ADEC-3F5931BD5907}">
    <text>SM+INAD</text>
  </threadedComment>
  <threadedComment ref="AC24" dT="2025-07-02T14:04:35.52" personId="{82F48BFA-1EBD-487C-AE0B-0B3554398DC1}" id="{8CD9730B-8437-413E-A99C-5F4CBC19A7A3}">
    <text>SM+INAD</text>
  </threadedComment>
  <threadedComment ref="E26" dT="2025-07-02T10:24:04.91" personId="{82F48BFA-1EBD-487C-AE0B-0B3554398DC1}" id="{DB332942-612F-4D65-89B9-D4EC5C08574C}">
    <text>SM</text>
  </threadedComment>
  <threadedComment ref="F26" dT="2025-07-02T10:24:08.35" personId="{82F48BFA-1EBD-487C-AE0B-0B3554398DC1}" id="{6A8E8FDA-755D-4100-9273-2859A6A660D1}">
    <text>SM</text>
  </threadedComment>
  <threadedComment ref="K26" dT="2025-07-02T10:17:35.69" personId="{82F48BFA-1EBD-487C-AE0B-0B3554398DC1}" id="{450FA82A-F3DF-47DB-85AC-F3F8A3B35382}">
    <text>SM</text>
  </threadedComment>
  <threadedComment ref="L26" dT="2025-07-02T10:17:39.86" personId="{82F48BFA-1EBD-487C-AE0B-0B3554398DC1}" id="{445B38C0-F31B-484B-96A1-F013A8036FA6}">
    <text>SM</text>
  </threadedComment>
  <threadedComment ref="Q26" dT="2025-07-02T10:17:56.41" personId="{82F48BFA-1EBD-487C-AE0B-0B3554398DC1}" id="{510EACA7-55B3-4928-9FE9-0511E905858D}">
    <text>SM</text>
  </threadedComment>
  <threadedComment ref="R26" dT="2025-07-11T11:07:42.88" personId="{82F48BFA-1EBD-487C-AE0B-0B3554398DC1}" id="{4C34FB98-6283-41C7-BBE3-391A10DCF5B5}">
    <text xml:space="preserve">INAD piso 2
</text>
  </threadedComment>
  <threadedComment ref="S26" dT="2025-07-11T11:08:27.73" personId="{82F48BFA-1EBD-487C-AE0B-0B3554398DC1}" id="{6062D470-3F69-4CA3-8DAE-307F9E8CD2E0}">
    <text>INAD piso 2</text>
  </threadedComment>
  <threadedComment ref="T26" dT="2025-07-11T11:08:30.80" personId="{82F48BFA-1EBD-487C-AE0B-0B3554398DC1}" id="{9E414EE4-55DE-4338-B942-354E3243257A}">
    <text>INAD piso 2</text>
  </threadedComment>
  <threadedComment ref="X26" dT="2025-07-02T10:18:28.42" personId="{82F48BFA-1EBD-487C-AE0B-0B3554398DC1}" id="{DBBDFB0C-033D-4C6E-8D41-93747DAA0875}">
    <text>SM</text>
  </threadedComment>
  <threadedComment ref="Y26" dT="2025-07-02T10:18:47.89" personId="{82F48BFA-1EBD-487C-AE0B-0B3554398DC1}" id="{46DF0105-5A13-4553-A19D-9AD1F6DA737D}">
    <text>SM+INAD</text>
  </threadedComment>
  <threadedComment ref="Z26" dT="2025-07-02T10:18:51.59" personId="{82F48BFA-1EBD-487C-AE0B-0B3554398DC1}" id="{707982E8-4073-4DD9-8015-13DEF2D54680}">
    <text>SM+INAD</text>
  </threadedComment>
  <threadedComment ref="AD26" dT="2025-07-02T10:20:20.72" personId="{82F48BFA-1EBD-487C-AE0B-0B3554398DC1}" id="{41EBF4D8-89F7-486D-AAE3-8B8B71589198}">
    <text>SM</text>
  </threadedComment>
  <threadedComment ref="Z37" dT="2025-07-23T14:31:12.55" personId="{06172D48-E03B-4470-93EB-1F871B852D1E}" id="{571B98E0-AD00-464C-8A97-E4581EF55536}">
    <text>Pedido de troca</text>
  </threadedComment>
  <threadedComment ref="F38" dT="2025-06-22T13:17:26.84" personId="{06172D48-E03B-4470-93EB-1F871B852D1E}" id="{468B2AA7-E761-41D4-BDE1-380EFA43EA14}">
    <text xml:space="preserve">Formacao EN
</text>
  </threadedComment>
  <threadedComment ref="C45" dT="2025-06-19T07:12:28.21" personId="{06172D48-E03B-4470-93EB-1F871B852D1E}" id="{D9E8DA3F-F6B7-4C43-A1E1-DAE31983EF25}">
    <text>Pedido de troca</text>
  </threadedComment>
  <threadedComment ref="D52" dT="2025-06-22T13:17:04.28" personId="{06172D48-E03B-4470-93EB-1F871B852D1E}" id="{21D58A2B-A149-4CD3-975A-7500616B7D88}">
    <text>Formacao EN</text>
  </threadedComment>
  <threadedComment ref="E52" dT="2025-06-22T13:17:14.33" personId="{06172D48-E03B-4470-93EB-1F871B852D1E}" id="{FE8E0BE0-1F78-4672-9125-9E37CB4CF303}">
    <text>Formacao EN</text>
  </threadedComment>
  <threadedComment ref="G62" dT="2025-07-04T14:58:27.44" personId="{BF801294-ED43-0E4D-9CAC-827A62000D4E}" id="{896A6402-F385-42D9-ADD1-D0113AE74AE2}">
    <text xml:space="preserve">sai as 19h
</text>
  </threadedComment>
  <threadedComment ref="I62" dT="2025-05-22T12:01:35.21" personId="{F1064E40-A32F-4F29-9607-D9EC7C7FCF87}" id="{5871C584-77C6-4D1F-A755-C8BDF7A0CC06}">
    <text>E: Sai as 19h</text>
  </threadedComment>
  <threadedComment ref="S62" dT="2025-05-22T12:02:18.05" personId="{F1064E40-A32F-4F29-9607-D9EC7C7FCF87}" id="{CC2C1A78-0A1A-412F-935A-AFEEB15DD28E}">
    <text>E: Entra as 16h</text>
  </threadedComment>
  <threadedComment ref="T62" dT="2025-05-22T12:02:40.88" personId="{F1064E40-A32F-4F29-9607-D9EC7C7FCF87}" id="{E53995AE-A352-4CA8-A5BE-867FA025489A}">
    <text>E: Sai as 19h</text>
  </threadedComment>
  <threadedComment ref="U62" dT="2025-07-17T13:38:16.74" personId="{F1064E40-A32F-4F29-9607-D9EC7C7FCF87}" id="{2CF239CA-40B2-4B12-BF4A-12E9FCE7127B}">
    <text>E: Sai as 19h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R7" dT="2025-07-31T14:49:51.82" personId="{EBB1B9DA-E752-40CA-BA40-F02065FF0A8F}" id="{9765F2D1-5100-42CC-B619-ADC67BCC1C7D}">
    <text>Troca com a Catia Martins</text>
  </threadedComment>
  <threadedComment ref="W7" dT="2025-07-31T14:52:01.60" personId="{EBB1B9DA-E752-40CA-BA40-F02065FF0A8F}" id="{21B4E038-5BE4-4B1A-A1F7-F45563CB4041}">
    <text>Troca com a Catia Martins</text>
  </threadedComment>
  <threadedComment ref="V8" dT="2025-07-18T06:23:07.76" personId="{06172D48-E03B-4470-93EB-1F871B852D1E}" id="{D4D4C47E-C214-4FEC-85DE-0061B633BDEE}">
    <text>Flash training</text>
  </threadedComment>
  <threadedComment ref="R12" dT="2025-07-31T14:50:21.63" personId="{EBB1B9DA-E752-40CA-BA40-F02065FF0A8F}" id="{668FBF98-EA1D-4396-B0DD-446A4597BBAA}">
    <text>Troca com o Joao Santos Silva</text>
  </threadedComment>
  <threadedComment ref="V12" dT="2025-07-18T06:21:57.49" personId="{06172D48-E03B-4470-93EB-1F871B852D1E}" id="{B82E6E88-767F-48AC-AA3E-0A82E5EF37B2}">
    <text>Flash Training</text>
  </threadedComment>
  <threadedComment ref="W12" dT="2025-07-31T14:52:16.49" personId="{EBB1B9DA-E752-40CA-BA40-F02065FF0A8F}" id="{7B1445D4-C99D-446D-970C-40F8873A58AA}">
    <text>Troca com o Joao Santos Silva</text>
  </threadedComment>
  <threadedComment ref="F17" dT="2025-07-31T09:06:39.39" personId="{82F48BFA-1EBD-487C-AE0B-0B3554398DC1}" id="{3B64D334-1762-479B-9FB8-1D0798DCA534}">
    <text>Piso 13- Refresh TRSC com Liliana P</text>
  </threadedComment>
  <threadedComment ref="O17" dT="2025-07-31T09:27:09.27" personId="{82F48BFA-1EBD-487C-AE0B-0B3554398DC1}" id="{1EB0F494-8100-4C21-9F70-C54E2A12E211}">
    <text>SM+INAD</text>
  </threadedComment>
  <threadedComment ref="R17" dT="2025-07-31T09:27:12.12" personId="{82F48BFA-1EBD-487C-AE0B-0B3554398DC1}" id="{5902C812-BED1-475C-8203-15E99D578C2D}">
    <text>SM+INAD</text>
  </threadedComment>
  <threadedComment ref="U17" dT="2025-08-19T12:41:42.41" personId="{82F48BFA-1EBD-487C-AE0B-0B3554398DC1}" id="{880204E2-0905-4A0C-B7D2-A5EB29C66EB7}">
    <text>SM+INAD</text>
  </threadedComment>
  <threadedComment ref="V17" dT="2025-08-19T12:41:50.19" personId="{82F48BFA-1EBD-487C-AE0B-0B3554398DC1}" id="{E4247943-A2C1-4218-8645-EC38ACBF3B00}">
    <text>SM+INAD</text>
  </threadedComment>
  <threadedComment ref="W17" dT="2025-08-19T12:41:50.19" personId="{82F48BFA-1EBD-487C-AE0B-0B3554398DC1}" id="{334F4B6F-1B44-4253-BDB3-D556B617E597}">
    <text>SM+INAD</text>
  </threadedComment>
  <threadedComment ref="X17" dT="2025-08-19T12:41:54.77" personId="{82F48BFA-1EBD-487C-AE0B-0B3554398DC1}" id="{F5BE9A21-96FD-4EB0-8D7C-E5A9EE8E6E27}">
    <text>SM+INAD</text>
  </threadedComment>
  <threadedComment ref="AA17" dT="2025-07-18T06:21:57.49" personId="{06172D48-E03B-4470-93EB-1F871B852D1E}" id="{A9EC30E1-A99E-49D0-9A19-403F0CDDE1F0}">
    <text>Flash Training</text>
  </threadedComment>
  <threadedComment ref="AC17" dT="2025-08-20T12:03:37.08" personId="{82F48BFA-1EBD-487C-AE0B-0B3554398DC1}" id="{1C7FFFE0-890B-4590-BEC0-654067A83668}">
    <text>SM+INAD</text>
  </threadedComment>
  <threadedComment ref="AD17" dT="2025-08-20T12:03:40.20" personId="{82F48BFA-1EBD-487C-AE0B-0B3554398DC1}" id="{2A63144A-C1D6-499D-A726-05F94062226A}">
    <text>SM+INAD</text>
  </threadedComment>
  <threadedComment ref="F18" dT="2025-07-31T09:06:54.06" personId="{82F48BFA-1EBD-487C-AE0B-0B3554398DC1}" id="{9A80832D-324A-4995-AA9B-961075F989DC}">
    <text>SM+INAD</text>
  </threadedComment>
  <threadedComment ref="I18" dT="2025-07-31T09:27:59.53" personId="{82F48BFA-1EBD-487C-AE0B-0B3554398DC1}" id="{083FC189-45BD-4021-A913-4372A4564AE0}">
    <text>Refresh TRSC inicial com Tiago Abreu</text>
  </threadedComment>
  <threadedComment ref="J18" dT="2025-07-31T09:28:03.29" personId="{82F48BFA-1EBD-487C-AE0B-0B3554398DC1}" id="{0C6AD1CF-E5B4-4022-80AF-2789BE896877}">
    <text>Refresh TRSC inicial com Tiago Abreu</text>
  </threadedComment>
  <threadedComment ref="O18" dT="2025-07-31T09:26:58.59" personId="{82F48BFA-1EBD-487C-AE0B-0B3554398DC1}" id="{518FFF8B-5F8B-4DDB-A424-6A9025E8D515}">
    <text>Refresh TRSC piso 13 - com Liliana P.</text>
  </threadedComment>
  <threadedComment ref="R18" dT="2025-07-31T09:27:02.23" personId="{82F48BFA-1EBD-487C-AE0B-0B3554398DC1}" id="{DD066539-A436-47A8-B207-BF4ABFA01B2E}">
    <text>Refresh TRSC piso 13 - com Liliana P.</text>
  </threadedComment>
  <threadedComment ref="U18" dT="2025-08-18T11:26:31.07" personId="{82F48BFA-1EBD-487C-AE0B-0B3554398DC1}" id="{E55D33BD-7695-4DD2-9C2F-D68559DF5E7B}">
    <text>Refresh TRSC</text>
  </threadedComment>
  <threadedComment ref="V18" dT="2025-08-18T11:26:34.10" personId="{82F48BFA-1EBD-487C-AE0B-0B3554398DC1}" id="{C0BC1D24-EF51-4EB6-8EE6-41C56B230DE8}">
    <text>Refresh TRSC</text>
  </threadedComment>
  <threadedComment ref="W18" dT="2025-08-18T11:26:34.10" personId="{82F48BFA-1EBD-487C-AE0B-0B3554398DC1}" id="{5CD3F436-AFB3-4FD5-8574-9474A4DC11E0}">
    <text>Refresh TRSC</text>
  </threadedComment>
  <threadedComment ref="X18" dT="2025-08-18T11:26:37.16" personId="{82F48BFA-1EBD-487C-AE0B-0B3554398DC1}" id="{EF3DCE9A-DE51-4B35-8E93-2E1434B45109}">
    <text>Refresh TRSC</text>
  </threadedComment>
  <threadedComment ref="AA18" dT="2025-08-22T14:53:17.32" personId="{82F48BFA-1EBD-487C-AE0B-0B3554398DC1}" id="{AEBB695B-26D6-45E6-B688-A2D8ECB877E5}">
    <text>SM+INAD</text>
  </threadedComment>
  <threadedComment ref="V27" dT="2025-07-18T06:21:57.49" personId="{06172D48-E03B-4470-93EB-1F871B852D1E}" id="{31FB83BD-BCE0-4BA0-97F5-50FF7F9CD83B}">
    <text>Flash Training</text>
  </threadedComment>
  <threadedComment ref="J29" dT="2025-07-16T09:07:40.81" personId="{06172D48-E03B-4470-93EB-1F871B852D1E}" id="{2E12A46A-D0D8-4209-A584-87DB95AE7D3A}">
    <text xml:space="preserve">Troca com a Joana </text>
  </threadedComment>
  <threadedComment ref="K33" dT="2025-06-22T13:17:43.13" personId="{06172D48-E03B-4470-93EB-1F871B852D1E}" id="{F884E4E2-BD86-4174-894B-50E7AA6620C5}">
    <text>Formacao EN</text>
  </threadedComment>
  <threadedComment ref="AB33" dT="2025-07-18T06:21:57.49" personId="{06172D48-E03B-4470-93EB-1F871B852D1E}" id="{C6BE659B-45B9-454A-A17F-D93C47EEEDDF}">
    <text>Flash Training</text>
  </threadedComment>
  <threadedComment ref="J35" dT="2025-07-23T16:07:04.33" personId="{06172D48-E03B-4470-93EB-1F871B852D1E}" id="{D94DF2E5-D38B-42CC-B884-3F51730642B7}">
    <text>Formacao EN</text>
  </threadedComment>
  <threadedComment ref="P35" dT="2025-07-16T06:52:26.27" personId="{06172D48-E03B-4470-93EB-1F871B852D1E}" id="{8FC322B1-6B0A-4868-B726-BD35BEBCC10D}">
    <text>Troca direta com o Carlos</text>
  </threadedComment>
  <threadedComment ref="AB35" dT="2025-07-18T06:21:57.49" personId="{06172D48-E03B-4470-93EB-1F871B852D1E}" id="{95621A0D-271E-455D-9832-B4FD0509F54E}">
    <text>Flash Training</text>
  </threadedComment>
  <threadedComment ref="AC40" dT="2025-07-18T06:23:07.76" personId="{06172D48-E03B-4470-93EB-1F871B852D1E}" id="{9392A6FD-54ED-45AC-BF1B-7F573B3B9AD2}">
    <text>Flash training</text>
  </threadedComment>
  <threadedComment ref="K41" dT="2025-08-08T08:26:29.60" personId="{06172D48-E03B-4470-93EB-1F871B852D1E}" id="{929DB514-14FB-4628-A7B6-43F4853B5940}">
    <text>Troca LHX</text>
  </threadedComment>
  <threadedComment ref="L41" dT="2025-08-08T08:26:33.90" personId="{06172D48-E03B-4470-93EB-1F871B852D1E}" id="{0290677A-2015-4F62-AA79-5236CDE1C0E8}">
    <text>Troca LHX</text>
  </threadedComment>
  <threadedComment ref="AB48" dT="2025-07-18T06:23:07.76" personId="{06172D48-E03B-4470-93EB-1F871B852D1E}" id="{B6D902A3-8CD9-445F-8EEB-850D9E8C4893}">
    <text>Flash training</text>
  </threadedComment>
  <threadedComment ref="AA49" dT="2025-07-18T06:21:57.49" personId="{06172D48-E03B-4470-93EB-1F871B852D1E}" id="{959F5EA6-D5D6-4EDC-883B-6A556CDFB8F9}">
    <text>Flash Training</text>
  </threadedComment>
  <threadedComment ref="AE49" dT="2025-08-10T08:14:51.76" personId="{06172D48-E03B-4470-93EB-1F871B852D1E}" id="{50B40ADB-7414-46AE-9081-FECB324B1F5E}">
    <text>LHX</text>
  </threadedComment>
  <threadedComment ref="AF49" dT="2025-08-10T08:14:51.76" personId="{06172D48-E03B-4470-93EB-1F871B852D1E}" id="{A2861889-5132-4A15-A47C-9AE3E80727E9}">
    <text>LHX</text>
  </threadedComment>
  <threadedComment ref="Y51" dT="2025-08-08T09:01:48.81" personId="{06172D48-E03B-4470-93EB-1F871B852D1E}" id="{0014AEAC-CBC9-4DDE-B50A-54E4CF789ABD}">
    <text xml:space="preserve">troca lhx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L6" dT="2025-08-22T11:13:46.59" personId="{82F48BFA-1EBD-487C-AE0B-0B3554398DC1}" id="{B59805CA-BF58-4D8E-8742-5E5B69323C62}">
    <text>Revisao plano de formaçao HubStar com Marta Vieira</text>
  </threadedComment>
  <threadedComment ref="J16" dT="2025-07-17T10:43:55.66" personId="{82F48BFA-1EBD-487C-AE0B-0B3554398DC1}" id="{29164CE4-F508-4E8B-9C0A-2AFC0CF62D09}">
    <text>Duty Trip - FRA BPOL Asyl</text>
  </threadedComment>
  <threadedComment ref="AA16" dT="2025-08-19T09:55:35.01" personId="{82F48BFA-1EBD-487C-AE0B-0B3554398DC1}" id="{98FBE24D-DAE9-4FEA-BE42-7BD3A79D40AB}">
    <text>Folga de compensaçao relativa a dia 08SEP</text>
  </threadedComment>
  <threadedComment ref="N18" dT="2025-09-02T07:35:25.33" personId="{82F48BFA-1EBD-487C-AE0B-0B3554398DC1}" id="{6E52DF38-0F39-4963-B701-86058C90ED92}">
    <text>SM+INAD</text>
  </threadedComment>
  <threadedComment ref="T18" dT="2025-09-17T12:18:39.80" personId="{82F48BFA-1EBD-487C-AE0B-0B3554398DC1}" id="{E78225AB-4C0F-4E71-856A-631FCD01D9A9}">
    <text>SM+INAD</text>
  </threadedComment>
  <threadedComment ref="U18" dT="2025-09-17T12:18:44.25" personId="{82F48BFA-1EBD-487C-AE0B-0B3554398DC1}" id="{282412D1-378D-41C5-B203-A24ABA3F2831}">
    <text>SM+INAD</text>
  </threadedComment>
  <threadedComment ref="V18" dT="2025-09-17T12:18:47.36" personId="{82F48BFA-1EBD-487C-AE0B-0B3554398DC1}" id="{F00C71CF-48B4-4DE8-8316-7540AC392839}">
    <text>SM+INAD</text>
  </threadedComment>
  <threadedComment ref="W18" dT="2025-09-17T12:18:50.58" personId="{82F48BFA-1EBD-487C-AE0B-0B3554398DC1}" id="{4D2CC0A0-F02B-47EE-B9BD-4AD69616F686}">
    <text>SM+INAD</text>
  </threadedComment>
  <threadedComment ref="Z18" dT="2025-09-17T12:18:58.94" personId="{82F48BFA-1EBD-487C-AE0B-0B3554398DC1}" id="{7D837D59-0A2D-498C-AEC3-5AAB2EE1FBB9}">
    <text>SM+INAD</text>
  </threadedComment>
  <threadedComment ref="AA18" dT="2025-09-17T12:19:02.30" personId="{82F48BFA-1EBD-487C-AE0B-0B3554398DC1}" id="{BDACC75C-2C5D-4F8F-9F45-5867B24C6DB0}">
    <text>SM+INAD</text>
  </threadedComment>
  <threadedComment ref="AB18" dT="2025-09-17T12:19:05.28" personId="{82F48BFA-1EBD-487C-AE0B-0B3554398DC1}" id="{0F3C71DD-87D8-40A6-9D82-B8D4FAF164D8}">
    <text>SM+INAD</text>
  </threadedComment>
  <threadedComment ref="AC18" dT="2025-09-17T12:19:09.28" personId="{82F48BFA-1EBD-487C-AE0B-0B3554398DC1}" id="{67C3EE1E-D291-4E9A-8624-2C88544199C1}">
    <text>SM+INAD</text>
  </threadedComment>
  <threadedComment ref="AF18" dT="2025-09-17T12:19:16.86" personId="{82F48BFA-1EBD-487C-AE0B-0B3554398DC1}" id="{9EACAEEB-4E6D-49E4-8E29-59CC1DC1B0BC}">
    <text>SM+INAD</text>
  </threadedComment>
  <threadedComment ref="N19" dT="2025-09-02T07:35:31.22" personId="{82F48BFA-1EBD-487C-AE0B-0B3554398DC1}" id="{B5F565DC-8554-434A-82EB-4E207CFFE31D}">
    <text>RST</text>
  </threadedComment>
  <threadedComment ref="S20" dT="2025-09-17T12:09:30.42" personId="{82F48BFA-1EBD-487C-AE0B-0B3554398DC1}" id="{CE44FDE7-AB3F-4AA2-A867-2E5BA8CC3529}">
    <text>SM+INAD</text>
  </threadedComment>
  <threadedComment ref="T20" dT="2025-09-17T12:09:34.42" personId="{82F48BFA-1EBD-487C-AE0B-0B3554398DC1}" id="{7B8A322B-E9BE-4D2D-8BB0-CCDFDB394297}">
    <text>SM+INAD</text>
  </threadedComment>
  <threadedComment ref="U20" dT="2025-09-17T12:09:38.02" personId="{82F48BFA-1EBD-487C-AE0B-0B3554398DC1}" id="{2BF2377A-BD35-4C40-B179-AF129887050E}">
    <text>SM+INAD</text>
  </threadedComment>
  <threadedComment ref="X20" dT="2025-09-17T12:17:51.93" personId="{82F48BFA-1EBD-487C-AE0B-0B3554398DC1}" id="{CBD1C30F-EC9C-4CA5-A94E-CE80FA258D03}">
    <text>SM+INAD</text>
  </threadedComment>
  <threadedComment ref="Y20" dT="2025-09-17T12:17:55.15" personId="{82F48BFA-1EBD-487C-AE0B-0B3554398DC1}" id="{527DBD2C-7C5D-43A6-A4AB-5A45FC59A426}">
    <text>SM+INAD</text>
  </threadedComment>
  <threadedComment ref="Z20" dT="2025-09-17T12:18:01.54" personId="{82F48BFA-1EBD-487C-AE0B-0B3554398DC1}" id="{0015DFF4-7E7F-4D0D-8CBA-2B4ADF94117B}">
    <text>SM+INAD</text>
  </threadedComment>
  <threadedComment ref="AA20" dT="2025-09-17T12:18:04.73" personId="{82F48BFA-1EBD-487C-AE0B-0B3554398DC1}" id="{25A1D9D0-C364-425E-8F5A-B23F309C37ED}">
    <text>SM+INAD</text>
  </threadedComment>
  <threadedComment ref="U32" dT="2025-09-15T13:58:55.81" personId="{82F48BFA-1EBD-487C-AE0B-0B3554398DC1}" id="{D4349A88-EC40-414D-AF0A-876DBFA8E773}">
    <text>Formaçao Travel Care com José Pedro Couto</text>
  </threadedComment>
  <threadedComment ref="N40" dT="2025-03-24T06:11:31.99" personId="{06172D48-E03B-4470-93EB-1F871B852D1E}" id="{31131BD5-2515-4C39-8681-C15BFAD3C19B}">
    <text>pedido de troca com a Catia N</text>
  </threadedComment>
  <threadedComment ref="I41" dT="2025-09-01T13:56:45.66" personId="{06172D48-E03B-4470-93EB-1F871B852D1E}" id="{4926E83F-B9E1-4814-B345-3306A376F680}">
    <text>Pedido de troca</text>
  </threadedComment>
  <threadedComment ref="U42" dT="2025-09-10T10:37:55.39" personId="{82F48BFA-1EBD-487C-AE0B-0B3554398DC1}" id="{C9D04F69-3835-4CD8-9FC5-483E9719F615}">
    <text>World Clean Up Day (Voluntariado)</text>
  </threadedComment>
  <threadedComment ref="V42" dT="2025-07-10T13:25:05.82" personId="{06172D48-E03B-4470-93EB-1F871B852D1E}" id="{50643DD2-5674-4751-9E0C-8E8541F89D44}">
    <text>Pedido de troca</text>
  </threadedComment>
  <threadedComment ref="W48" dT="2025-09-09T16:59:56.72" personId="{06172D48-E03B-4470-93EB-1F871B852D1E}" id="{958103DF-1867-44C3-9127-24E7962A1C99}">
    <text>LHX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6" dT="2025-09-26T09:35:32.18" personId="{06172D48-E03B-4470-93EB-1F871B852D1E}" id="{C7B9C14C-92F4-41B6-998F-1733A77CFE2E}">
    <text>auth by EG</text>
  </threadedComment>
  <threadedComment ref="H6" dT="2025-09-16T06:51:05.21" personId="{06172D48-E03B-4470-93EB-1F871B852D1E}" id="{6739B305-E710-4DA7-9905-4EA76D4193DC}">
    <text>Formacao EW</text>
  </threadedComment>
  <threadedComment ref="I6" dT="2025-09-16T06:51:05.21" personId="{06172D48-E03B-4470-93EB-1F871B852D1E}" id="{1BBE338D-34FC-4629-9955-07A9FFB69D90}">
    <text>Formacao EW</text>
  </threadedComment>
  <threadedComment ref="J6" dT="2025-09-16T06:51:05.21" personId="{06172D48-E03B-4470-93EB-1F871B852D1E}" id="{06D7DFD3-74A0-44FF-B0B4-9B92F3A160C6}">
    <text>Formacao EW</text>
  </threadedComment>
  <threadedComment ref="F11" dT="2025-09-10T11:00:39.40" personId="{82F48BFA-1EBD-487C-AE0B-0B3554398DC1}" id="{3416AA3C-ECBF-459D-B2BC-C51D1B50B7EB}">
    <text>Troca relativa a dia 30SEP25</text>
  </threadedComment>
  <threadedComment ref="AG12" dT="2025-09-11T08:20:23.22" personId="{82F48BFA-1EBD-487C-AE0B-0B3554398DC1}" id="{F7232D9B-57C7-45CF-B4D6-BCBAC2F9A1FC}">
    <text>Folga relativa a dia 21OCT</text>
  </threadedComment>
  <threadedComment ref="Q16" dT="2025-09-17T12:20:35.87" personId="{82F48BFA-1EBD-487C-AE0B-0B3554398DC1}" id="{7774B89D-8009-4D62-8E86-EF72B7A1F2EF}">
    <text>SM+INAD</text>
  </threadedComment>
  <threadedComment ref="V16" dT="2025-10-16T09:30:02.30" personId="{82F48BFA-1EBD-487C-AE0B-0B3554398DC1}" id="{31107FFB-05BF-4A76-8509-A991CEFB3181}">
    <text>INAD Hub Support</text>
  </threadedComment>
  <threadedComment ref="W16" dT="2025-10-16T09:30:02.30" personId="{82F48BFA-1EBD-487C-AE0B-0B3554398DC1}" id="{4F11838A-5128-4ECE-8965-C2D3819AD5BE}">
    <text>INAD Hub Support</text>
  </threadedComment>
  <threadedComment ref="X16" dT="2025-10-16T09:30:02.30" personId="{82F48BFA-1EBD-487C-AE0B-0B3554398DC1}" id="{6168E666-EFBC-4954-9900-419201942E59}">
    <text>INAD Hub Support</text>
  </threadedComment>
  <threadedComment ref="Y16" dT="2025-10-16T09:30:02.30" personId="{82F48BFA-1EBD-487C-AE0B-0B3554398DC1}" id="{D00A63A6-6801-46D0-A975-A0616FC615BF}">
    <text>INAD Hub Support</text>
  </threadedComment>
  <threadedComment ref="C18" dT="2025-09-17T12:19:57.63" personId="{82F48BFA-1EBD-487C-AE0B-0B3554398DC1}" id="{E5099E9C-6BCD-4E1E-A494-906C4E8ED991}">
    <text>SM+INAD</text>
  </threadedComment>
  <threadedComment ref="D18" dT="2025-09-17T12:20:01.47" personId="{82F48BFA-1EBD-487C-AE0B-0B3554398DC1}" id="{A7B04556-D963-4C42-8B54-DE4009212E2F}">
    <text>SM+INAD</text>
  </threadedComment>
  <threadedComment ref="E18" dT="2025-09-17T12:20:05.33" personId="{82F48BFA-1EBD-487C-AE0B-0B3554398DC1}" id="{71EC6EA9-C929-44C5-88C5-B20D6230BBD6}">
    <text>SM+INAD</text>
  </threadedComment>
  <threadedComment ref="H18" dT="2025-09-17T12:22:11.92" personId="{82F48BFA-1EBD-487C-AE0B-0B3554398DC1}" id="{DB9894C3-3F69-4C8C-B557-95D85D60E10C}">
    <text>SM+INAD</text>
  </threadedComment>
  <threadedComment ref="I18" dT="2025-09-17T12:22:14.37" personId="{82F48BFA-1EBD-487C-AE0B-0B3554398DC1}" id="{31FB8758-DB1E-4C10-9F34-A2DDF1648367}">
    <text>SM+INAD</text>
  </threadedComment>
  <threadedComment ref="J18" dT="2025-09-17T12:22:16.79" personId="{82F48BFA-1EBD-487C-AE0B-0B3554398DC1}" id="{45FB386D-2248-42F6-B46E-297F7E930FEF}">
    <text>SM+INAD</text>
  </threadedComment>
  <threadedComment ref="K18" dT="2025-09-17T12:22:19.82" personId="{82F48BFA-1EBD-487C-AE0B-0B3554398DC1}" id="{316B098A-2F95-4BBC-A5D4-035CCC781ED2}">
    <text>SM+INAD</text>
  </threadedComment>
  <threadedComment ref="N18" dT="2025-09-17T12:20:28.57" personId="{82F48BFA-1EBD-487C-AE0B-0B3554398DC1}" id="{A68B1798-FBD7-430C-BAFC-BC2B50F6C3A0}">
    <text>SM+INAD</text>
  </threadedComment>
  <threadedComment ref="O18" dT="2025-09-17T12:20:32.10" personId="{82F48BFA-1EBD-487C-AE0B-0B3554398DC1}" id="{398E0358-550E-44B4-A710-22DB3FD595A7}">
    <text>SM+INAD</text>
  </threadedComment>
  <threadedComment ref="P18" dT="2025-09-17T12:20:35.87" personId="{82F48BFA-1EBD-487C-AE0B-0B3554398DC1}" id="{7666902A-A69F-4C16-88B8-EB82F0D6B15A}">
    <text>SM+INAD</text>
  </threadedComment>
  <threadedComment ref="T18" dT="2025-09-17T12:20:50.26" personId="{82F48BFA-1EBD-487C-AE0B-0B3554398DC1}" id="{DEC600C4-50F7-4372-9D25-1E905E7D58B0}">
    <text>SM+INAD</text>
  </threadedComment>
  <threadedComment ref="U18" dT="2025-09-17T12:20:53.01" personId="{82F48BFA-1EBD-487C-AE0B-0B3554398DC1}" id="{067C2423-9680-4AA4-9414-C4A88D1E5EA4}">
    <text>SM+INAD</text>
  </threadedComment>
  <threadedComment ref="V18" dT="2025-09-17T12:20:56.23" personId="{82F48BFA-1EBD-487C-AE0B-0B3554398DC1}" id="{FDC5CC64-6905-4229-89B5-6D6DC09D7FA5}">
    <text>SM+INAD</text>
  </threadedComment>
  <threadedComment ref="W18" dT="2025-09-17T12:21:00.66" personId="{82F48BFA-1EBD-487C-AE0B-0B3554398DC1}" id="{52B694AA-B7CC-4AF2-A395-1B7D2D73F802}">
    <text>SM+INAD</text>
  </threadedComment>
  <threadedComment ref="Z18" dT="2025-09-17T12:21:31.81" personId="{82F48BFA-1EBD-487C-AE0B-0B3554398DC1}" id="{815B87DC-06C2-4D85-B583-C2A3DF2AE39E}">
    <text>SM+INAD</text>
  </threadedComment>
  <threadedComment ref="AA18" dT="2025-09-17T12:21:34.52" personId="{82F48BFA-1EBD-487C-AE0B-0B3554398DC1}" id="{D3ED6C84-F455-45C3-9F20-E84653D9B958}">
    <text>SM+INAD</text>
  </threadedComment>
  <threadedComment ref="AB18" dT="2025-09-17T12:21:36.95" personId="{82F48BFA-1EBD-487C-AE0B-0B3554398DC1}" id="{2BD420F1-7BC9-44B4-AC89-5EA9AF17325D}">
    <text>SM+INAD</text>
  </threadedComment>
  <threadedComment ref="AC18" dT="2025-09-17T12:21:40.43" personId="{82F48BFA-1EBD-487C-AE0B-0B3554398DC1}" id="{83DE472B-B669-458A-947B-296DF9730CD9}">
    <text>SM+INAD</text>
  </threadedComment>
  <threadedComment ref="AF18" dT="2025-09-17T12:21:06.51" personId="{82F48BFA-1EBD-487C-AE0B-0B3554398DC1}" id="{BF6D8EA9-5613-45FF-8F40-0B011DE27E72}">
    <text>SM+INAD</text>
  </threadedComment>
  <threadedComment ref="AG18" dT="2025-09-17T12:21:09.54" personId="{82F48BFA-1EBD-487C-AE0B-0B3554398DC1}" id="{4585521D-64BD-4878-BD06-4C7E4237BDCC}">
    <text>SM+INAD</text>
  </threadedComment>
  <threadedComment ref="E19" dT="2025-09-17T12:21:53.02" personId="{82F48BFA-1EBD-487C-AE0B-0B3554398DC1}" id="{87F341A8-EB4D-450B-BE88-33CC8ED3F32E}">
    <text>SM+INAD</text>
  </threadedComment>
  <threadedComment ref="F19" dT="2025-09-17T12:21:56.37" personId="{82F48BFA-1EBD-487C-AE0B-0B3554398DC1}" id="{5E2C2ED1-84B3-47BC-A59F-CB4668FB86F5}">
    <text>SM+INAD</text>
  </threadedComment>
  <threadedComment ref="G19" dT="2025-09-17T12:21:59.42" personId="{82F48BFA-1EBD-487C-AE0B-0B3554398DC1}" id="{202CF553-D12B-4748-8A30-D3A514F72DF8}">
    <text>SM+INAD</text>
  </threadedComment>
  <threadedComment ref="P19" dT="2025-09-11T12:32:32.63" personId="{82F48BFA-1EBD-487C-AE0B-0B3554398DC1}" id="{804A6683-55EA-4325-A03F-CCF269445549}">
    <text>Folga de compensação relativa a dia 12SEP</text>
  </threadedComment>
  <threadedComment ref="R19" dT="2025-09-10T15:00:08.95" personId="{82F48BFA-1EBD-487C-AE0B-0B3554398DC1}" id="{B2600461-FB18-4E3A-829A-A1995486D060}">
    <text>SM+INAD</text>
  </threadedComment>
  <threadedComment ref="S19" dT="2025-09-10T15:00:13.70" personId="{82F48BFA-1EBD-487C-AE0B-0B3554398DC1}" id="{4E449D79-5749-4014-B186-51D988ADC547}">
    <text>SM+INAD</text>
  </threadedComment>
  <threadedComment ref="T19" dT="2025-09-10T15:00:17.46" personId="{82F48BFA-1EBD-487C-AE0B-0B3554398DC1}" id="{A3CFDCAC-F364-432C-888D-9F919BB9C5A9}">
    <text>SM+INAD</text>
  </threadedComment>
  <threadedComment ref="U19" dT="2025-09-10T15:00:25.67" personId="{82F48BFA-1EBD-487C-AE0B-0B3554398DC1}" id="{0E24D12F-153F-4B27-936A-5E7AA7063EC8}">
    <text>SM+INAD</text>
  </threadedComment>
  <threadedComment ref="X19" dT="2025-09-10T15:00:35.48" personId="{82F48BFA-1EBD-487C-AE0B-0B3554398DC1}" id="{82CF2A0E-DB7F-4657-92B5-70CFF4E15AB6}">
    <text>SM+INAD</text>
  </threadedComment>
  <threadedComment ref="Y19" dT="2025-09-10T15:00:39.65" personId="{82F48BFA-1EBD-487C-AE0B-0B3554398DC1}" id="{AF746B6A-4AF4-4430-A93E-0D1C2820BD1F}">
    <text>SM+INAD</text>
  </threadedComment>
  <threadedComment ref="Z19" dT="2025-09-10T15:00:43.43" personId="{82F48BFA-1EBD-487C-AE0B-0B3554398DC1}" id="{E89B7335-1A2A-4B28-B0C7-CDE5CBEC327D}">
    <text>SM+INAD</text>
  </threadedComment>
  <threadedComment ref="AA19" dT="2025-09-10T15:00:47.20" personId="{82F48BFA-1EBD-487C-AE0B-0B3554398DC1}" id="{304233EE-CE7E-466F-8EC2-C49448865DC1}">
    <text>SM+INAD</text>
  </threadedComment>
  <threadedComment ref="AD19" dT="2025-09-10T15:00:52.22" personId="{82F48BFA-1EBD-487C-AE0B-0B3554398DC1}" id="{6D42BD52-E16C-4209-95E7-84CB421A217A}">
    <text>SM+INAD</text>
  </threadedComment>
  <threadedComment ref="AE19" dT="2025-09-10T15:00:56.37" personId="{82F48BFA-1EBD-487C-AE0B-0B3554398DC1}" id="{08255803-9D4A-47B6-A0C4-79B437695379}">
    <text>SM+INAD</text>
  </threadedComment>
  <threadedComment ref="AF19" dT="2025-09-10T15:01:00.31" personId="{82F48BFA-1EBD-487C-AE0B-0B3554398DC1}" id="{78D4AF53-9F32-4760-86C4-537ADEC71177}">
    <text>SM+INAD</text>
  </threadedComment>
  <threadedComment ref="AG19" dT="2025-09-10T15:01:05.75" personId="{82F48BFA-1EBD-487C-AE0B-0B3554398DC1}" id="{903C032F-D8F9-4AF9-BAF5-DDE1CF570766}">
    <text>SM+INAD</text>
  </threadedComment>
  <threadedComment ref="C20" dT="2025-09-10T14:59:24.52" personId="{82F48BFA-1EBD-487C-AE0B-0B3554398DC1}" id="{5BF8D47A-DFE2-4AD6-97DA-ACBDCE8FFC6D}">
    <text>SM+INAD</text>
  </threadedComment>
  <threadedComment ref="F20" dT="2025-09-10T14:59:29.45" personId="{82F48BFA-1EBD-487C-AE0B-0B3554398DC1}" id="{2ECC6C55-F7CA-4465-9433-16BD690C2CF9}">
    <text>SM+INAD</text>
  </threadedComment>
  <threadedComment ref="G20" dT="2025-09-10T14:59:33.70" personId="{82F48BFA-1EBD-487C-AE0B-0B3554398DC1}" id="{1A013C50-893B-4424-B5DE-A4DD24C37AFF}">
    <text>SM+INAD</text>
  </threadedComment>
  <threadedComment ref="H20" dT="2025-09-10T14:59:37.29" personId="{82F48BFA-1EBD-487C-AE0B-0B3554398DC1}" id="{426B48C1-6C32-47E8-AF86-C5F941885C84}">
    <text>SM+INAD</text>
  </threadedComment>
  <threadedComment ref="I20" dT="2025-09-10T14:59:41.46" personId="{82F48BFA-1EBD-487C-AE0B-0B3554398DC1}" id="{C6B2B4F7-2ACE-4544-9ED8-173B6E1C827A}">
    <text>SM+INAD</text>
  </threadedComment>
  <threadedComment ref="L20" dT="2025-09-10T14:59:46.79" personId="{82F48BFA-1EBD-487C-AE0B-0B3554398DC1}" id="{54C8E382-CAF3-453D-81B0-39F25D9A5D8A}">
    <text>SM+INAD</text>
  </threadedComment>
  <threadedComment ref="M20" dT="2025-09-10T14:59:52.48" personId="{82F48BFA-1EBD-487C-AE0B-0B3554398DC1}" id="{CF606AF4-3BDA-42C8-A9B7-DD0C02A950AC}">
    <text>SM+INAD</text>
  </threadedComment>
  <threadedComment ref="N20" dT="2025-09-10T14:59:56.79" personId="{82F48BFA-1EBD-487C-AE0B-0B3554398DC1}" id="{1F36F9D6-BB4B-43BB-A9AC-9E3F4BADB942}">
    <text>SM+INAD</text>
  </threadedComment>
  <threadedComment ref="O20" dT="2025-09-10T15:00:00.46" personId="{82F48BFA-1EBD-487C-AE0B-0B3554398DC1}" id="{DFB66B0F-40F2-4D3E-A4E0-4C92DD766C75}">
    <text>SM+INAD</text>
  </threadedComment>
  <threadedComment ref="R20" dT="2025-09-10T15:00:08.95" personId="{82F48BFA-1EBD-487C-AE0B-0B3554398DC1}" id="{ECF5E0D8-0157-4ECA-B88F-7D434C60EE5A}">
    <text>SM+INAD</text>
  </threadedComment>
  <threadedComment ref="S20" dT="2025-09-10T15:00:08.95" personId="{82F48BFA-1EBD-487C-AE0B-0B3554398DC1}" id="{E1AC1665-F15D-42C6-BB3D-A68B7509C3C6}">
    <text>SM+INAD</text>
  </threadedComment>
  <threadedComment ref="T20" dT="2025-09-10T15:00:08.95" personId="{82F48BFA-1EBD-487C-AE0B-0B3554398DC1}" id="{2B19AF78-49BB-4FD2-B794-CA6EA8D692FA}">
    <text>SM+INAD</text>
  </threadedComment>
  <threadedComment ref="U20" dT="2025-09-10T15:00:08.95" personId="{82F48BFA-1EBD-487C-AE0B-0B3554398DC1}" id="{37FF9298-2425-4075-8A05-CB4E7839287B}">
    <text>SM+INAD</text>
  </threadedComment>
  <threadedComment ref="V20" dT="2025-09-10T15:00:08.95" personId="{82F48BFA-1EBD-487C-AE0B-0B3554398DC1}" id="{34851586-BDB9-4172-9850-55155D542B32}">
    <text>SM+INAD</text>
  </threadedComment>
  <threadedComment ref="W20" dT="2025-09-10T15:00:08.95" personId="{82F48BFA-1EBD-487C-AE0B-0B3554398DC1}" id="{BD99F1F1-28FE-41D0-B657-7B10538B1328}">
    <text>SM+INAD</text>
  </threadedComment>
  <threadedComment ref="X20" dT="2025-09-10T15:00:08.95" personId="{82F48BFA-1EBD-487C-AE0B-0B3554398DC1}" id="{C3CB7BEC-73EF-4DEE-A869-C8BF6BEA594C}">
    <text>SM+INAD</text>
  </threadedComment>
  <threadedComment ref="Y20" dT="2025-09-10T15:00:39.65" personId="{82F48BFA-1EBD-487C-AE0B-0B3554398DC1}" id="{6BF61308-132D-4A0F-B06A-8D964BCD41AE}">
    <text>SM+INAD</text>
  </threadedComment>
  <threadedComment ref="Z20" dT="2025-09-10T15:00:43.43" personId="{82F48BFA-1EBD-487C-AE0B-0B3554398DC1}" id="{D8735FD1-BC88-43F0-BAC6-F05D1CC1A63F}">
    <text>SM+INAD</text>
  </threadedComment>
  <threadedComment ref="AA20" dT="2025-09-10T15:00:47.20" personId="{82F48BFA-1EBD-487C-AE0B-0B3554398DC1}" id="{62DC3415-5FB6-47A5-BAA2-389FA7B6735A}">
    <text>SM+INAD</text>
  </threadedComment>
  <threadedComment ref="AD20" dT="2025-09-10T15:00:52.22" personId="{82F48BFA-1EBD-487C-AE0B-0B3554398DC1}" id="{F3A3B015-3DD1-4B23-88C1-C9852AC3B73D}">
    <text>SM+INAD</text>
  </threadedComment>
  <threadedComment ref="AE20" dT="2025-09-10T15:00:56.37" personId="{82F48BFA-1EBD-487C-AE0B-0B3554398DC1}" id="{83321BB8-9E71-4A62-B674-3D72DD3013EA}">
    <text>SM+INAD</text>
  </threadedComment>
  <threadedComment ref="AF20" dT="2025-09-10T15:01:00.31" personId="{82F48BFA-1EBD-487C-AE0B-0B3554398DC1}" id="{A52CF06D-23E3-4BDC-BB92-B75356B6E6F3}">
    <text>SM+INAD</text>
  </threadedComment>
  <threadedComment ref="AG20" dT="2025-09-10T15:01:05.75" personId="{82F48BFA-1EBD-487C-AE0B-0B3554398DC1}" id="{64E27A6E-8207-43C6-B933-27D0280B2774}">
    <text>SM+INAD</text>
  </threadedComment>
  <threadedComment ref="F28" dT="2025-09-07T13:45:37.14" personId="{06172D48-E03B-4470-93EB-1F871B852D1E}" id="{F8278796-8C6F-4682-8B73-7906F835175B}">
    <text xml:space="preserve">Pedido de troca
</text>
  </threadedComment>
  <threadedComment ref="AA29" dT="2025-10-22T05:04:00.77" personId="{06172D48-E03B-4470-93EB-1F871B852D1E}" id="{2AC8CF48-F34B-4433-8C1C-91F0AEE59C0D}">
    <text xml:space="preserve">Pedido de troca @BEST, MARCOS </text>
    <mentions>
      <mention mentionpersonId="{8BDAD3F1-B258-47C5-92EE-5817EAFCD49D}" mentionId="{AD54388E-0999-4B1D-9720-A17E04312E7F}" startIndex="16" length="13"/>
    </mentions>
  </threadedComment>
  <threadedComment ref="I31" dT="2025-09-16T06:51:05.21" personId="{06172D48-E03B-4470-93EB-1F871B852D1E}" id="{B52219C0-D6AE-44AF-A96D-6CD1C2ACE785}">
    <text>Formacao EW</text>
  </threadedComment>
  <threadedComment ref="H46" dT="2025-09-16T10:32:01.74" personId="{82F48BFA-1EBD-487C-AE0B-0B3554398DC1}" id="{0C4E1FE9-FB53-40E6-BCE6-582BBE88D45D}">
    <text>Formação TRSC com Francisco Sousa</text>
  </threadedComment>
  <threadedComment ref="K46" dT="2025-09-16T10:30:31.83" personId="{82F48BFA-1EBD-487C-AE0B-0B3554398DC1}" id="{F47A07FF-40E0-4601-AC09-9E171C4A3449}">
    <text>Formação TRSC com Liliana Pereira</text>
  </threadedComment>
  <threadedComment ref="L46" dT="2025-09-16T10:30:31.83" personId="{82F48BFA-1EBD-487C-AE0B-0B3554398DC1}" id="{39A74DD5-C717-4260-977E-849A3A93B749}">
    <text>Formação TRSC com Liliana Pereira</text>
  </threadedComment>
  <threadedComment ref="M46" dT="2025-09-16T10:30:31.83" personId="{82F48BFA-1EBD-487C-AE0B-0B3554398DC1}" id="{7D326787-453A-4D1F-A217-9D6C84C7956E}">
    <text>Formação TRSC com Liliana Pereira</text>
  </threadedComment>
  <threadedComment ref="N46" dT="2025-09-16T10:30:31.83" personId="{82F48BFA-1EBD-487C-AE0B-0B3554398DC1}" id="{F2F61045-1C41-4FB2-84AD-92193A1F6490}">
    <text>Formação TRSC com Liliana Pereira</text>
  </threadedComment>
  <threadedComment ref="Q46" dT="2025-09-16T10:30:31.83" personId="{82F48BFA-1EBD-487C-AE0B-0B3554398DC1}" id="{BA510D3B-54AA-4F71-8F7C-1E029097D5A2}">
    <text>Formação TRSC com Liliana Pereira</text>
  </threadedComment>
  <threadedComment ref="R46" dT="2025-09-16T10:30:31.83" personId="{82F48BFA-1EBD-487C-AE0B-0B3554398DC1}" id="{FB2C0C5C-3DD1-44EC-9EBF-F2D0A41792BC}">
    <text>Formação TRSC com Liliana Pereira</text>
  </threadedComment>
  <threadedComment ref="S46" dT="2025-09-16T10:30:31.83" personId="{82F48BFA-1EBD-487C-AE0B-0B3554398DC1}" id="{0BDCFE9C-BF6B-4ACF-8948-7D9E89E64E41}">
    <text>Formação TRSC com Liliana Pereira</text>
  </threadedComment>
  <threadedComment ref="T46" dT="2025-09-16T10:30:31.83" personId="{82F48BFA-1EBD-487C-AE0B-0B3554398DC1}" id="{89B61ABC-7183-4831-980C-28E14B11599F}">
    <text>Formação TRSC com Liliana Pereira</text>
  </threadedComment>
  <threadedComment ref="W46" dT="2025-09-16T10:30:31.83" personId="{82F48BFA-1EBD-487C-AE0B-0B3554398DC1}" id="{ECB4E026-5E62-453F-9BC0-24C6FF9AD08D}">
    <text>Formação TRSC com Liliana Pereira</text>
  </threadedComment>
  <threadedComment ref="X46" dT="2025-09-16T10:30:31.83" personId="{82F48BFA-1EBD-487C-AE0B-0B3554398DC1}" id="{13BBF00F-34A4-4922-80EB-DF0B9F65AE5E}">
    <text>Formação TRSC com Liliana Pereira</text>
  </threadedComment>
  <threadedComment ref="Y46" dT="2025-09-16T10:32:01.74" personId="{82F48BFA-1EBD-487C-AE0B-0B3554398DC1}" id="{7466464C-3FD0-4D07-BD2E-79C275FC10D1}">
    <text>Formação TRSC com Francisco Sousa</text>
  </threadedComment>
  <threadedComment ref="Z46" dT="2025-09-16T10:30:31.83" personId="{82F48BFA-1EBD-487C-AE0B-0B3554398DC1}" id="{156A7B05-B895-4233-8185-F05408B92F7D}">
    <text>Formação TRSC com Liliana Pereira</text>
  </threadedComment>
  <threadedComment ref="AC46" dT="2025-09-16T10:30:31.83" personId="{82F48BFA-1EBD-487C-AE0B-0B3554398DC1}" id="{71790FE7-8342-4CE3-8E85-6F65175B2FD7}">
    <text>Formação TRSC com Liliana Pereira</text>
  </threadedComment>
  <threadedComment ref="AC46" dT="2025-10-15T12:12:43.17" personId="{06172D48-E03B-4470-93EB-1F871B852D1E}" id="{600AE319-E43D-48D9-9563-2A8F4C467EC6}" parentId="{71790FE7-8342-4CE3-8E85-6F65175B2FD7}">
    <text xml:space="preserve">cobre lhx aquando saida do Rui Roza @BEST, MARCOS </text>
    <mentions>
      <mention mentionpersonId="{8BDAD3F1-B258-47C5-92EE-5817EAFCD49D}" mentionId="{22A76824-3980-455D-BCBB-C4190B54FA6E}" startIndex="36" length="13"/>
    </mentions>
  </threadedComment>
  <threadedComment ref="AD46" dT="2025-10-21T13:32:35.58" personId="{82F48BFA-1EBD-487C-AE0B-0B3554398DC1}" id="{31500F0D-172D-4FBB-8387-2A68B58FB34D}">
    <text>Turno LHX</text>
  </threadedComment>
  <threadedComment ref="AE46" dT="2025-09-16T10:30:31.83" personId="{82F48BFA-1EBD-487C-AE0B-0B3554398DC1}" id="{DBE0DB3A-27D9-43A5-8B9A-2A4BCF3DF8A7}">
    <text>Formação TRSC com Liliana Pereira</text>
  </threadedComment>
  <threadedComment ref="AF46" dT="2025-09-16T10:30:31.83" personId="{82F48BFA-1EBD-487C-AE0B-0B3554398DC1}" id="{36739AD6-9C5F-414D-B8E1-05CAAFAD1088}">
    <text>Formação TRSC com Liliana Pereira</text>
  </threadedComment>
  <threadedComment ref="H48" dT="2025-09-16T06:51:05.21" personId="{06172D48-E03B-4470-93EB-1F871B852D1E}" id="{F8785897-06E0-44BA-82AB-44F3C1EB9B6E}">
    <text>Formacao EW</text>
  </threadedComment>
  <threadedComment ref="J48" dT="2025-09-16T06:51:05.21" personId="{06172D48-E03B-4470-93EB-1F871B852D1E}" id="{D67FBBA5-019E-4716-BA85-3BB4411859BD}">
    <text>Formacao EW</text>
  </threadedComment>
  <threadedComment ref="T49" dT="2025-09-21T12:59:18.08" personId="{06172D48-E03B-4470-93EB-1F871B852D1E}" id="{5D563E80-2CB2-425F-AF98-808D1DAB53A2}">
    <text>Troca direta com o Borges</text>
  </threadedComment>
  <threadedComment ref="T51" dT="2025-09-21T12:59:36.28" personId="{06172D48-E03B-4470-93EB-1F871B852D1E}" id="{2C56DB9C-2094-45FA-9B6E-6984053AD8DA}">
    <text>Troca direta com a Jessica</text>
  </threadedComment>
  <threadedComment ref="AC61" dT="2025-10-15T12:12:15.75" personId="{06172D48-E03B-4470-93EB-1F871B852D1E}" id="{EAFBFDA3-6FE3-4818-B4A6-0A017959DD6B}">
    <text xml:space="preserve">tem consulta as 9h, a Nicole Souza cobre o lhx @BEST, MARCOS </text>
    <mentions>
      <mention mentionpersonId="{8BDAD3F1-B258-47C5-92EE-5817EAFCD49D}" mentionId="{90674AFE-336A-4428-BD9C-F9D14CD2A31A}" startIndex="47" length="13"/>
    </mentions>
  </threadedComment>
  <threadedComment ref="X63" dT="2025-09-16T10:26:22.56" personId="{82F48BFA-1EBD-487C-AE0B-0B3554398DC1}" id="{0612C123-0FC9-4326-B688-68B03BF72B27}">
    <text>Catering</text>
  </threadedComment>
  <threadedComment ref="Y63" dT="2025-09-16T10:26:22.56" personId="{82F48BFA-1EBD-487C-AE0B-0B3554398DC1}" id="{06885F29-E3FD-46D2-9F18-353018FE929B}">
    <text>Catering</text>
  </threadedComment>
  <threadedComment ref="Z63" dT="2025-09-16T10:26:22.56" personId="{82F48BFA-1EBD-487C-AE0B-0B3554398DC1}" id="{F85EB2A8-ECAB-49D4-96FE-83F8ABE39962}">
    <text>Catering</text>
  </threadedComment>
  <threadedComment ref="AC63" dT="2025-10-15T10:52:58.37" personId="{82F48BFA-1EBD-487C-AE0B-0B3554398DC1}" id="{AFE19374-022D-4703-B6BF-F0584E06F18E}">
    <text>Formaçao Invol com Carolina Minas</text>
  </threadedComment>
  <threadedComment ref="AD63" dT="2025-10-15T10:52:58.37" personId="{82F48BFA-1EBD-487C-AE0B-0B3554398DC1}" id="{55FE1642-DBB7-4CA3-817E-926C4A58252B}">
    <text>Formaçao Invol com Carolina Minas</text>
  </threadedComment>
  <threadedComment ref="AE63" dT="2025-10-15T10:52:58.37" personId="{82F48BFA-1EBD-487C-AE0B-0B3554398DC1}" id="{7006A5D7-BEB5-469E-924A-07FB7DC69441}">
    <text>Formaçao Invol com Carolina Minas</text>
  </threadedComment>
  <threadedComment ref="AF63" dT="2025-10-15T10:52:58.37" personId="{82F48BFA-1EBD-487C-AE0B-0B3554398DC1}" id="{B732E5C9-7AF2-4555-B70D-F8F273B6D342}">
    <text>Formaçao Invol com Carolina Minas</text>
  </threadedComment>
  <threadedComment ref="AG63" dT="2025-10-15T10:52:58.37" personId="{82F48BFA-1EBD-487C-AE0B-0B3554398DC1}" id="{8478DECD-0869-4706-975B-16BB71EB0063}">
    <text>Formaçao Invol com Carolina Minas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E7" dT="2025-10-16T09:16:01.17" personId="{82F48BFA-1EBD-487C-AE0B-0B3554398DC1}" id="{D484D867-4411-4ADF-96F9-27DADD59B8D3}">
    <text>Folga de compensação relativa a dia 06NOV25</text>
  </threadedComment>
  <threadedComment ref="R12" dT="2025-10-13T15:11:51.77" personId="{82F48BFA-1EBD-487C-AE0B-0B3554398DC1}" id="{3AA6513F-88F2-436C-AC56-FCEE61145F9F}">
    <text>Troca aprovada</text>
  </threadedComment>
  <threadedComment ref="C17" dT="2025-10-31T16:00:49.46" personId="{82F48BFA-1EBD-487C-AE0B-0B3554398DC1}" id="{EDB6FDA5-3352-4E58-99CA-4393BFC8EF0E}">
    <text>SM+Inad</text>
  </threadedComment>
  <threadedComment ref="D17" dT="2025-10-31T16:00:53.73" personId="{82F48BFA-1EBD-487C-AE0B-0B3554398DC1}" id="{407DE46E-9218-4AF2-B057-296D6EC67A19}">
    <text>SM+Inad</text>
  </threadedComment>
  <threadedComment ref="D35" dT="2025-10-06T12:53:42.59" personId="{06172D48-E03B-4470-93EB-1F871B852D1E}" id="{EF53416F-A8D6-4423-B61F-38343A2CEE84}">
    <text>Pedido de troca direta com o IVO</text>
  </threadedComment>
  <threadedComment ref="I35" dT="2025-10-06T12:54:43.98" personId="{06172D48-E03B-4470-93EB-1F871B852D1E}" id="{CCBD0241-0D8B-4134-B292-D90A7381E521}">
    <text>2 de novembrp - troca direta com o IVO</text>
  </threadedComment>
  <threadedComment ref="D36" dT="2025-10-06T12:57:34.24" personId="{06172D48-E03B-4470-93EB-1F871B852D1E}" id="{27729B98-6852-47E0-BC6A-070539E92D79}">
    <text xml:space="preserve">troca direta com a Ines Coelho
</text>
  </threadedComment>
  <threadedComment ref="E36" dT="2025-10-27T07:19:44.74" personId="{06172D48-E03B-4470-93EB-1F871B852D1E}" id="{538FAD69-0D0C-4345-B127-4B034CB2AA28}">
    <text xml:space="preserve">pedido de troca @BEST, MARCOS </text>
    <mentions>
      <mention mentionpersonId="{8BDAD3F1-B258-47C5-92EE-5817EAFCD49D}" mentionId="{632922DF-72C1-4F4B-ADAD-211C60A2627C}" startIndex="16" length="13"/>
    </mentions>
  </threadedComment>
  <threadedComment ref="K39" dT="2025-10-28T06:29:10.22" personId="{06172D48-E03B-4470-93EB-1F871B852D1E}" id="{AA75CDC4-85DC-42A8-BC72-401E1EA869AF}">
    <text xml:space="preserve">Pedido de troca
</text>
  </threadedComment>
  <threadedComment ref="Y47" dT="2025-10-31T15:33:38.13" personId="{06172D48-E03B-4470-93EB-1F871B852D1E}" id="{322A7DF9-0854-4FCC-9AAB-8DA6B03D50EF}">
    <text xml:space="preserve">CATERING @BEST, MARCOS </text>
    <mentions>
      <mention mentionpersonId="{8BDAD3F1-B258-47C5-92EE-5817EAFCD49D}" mentionId="{79B0399A-5D3F-44FA-B294-1C435B71100A}" startIndex="9" length="13"/>
    </mentions>
  </threadedComment>
  <threadedComment ref="Z47" dT="2025-10-31T15:33:38.13" personId="{06172D48-E03B-4470-93EB-1F871B852D1E}" id="{0B8E3FC6-59DA-482B-8F18-ACCB5BF79739}">
    <text xml:space="preserve">CATERING @BEST, MARCOS </text>
    <mentions>
      <mention mentionpersonId="{8BDAD3F1-B258-47C5-92EE-5817EAFCD49D}" mentionId="{9379101A-5EB0-4753-89CB-67BECE51AE1E}" startIndex="9" length="13"/>
    </mentions>
  </threadedComment>
  <threadedComment ref="AA47" dT="2025-10-31T15:33:38.13" personId="{06172D48-E03B-4470-93EB-1F871B852D1E}" id="{C4A1A0A5-FB15-4B70-AF7F-B7ECF518CE3C}">
    <text xml:space="preserve">CATERING @BEST, MARCOS </text>
    <mentions>
      <mention mentionpersonId="{8BDAD3F1-B258-47C5-92EE-5817EAFCD49D}" mentionId="{9855DD74-590F-49CC-BAB8-5B1ACBAA4B07}" startIndex="9" length="13"/>
    </mentions>
  </threadedComment>
  <threadedComment ref="AB47" dT="2025-10-31T15:33:38.13" personId="{06172D48-E03B-4470-93EB-1F871B852D1E}" id="{CA344E81-EC87-4469-972C-08E8B1052CAF}">
    <text xml:space="preserve">CATERING @BEST, MARCOS </text>
    <mentions>
      <mention mentionpersonId="{8BDAD3F1-B258-47C5-92EE-5817EAFCD49D}" mentionId="{3CAC77F7-C834-4143-B08B-5FE4D4515542}" startIndex="9" length="13"/>
    </mentions>
  </threadedComment>
  <threadedComment ref="Q48" dT="2025-10-31T15:33:38.13" personId="{06172D48-E03B-4470-93EB-1F871B852D1E}" id="{C1FECCB5-AE05-48A3-9230-42B50C6FE9DE}">
    <text xml:space="preserve">CATERING @BEST, MARCOS </text>
    <mentions>
      <mention mentionpersonId="{8BDAD3F1-B258-47C5-92EE-5817EAFCD49D}" mentionId="{F7F404C9-0677-4484-BE75-59BD79098533}" startIndex="9" length="13"/>
    </mentions>
  </threadedComment>
  <threadedComment ref="R48" dT="2025-10-31T15:33:38.13" personId="{06172D48-E03B-4470-93EB-1F871B852D1E}" id="{E0F495AA-EEBF-4956-AFD3-5E6AFBD6E7DC}">
    <text xml:space="preserve">CATERING @BEST, MARCOS </text>
    <mentions>
      <mention mentionpersonId="{8BDAD3F1-B258-47C5-92EE-5817EAFCD49D}" mentionId="{87B53BE5-DD1D-46FC-9F37-0A16C110E092}" startIndex="9" length="13"/>
    </mentions>
  </threadedComment>
  <threadedComment ref="S48" dT="2025-10-31T15:33:38.13" personId="{06172D48-E03B-4470-93EB-1F871B852D1E}" id="{37DEFA06-939A-4D54-947B-B36823C8550E}">
    <text xml:space="preserve">CATERING @BEST, MARCOS </text>
    <mentions>
      <mention mentionpersonId="{8BDAD3F1-B258-47C5-92EE-5817EAFCD49D}" mentionId="{CB6A64C3-FA88-4C77-BE73-F4C57352CE85}" startIndex="9" length="13"/>
    </mentions>
  </threadedComment>
  <threadedComment ref="T48" dT="2025-10-31T15:33:38.13" personId="{06172D48-E03B-4470-93EB-1F871B852D1E}" id="{3EE1A6C7-A72A-4DE1-95EF-773BD59EA411}">
    <text xml:space="preserve">CATERING @BEST, MARCOS </text>
    <mentions>
      <mention mentionpersonId="{8BDAD3F1-B258-47C5-92EE-5817EAFCD49D}" mentionId="{A4A99A76-BD26-45D3-A4D3-ECB0BE840822}" startIndex="9" length="13"/>
    </mentions>
  </threadedComment>
  <threadedComment ref="W48" dT="2025-10-10T13:24:10.11" personId="{06172D48-E03B-4470-93EB-1F871B852D1E}" id="{D20088DD-D380-4F63-8199-4D33F0285013}">
    <text>@BEST, MARCOS  LHX</text>
    <mentions>
      <mention mentionpersonId="{8BDAD3F1-B258-47C5-92EE-5817EAFCD49D}" mentionId="{823CB87F-A6C5-4FBB-B263-719BA6DC32BE}" startIndex="0" length="13"/>
    </mentions>
  </threadedComment>
  <threadedComment ref="AF50" dT="2025-11-06T09:33:51.86" personId="{06172D48-E03B-4470-93EB-1F871B852D1E}" id="{6F0B081E-76E7-48C9-B014-95D80280FEB1}">
    <text xml:space="preserve">pedido de troca por dia 26 nov/ ficam 2 em P22 @BEST, MARCOS </text>
    <mentions>
      <mention mentionpersonId="{8BDAD3F1-B258-47C5-92EE-5817EAFCD49D}" mentionId="{04E71D8E-D500-429B-BB57-4157BEC6DF26}" startIndex="47" length="13"/>
    </mentions>
  </threadedComment>
  <threadedComment ref="E51" dT="2025-10-15T10:52:58.37" personId="{82F48BFA-1EBD-487C-AE0B-0B3554398DC1}" id="{6E17B8AB-4939-42B5-B2EC-A2521A1EB0B6}">
    <text>Formaçao Invol  On-the-Job com Carolina Minas</text>
  </threadedComment>
  <threadedComment ref="F51" dT="2025-10-15T10:52:58.37" personId="{82F48BFA-1EBD-487C-AE0B-0B3554398DC1}" id="{88629B35-BEEC-402C-8075-CEA0FAE83089}">
    <text>Formaçao Invol  On-the-Job com Carolina Minas</text>
  </threadedComment>
  <threadedComment ref="AC51" dT="2025-10-31T15:33:38.13" personId="{06172D48-E03B-4470-93EB-1F871B852D1E}" id="{5D85CDD2-AA7E-4C0E-837E-74A9033472B4}">
    <text xml:space="preserve">CATERING @BEST, MARCOS </text>
    <mentions>
      <mention mentionpersonId="{8BDAD3F1-B258-47C5-92EE-5817EAFCD49D}" mentionId="{F0DB3ED4-E8B3-4ED5-81D0-68F39C1AF409}" startIndex="9" length="13"/>
    </mentions>
  </threadedComment>
  <threadedComment ref="AD51" dT="2025-10-31T15:33:38.13" personId="{06172D48-E03B-4470-93EB-1F871B852D1E}" id="{54DF84AD-8272-449B-BFF3-A3127B713EA5}">
    <text xml:space="preserve">CATERING @BEST, MARCOS </text>
    <mentions>
      <mention mentionpersonId="{8BDAD3F1-B258-47C5-92EE-5817EAFCD49D}" mentionId="{D42DDE2E-65BC-4EE1-868B-E29926A2CD30}" startIndex="9" length="13"/>
    </mentions>
  </threadedComment>
  <threadedComment ref="AE51" dT="2025-10-31T15:33:38.13" personId="{06172D48-E03B-4470-93EB-1F871B852D1E}" id="{6389CDDE-2696-481B-B4BA-3E3FF7E0DFA5}">
    <text xml:space="preserve">CATERING @BEST, MARCOS </text>
    <mentions>
      <mention mentionpersonId="{8BDAD3F1-B258-47C5-92EE-5817EAFCD49D}" mentionId="{A51CC154-DF7B-4397-8BAA-EE9DD5A93D6F}" startIndex="9" length="13"/>
    </mentions>
  </threadedComment>
  <threadedComment ref="AF51" dT="2025-10-31T15:33:38.13" personId="{06172D48-E03B-4470-93EB-1F871B852D1E}" id="{A0CB0BCA-0E4B-4C64-851F-CA2546C04AC7}">
    <text xml:space="preserve">CATERING @BEST, MARCOS </text>
    <mentions>
      <mention mentionpersonId="{8BDAD3F1-B258-47C5-92EE-5817EAFCD49D}" mentionId="{CA517229-BD1F-46E9-91A6-AB5AA154727D}" startIndex="9" length="13"/>
    </mentions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B7" dT="2025-11-06T12:37:47.45" personId="{B0E28831-4287-47AD-AE33-435B3F722430}" id="{9BD2BE12-DA15-49A7-9D1C-FA68A671179C}">
    <text>Troca CP auth</text>
  </threadedComment>
  <threadedComment ref="AC7" dT="2025-11-06T12:37:47.45" personId="{B0E28831-4287-47AD-AE33-435B3F722430}" id="{3F1D247C-B1F5-4617-8C3A-341DC3C800AD}">
    <text>Troca CP auth</text>
  </threadedComment>
  <threadedComment ref="AD7" dT="2025-11-06T12:37:47.45" personId="{B0E28831-4287-47AD-AE33-435B3F722430}" id="{2BA7766E-0651-4A68-9C80-82ECE785D67F}">
    <text>Troca CP auth</text>
  </threadedComment>
  <threadedComment ref="AE7" dT="2025-11-06T12:37:47.45" personId="{B0E28831-4287-47AD-AE33-435B3F722430}" id="{10BCD7B7-1DCC-4523-8C22-4F02100C5068}">
    <text>Troca CP auth</text>
  </threadedComment>
  <threadedComment ref="AE10" dT="2025-11-06T12:40:41.75" personId="{B0E28831-4287-47AD-AE33-435B3F722430}" id="{D0B2E27B-27C5-45CB-9A28-73C149E8EE6A}">
    <text>Intermedio ok</text>
  </threadedComment>
  <threadedComment ref="AH10" dT="2025-11-06T12:40:41.75" personId="{B0E28831-4287-47AD-AE33-435B3F722430}" id="{AED78E4D-49E9-4C74-9B5E-47D6B5A3B723}">
    <text>Intermedio ok</text>
  </threadedComment>
  <threadedComment ref="V25" dT="2025-10-28T12:07:02.67" personId="{06172D48-E03B-4470-93EB-1F871B852D1E}" id="{65CA77B5-CFA1-4136-A687-DBE66619B27E}">
    <text xml:space="preserve">Pedido de troca @BEST, MARCOS </text>
    <mentions>
      <mention mentionpersonId="{8BDAD3F1-B258-47C5-92EE-5817EAFCD49D}" mentionId="{3235DF3B-5EB4-4341-88C4-4C9F367C4404}" startIndex="16" length="13"/>
    </mentions>
  </threadedComment>
  <threadedComment ref="Y45" dT="2025-10-09T13:28:52.07" personId="{06172D48-E03B-4470-93EB-1F871B852D1E}" id="{347304BC-384E-4CB9-9E13-D7B7FC311B94}">
    <text xml:space="preserve">lhx @BEST, MARCOS </text>
    <mentions>
      <mention mentionpersonId="{8BDAD3F1-B258-47C5-92EE-5817EAFCD49D}" mentionId="{6E0652F8-0E8E-4247-A1E4-7301767717C9}" startIndex="4" length="13"/>
    </mentions>
  </threadedComment>
  <threadedComment ref="Z45" dT="2025-10-09T13:28:52.07" personId="{06172D48-E03B-4470-93EB-1F871B852D1E}" id="{FEE1F5C3-CF24-4D69-9DE9-E19BE03B0B93}">
    <text xml:space="preserve">lhx @BEST, MARCOS </text>
    <mentions>
      <mention mentionpersonId="{8BDAD3F1-B258-47C5-92EE-5817EAFCD49D}" mentionId="{BFF00523-4C1F-4ADC-B6CD-52C1B70918C2}" startIndex="4" length="13"/>
    </mentions>
  </threadedComment>
  <threadedComment ref="AA45" dT="2025-10-09T13:28:52.07" personId="{06172D48-E03B-4470-93EB-1F871B852D1E}" id="{407948A9-F6DD-4D01-964E-128D52870283}">
    <text xml:space="preserve">lhx @BEST, MARCOS </text>
    <mentions>
      <mention mentionpersonId="{8BDAD3F1-B258-47C5-92EE-5817EAFCD49D}" mentionId="{AB039BF4-1723-4930-90E5-FE6EE04E9EF2}" startIndex="4" length="13"/>
    </mentions>
  </threadedComment>
  <threadedComment ref="J46" dT="2025-11-08T10:30:01.69" personId="{06172D48-E03B-4470-93EB-1F871B852D1E}" id="{EE74E2D0-0F2A-40CF-B052-48C41A4AFF91}">
    <text xml:space="preserve">Pedido de troca com o Dulani @BEST, MARCOS </text>
    <mentions>
      <mention mentionpersonId="{8BDAD3F1-B258-47C5-92EE-5817EAFCD49D}" mentionId="{5768A840-1870-49B5-A9C4-7E84BC869B08}" startIndex="29" length="13"/>
    </mentions>
  </threadedComment>
  <threadedComment ref="AH47" dT="2025-10-31T13:38:30.45" personId="{06172D48-E03B-4470-93EB-1F871B852D1E}" id="{CFE31DF3-0AD5-4AC1-AA28-C03151CAA750}">
    <text>LHX</text>
  </threadedComment>
  <threadedComment ref="Q48" dT="2025-11-06T12:58:46.21" personId="{06172D48-E03B-4470-93EB-1F871B852D1E}" id="{58A4180C-AF9B-4C71-AACE-A3FC89A3CDCB}">
    <text xml:space="preserve">lhx das 13h as 14h @BEST, MARCOS </text>
    <mentions>
      <mention mentionpersonId="{8BDAD3F1-B258-47C5-92EE-5817EAFCD49D}" mentionId="{C92EF3FA-1A29-4B90-8AC5-0FDDCFDD8553}" startIndex="19" length="13"/>
    </mentions>
  </threadedComment>
  <threadedComment ref="Q50" dT="2025-11-06T12:57:33.88" personId="{06172D48-E03B-4470-93EB-1F871B852D1E}" id="{236B63C3-1A8F-40CB-A43B-0442F42AE98C}">
    <text xml:space="preserve">lhx @BEST, MARCOS </text>
    <mentions>
      <mention mentionpersonId="{8BDAD3F1-B258-47C5-92EE-5817EAFCD49D}" mentionId="{FC9B9634-FFAF-4635-8274-8F1CA8B171CA}" startIndex="4" length="13"/>
    </mentions>
  </threadedComment>
  <threadedComment ref="AC50" dT="2025-10-31T13:36:32.77" personId="{06172D48-E03B-4470-93EB-1F871B852D1E}" id="{F045800B-E8A9-41F0-8B13-D960073BC694}">
    <text>LHX</text>
  </threadedComment>
  <threadedComment ref="AD50" dT="2025-10-31T13:36:38.19" personId="{06172D48-E03B-4470-93EB-1F871B852D1E}" id="{478EA0BF-F2B4-441C-92CD-C786478FF0F3}">
    <text>LHX</text>
  </threadedComment>
  <threadedComment ref="I51" dT="2025-10-31T15:33:38.13" personId="{06172D48-E03B-4470-93EB-1F871B852D1E}" id="{6DA17C2B-2858-43C7-9726-8F98E19D3478}">
    <text xml:space="preserve">CATERING @BEST, MARCOS </text>
    <mentions>
      <mention mentionpersonId="{8BDAD3F1-B258-47C5-92EE-5817EAFCD49D}" mentionId="{D5DA0BC2-D99E-42D8-A985-1F1C2B588A16}" startIndex="9" length="13"/>
    </mentions>
  </threadedComment>
  <threadedComment ref="J51" dT="2025-10-27T14:34:12.33" personId="{82F48BFA-1EBD-487C-AE0B-0B3554398DC1}" id="{7B7717D0-469C-415C-AE6C-B2D8002981D4}">
    <text>Turno LHX</text>
  </threadedComment>
  <threadedComment ref="K51" dT="2025-10-31T15:33:38.13" personId="{06172D48-E03B-4470-93EB-1F871B852D1E}" id="{917CB9BE-C454-434A-8A1B-140A58E62A16}">
    <text xml:space="preserve">CATERING @BEST, MARCOS </text>
    <mentions>
      <mention mentionpersonId="{8BDAD3F1-B258-47C5-92EE-5817EAFCD49D}" mentionId="{C5B31E89-0111-4F9D-9D13-071FDB4DE98E}" startIndex="9" length="13"/>
    </mentions>
  </threadedComment>
  <threadedComment ref="Y51" dT="2025-10-31T13:27:24.20" personId="{06172D48-E03B-4470-93EB-1F871B852D1E}" id="{A267FCDD-C048-40A6-BAF1-46B9B5FDC3AB}">
    <text>LHX</text>
  </threadedComment>
  <threadedComment ref="Z51" dT="2025-10-31T13:27:24.20" personId="{06172D48-E03B-4470-93EB-1F871B852D1E}" id="{CAEF1A31-4004-4D9E-8400-389DCF73DC0E}">
    <text>LHX</text>
  </threadedComment>
  <threadedComment ref="AA51" dT="2025-10-31T13:27:24.20" personId="{06172D48-E03B-4470-93EB-1F871B852D1E}" id="{9BEF0858-A69C-4B63-9F64-DBC21BEBE3AF}">
    <text>LHX</text>
  </threadedComment>
  <threadedComment ref="AB51" dT="2025-10-31T13:27:24.20" personId="{06172D48-E03B-4470-93EB-1F871B852D1E}" id="{CB31EED9-3AD3-4BF2-BDAB-BF50ED557994}">
    <text>LHX</text>
  </threadedComment>
  <threadedComment ref="AE51" dT="2025-10-27T14:33:55.98" personId="{82F48BFA-1EBD-487C-AE0B-0B3554398DC1}" id="{DEE0790E-6BFD-4B85-8ABF-D38EE09CE373}">
    <text>Turno LHX</text>
  </threadedComment>
  <threadedComment ref="AF51" dT="2025-10-27T14:33:59.53" personId="{82F48BFA-1EBD-487C-AE0B-0B3554398DC1}" id="{6428AD49-23FD-479E-AB70-426E8D3B5025}">
    <text>Turno LHX</text>
  </threadedComment>
  <threadedComment ref="AG51" dT="2025-10-27T14:34:02.72" personId="{82F48BFA-1EBD-487C-AE0B-0B3554398DC1}" id="{1D99811B-9B3D-4853-8552-02FA820AAA61}">
    <text>Turno LHX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55C7-A4D6-4002-A7BB-6AD77AD39175}">
  <dimension ref="A1:AP71"/>
  <sheetViews>
    <sheetView showGridLines="0" zoomScale="70" zoomScaleNormal="70" workbookViewId="0">
      <pane xSplit="2" ySplit="4" topLeftCell="C29" activePane="bottomRight" state="frozen"/>
      <selection pane="bottomRight" sqref="A1:B1048576"/>
      <selection pane="bottomLeft" sqref="A1:B1048576"/>
      <selection pane="topRight" sqref="A1:B1048576"/>
    </sheetView>
  </sheetViews>
  <sheetFormatPr defaultColWidth="9.140625" defaultRowHeight="15"/>
  <cols>
    <col min="1" max="2" width="42.5703125" customWidth="1"/>
    <col min="11" max="12" width="9.140625" customWidth="1"/>
  </cols>
  <sheetData>
    <row r="1" spans="1:42" ht="20.100000000000001" customHeight="1" thickBot="1">
      <c r="A1" s="939" t="s">
        <v>0</v>
      </c>
      <c r="B1" s="460" t="s">
        <v>0</v>
      </c>
      <c r="C1" s="491" t="s">
        <v>1</v>
      </c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3"/>
    </row>
    <row r="2" spans="1:42" ht="30" customHeight="1" thickBot="1">
      <c r="A2" s="551" t="s">
        <v>2</v>
      </c>
      <c r="B2" s="552"/>
      <c r="C2" s="573" t="s">
        <v>3</v>
      </c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63"/>
      <c r="AI2" s="1386" t="s">
        <v>4</v>
      </c>
      <c r="AJ2" s="1387"/>
      <c r="AK2" s="1388"/>
      <c r="AL2" s="1"/>
      <c r="AM2" s="1386" t="s">
        <v>5</v>
      </c>
      <c r="AN2" s="1387"/>
      <c r="AO2" s="1388"/>
    </row>
    <row r="3" spans="1:42" ht="24.95" customHeight="1">
      <c r="A3" s="461" t="s">
        <v>0</v>
      </c>
      <c r="B3" s="464" t="s">
        <v>0</v>
      </c>
      <c r="C3" s="434" t="s">
        <v>6</v>
      </c>
      <c r="D3" s="435" t="s">
        <v>7</v>
      </c>
      <c r="E3" s="435" t="s">
        <v>8</v>
      </c>
      <c r="F3" s="436" t="s">
        <v>9</v>
      </c>
      <c r="G3" s="436" t="s">
        <v>10</v>
      </c>
      <c r="H3" s="435" t="s">
        <v>11</v>
      </c>
      <c r="I3" s="435" t="s">
        <v>12</v>
      </c>
      <c r="J3" s="435" t="s">
        <v>6</v>
      </c>
      <c r="K3" s="435" t="s">
        <v>7</v>
      </c>
      <c r="L3" s="435" t="s">
        <v>8</v>
      </c>
      <c r="M3" s="436" t="s">
        <v>9</v>
      </c>
      <c r="N3" s="436" t="s">
        <v>10</v>
      </c>
      <c r="O3" s="435" t="s">
        <v>11</v>
      </c>
      <c r="P3" s="435" t="s">
        <v>12</v>
      </c>
      <c r="Q3" s="435" t="s">
        <v>6</v>
      </c>
      <c r="R3" s="435" t="s">
        <v>7</v>
      </c>
      <c r="S3" s="435" t="s">
        <v>8</v>
      </c>
      <c r="T3" s="436" t="s">
        <v>9</v>
      </c>
      <c r="U3" s="436" t="s">
        <v>10</v>
      </c>
      <c r="V3" s="435" t="s">
        <v>11</v>
      </c>
      <c r="W3" s="435" t="s">
        <v>12</v>
      </c>
      <c r="X3" s="435" t="s">
        <v>6</v>
      </c>
      <c r="Y3" s="435" t="s">
        <v>7</v>
      </c>
      <c r="Z3" s="435" t="s">
        <v>8</v>
      </c>
      <c r="AA3" s="436" t="s">
        <v>9</v>
      </c>
      <c r="AB3" s="436" t="s">
        <v>10</v>
      </c>
      <c r="AC3" s="435" t="s">
        <v>11</v>
      </c>
      <c r="AD3" s="435" t="s">
        <v>12</v>
      </c>
      <c r="AE3" s="435" t="s">
        <v>6</v>
      </c>
      <c r="AF3" s="435" t="s">
        <v>7</v>
      </c>
      <c r="AG3" s="465" t="s">
        <v>8</v>
      </c>
      <c r="AI3" s="1393">
        <v>2024</v>
      </c>
      <c r="AJ3" s="1395" t="s">
        <v>13</v>
      </c>
      <c r="AK3" s="1391" t="s">
        <v>14</v>
      </c>
      <c r="AL3" s="1"/>
      <c r="AM3" s="1393">
        <v>2025</v>
      </c>
      <c r="AN3" s="1389" t="s">
        <v>13</v>
      </c>
      <c r="AO3" s="1391" t="s">
        <v>14</v>
      </c>
    </row>
    <row r="4" spans="1:42" ht="24.95" customHeight="1" thickBot="1">
      <c r="A4" s="462" t="s">
        <v>15</v>
      </c>
      <c r="B4" s="466" t="s">
        <v>16</v>
      </c>
      <c r="C4" s="434">
        <v>1</v>
      </c>
      <c r="D4" s="437">
        <v>2</v>
      </c>
      <c r="E4" s="437">
        <v>3</v>
      </c>
      <c r="F4" s="436">
        <v>4</v>
      </c>
      <c r="G4" s="436">
        <v>5</v>
      </c>
      <c r="H4" s="437">
        <v>6</v>
      </c>
      <c r="I4" s="437">
        <v>7</v>
      </c>
      <c r="J4" s="437">
        <v>8</v>
      </c>
      <c r="K4" s="437">
        <v>9</v>
      </c>
      <c r="L4" s="437">
        <v>10</v>
      </c>
      <c r="M4" s="436">
        <v>11</v>
      </c>
      <c r="N4" s="436">
        <v>12</v>
      </c>
      <c r="O4" s="437">
        <v>13</v>
      </c>
      <c r="P4" s="437">
        <v>14</v>
      </c>
      <c r="Q4" s="437">
        <v>15</v>
      </c>
      <c r="R4" s="437">
        <v>16</v>
      </c>
      <c r="S4" s="437">
        <v>17</v>
      </c>
      <c r="T4" s="436">
        <v>18</v>
      </c>
      <c r="U4" s="436">
        <v>19</v>
      </c>
      <c r="V4" s="437">
        <v>20</v>
      </c>
      <c r="W4" s="437">
        <v>21</v>
      </c>
      <c r="X4" s="437">
        <v>22</v>
      </c>
      <c r="Y4" s="437">
        <v>23</v>
      </c>
      <c r="Z4" s="437">
        <v>24</v>
      </c>
      <c r="AA4" s="436">
        <v>25</v>
      </c>
      <c r="AB4" s="436">
        <v>26</v>
      </c>
      <c r="AC4" s="437">
        <v>27</v>
      </c>
      <c r="AD4" s="437">
        <v>28</v>
      </c>
      <c r="AE4" s="437">
        <v>29</v>
      </c>
      <c r="AF4" s="437">
        <v>30</v>
      </c>
      <c r="AG4" s="467">
        <v>31</v>
      </c>
      <c r="AI4" s="1394"/>
      <c r="AJ4" s="1396"/>
      <c r="AK4" s="1392"/>
      <c r="AL4" s="1"/>
      <c r="AM4" s="1394"/>
      <c r="AN4" s="1390"/>
      <c r="AO4" s="1392"/>
    </row>
    <row r="5" spans="1:42" ht="18.95" customHeight="1">
      <c r="A5" s="781" t="s">
        <v>17</v>
      </c>
      <c r="B5" s="782" t="s">
        <v>18</v>
      </c>
      <c r="C5" s="458" t="s">
        <v>19</v>
      </c>
      <c r="D5" s="438" t="s">
        <v>19</v>
      </c>
      <c r="E5" s="438" t="s">
        <v>19</v>
      </c>
      <c r="F5" s="438" t="s">
        <v>19</v>
      </c>
      <c r="G5" s="438" t="s">
        <v>19</v>
      </c>
      <c r="H5" s="438" t="s">
        <v>19</v>
      </c>
      <c r="I5" s="438" t="s">
        <v>19</v>
      </c>
      <c r="J5" s="438" t="s">
        <v>19</v>
      </c>
      <c r="K5" s="438" t="s">
        <v>19</v>
      </c>
      <c r="L5" s="438" t="s">
        <v>19</v>
      </c>
      <c r="M5" s="438" t="s">
        <v>19</v>
      </c>
      <c r="N5" s="438" t="s">
        <v>19</v>
      </c>
      <c r="O5" s="438" t="s">
        <v>19</v>
      </c>
      <c r="P5" s="438" t="s">
        <v>19</v>
      </c>
      <c r="Q5" s="438" t="s">
        <v>19</v>
      </c>
      <c r="R5" s="438" t="s">
        <v>19</v>
      </c>
      <c r="S5" s="438" t="s">
        <v>19</v>
      </c>
      <c r="T5" s="438" t="s">
        <v>19</v>
      </c>
      <c r="U5" s="438" t="s">
        <v>19</v>
      </c>
      <c r="V5" s="438" t="s">
        <v>19</v>
      </c>
      <c r="W5" s="438" t="s">
        <v>19</v>
      </c>
      <c r="X5" s="438" t="s">
        <v>19</v>
      </c>
      <c r="Y5" s="438" t="s">
        <v>19</v>
      </c>
      <c r="Z5" s="438" t="s">
        <v>19</v>
      </c>
      <c r="AA5" s="438" t="s">
        <v>19</v>
      </c>
      <c r="AB5" s="438" t="s">
        <v>19</v>
      </c>
      <c r="AC5" s="438" t="s">
        <v>19</v>
      </c>
      <c r="AD5" s="438" t="s">
        <v>19</v>
      </c>
      <c r="AE5" s="438" t="s">
        <v>19</v>
      </c>
      <c r="AF5" s="438" t="s">
        <v>19</v>
      </c>
      <c r="AG5" s="468" t="s">
        <v>19</v>
      </c>
      <c r="AI5" s="121">
        <v>3</v>
      </c>
      <c r="AJ5" s="125">
        <f>COUNTIF(C5:AG5,"UA")</f>
        <v>0</v>
      </c>
      <c r="AK5" s="122">
        <f>AI5-AJ5</f>
        <v>3</v>
      </c>
      <c r="AL5" s="48"/>
      <c r="AM5" s="4">
        <v>22</v>
      </c>
      <c r="AN5" s="56">
        <f t="shared" ref="AN5:AN12" si="0">COUNTIF(C5:AG5,"U")</f>
        <v>0</v>
      </c>
      <c r="AO5" s="57">
        <f t="shared" ref="AO5:AO12" si="1">AM5-AN5</f>
        <v>22</v>
      </c>
      <c r="AP5" s="145"/>
    </row>
    <row r="6" spans="1:42" ht="18.95" customHeight="1" thickBot="1">
      <c r="A6" s="785" t="s">
        <v>20</v>
      </c>
      <c r="B6" s="786" t="s">
        <v>21</v>
      </c>
      <c r="C6" s="142" t="s">
        <v>22</v>
      </c>
      <c r="D6" s="439" t="s">
        <v>23</v>
      </c>
      <c r="E6" s="439" t="s">
        <v>23</v>
      </c>
      <c r="F6" s="210" t="s">
        <v>19</v>
      </c>
      <c r="G6" s="210" t="s">
        <v>19</v>
      </c>
      <c r="H6" s="139" t="s">
        <v>24</v>
      </c>
      <c r="I6" s="139" t="s">
        <v>24</v>
      </c>
      <c r="J6" s="439" t="s">
        <v>23</v>
      </c>
      <c r="K6" s="439" t="s">
        <v>23</v>
      </c>
      <c r="L6" s="138" t="s">
        <v>22</v>
      </c>
      <c r="M6" s="138" t="s">
        <v>22</v>
      </c>
      <c r="N6" s="138" t="s">
        <v>22</v>
      </c>
      <c r="O6" s="138" t="s">
        <v>22</v>
      </c>
      <c r="P6" s="439" t="s">
        <v>23</v>
      </c>
      <c r="Q6" s="439" t="s">
        <v>23</v>
      </c>
      <c r="R6" s="139" t="s">
        <v>24</v>
      </c>
      <c r="S6" s="139" t="s">
        <v>24</v>
      </c>
      <c r="T6" s="439" t="s">
        <v>23</v>
      </c>
      <c r="U6" s="439" t="s">
        <v>23</v>
      </c>
      <c r="V6" s="152" t="s">
        <v>25</v>
      </c>
      <c r="W6" s="152" t="s">
        <v>25</v>
      </c>
      <c r="X6" s="152" t="s">
        <v>25</v>
      </c>
      <c r="Y6" s="210" t="s">
        <v>19</v>
      </c>
      <c r="Z6" s="439" t="s">
        <v>23</v>
      </c>
      <c r="AA6" s="439" t="s">
        <v>23</v>
      </c>
      <c r="AB6" s="138" t="s">
        <v>22</v>
      </c>
      <c r="AC6" s="138" t="s">
        <v>22</v>
      </c>
      <c r="AD6" s="138" t="s">
        <v>22</v>
      </c>
      <c r="AE6" s="138" t="s">
        <v>22</v>
      </c>
      <c r="AF6" s="139" t="s">
        <v>24</v>
      </c>
      <c r="AG6" s="151" t="s">
        <v>23</v>
      </c>
      <c r="AI6" s="123">
        <v>0</v>
      </c>
      <c r="AJ6" s="126">
        <f>COUNTIF(C6:AG6,"UA")</f>
        <v>0</v>
      </c>
      <c r="AK6" s="124">
        <f>AI6-AJ6</f>
        <v>0</v>
      </c>
      <c r="AL6" s="48"/>
      <c r="AM6" s="63">
        <v>19</v>
      </c>
      <c r="AN6" s="64">
        <f t="shared" si="0"/>
        <v>0</v>
      </c>
      <c r="AO6" s="65">
        <f t="shared" si="1"/>
        <v>19</v>
      </c>
      <c r="AP6" s="146"/>
    </row>
    <row r="7" spans="1:42" ht="18.95" customHeight="1">
      <c r="A7" s="469" t="s">
        <v>26</v>
      </c>
      <c r="B7" s="512" t="s">
        <v>27</v>
      </c>
      <c r="C7" s="459"/>
      <c r="D7" s="440"/>
      <c r="E7" s="160" t="s">
        <v>23</v>
      </c>
      <c r="F7" s="160" t="s">
        <v>23</v>
      </c>
      <c r="G7" s="160" t="s">
        <v>23</v>
      </c>
      <c r="H7" s="438" t="s">
        <v>19</v>
      </c>
      <c r="I7" s="438" t="s">
        <v>19</v>
      </c>
      <c r="J7" s="438" t="s">
        <v>19</v>
      </c>
      <c r="K7" s="438" t="s">
        <v>19</v>
      </c>
      <c r="L7" s="438" t="s">
        <v>19</v>
      </c>
      <c r="M7" s="438" t="s">
        <v>19</v>
      </c>
      <c r="N7" s="438" t="s">
        <v>19</v>
      </c>
      <c r="O7" s="438" t="s">
        <v>19</v>
      </c>
      <c r="P7" s="438" t="s">
        <v>19</v>
      </c>
      <c r="Q7" s="438" t="s">
        <v>19</v>
      </c>
      <c r="R7" s="210" t="s">
        <v>19</v>
      </c>
      <c r="S7" s="210" t="s">
        <v>19</v>
      </c>
      <c r="T7" s="210" t="s">
        <v>19</v>
      </c>
      <c r="U7" s="210" t="s">
        <v>19</v>
      </c>
      <c r="V7" s="210" t="s">
        <v>19</v>
      </c>
      <c r="W7" s="210" t="s">
        <v>19</v>
      </c>
      <c r="X7" s="160" t="s">
        <v>23</v>
      </c>
      <c r="Y7" s="160" t="s">
        <v>23</v>
      </c>
      <c r="Z7" s="138" t="s">
        <v>22</v>
      </c>
      <c r="AA7" s="138" t="s">
        <v>22</v>
      </c>
      <c r="AB7" s="138" t="s">
        <v>22</v>
      </c>
      <c r="AC7" s="138" t="s">
        <v>22</v>
      </c>
      <c r="AD7" s="160" t="s">
        <v>23</v>
      </c>
      <c r="AE7" s="160" t="s">
        <v>23</v>
      </c>
      <c r="AF7" s="138" t="s">
        <v>22</v>
      </c>
      <c r="AG7" s="141" t="s">
        <v>22</v>
      </c>
      <c r="AI7" s="4">
        <v>0</v>
      </c>
      <c r="AJ7" s="127">
        <f t="shared" ref="AJ7:AJ11" si="2">COUNTIF(C7:AG7,"UA")</f>
        <v>0</v>
      </c>
      <c r="AK7" s="17">
        <f t="shared" ref="AK7:AK11" si="3">AI7-AJ7</f>
        <v>0</v>
      </c>
      <c r="AL7" s="48"/>
      <c r="AM7" s="4">
        <v>22</v>
      </c>
      <c r="AN7" s="56">
        <f t="shared" si="0"/>
        <v>0</v>
      </c>
      <c r="AO7" s="57">
        <f t="shared" si="1"/>
        <v>22</v>
      </c>
      <c r="AP7" s="145"/>
    </row>
    <row r="8" spans="1:42" ht="18.95" customHeight="1">
      <c r="A8" s="429" t="s">
        <v>28</v>
      </c>
      <c r="B8" s="510" t="s">
        <v>29</v>
      </c>
      <c r="C8" s="457" t="s">
        <v>30</v>
      </c>
      <c r="D8" s="160" t="s">
        <v>23</v>
      </c>
      <c r="E8" s="160" t="s">
        <v>23</v>
      </c>
      <c r="F8" s="137" t="s">
        <v>31</v>
      </c>
      <c r="G8" s="137" t="s">
        <v>31</v>
      </c>
      <c r="H8" s="148" t="s">
        <v>24</v>
      </c>
      <c r="I8" s="148" t="s">
        <v>24</v>
      </c>
      <c r="J8" s="160" t="s">
        <v>23</v>
      </c>
      <c r="K8" s="160" t="s">
        <v>23</v>
      </c>
      <c r="L8" s="138" t="s">
        <v>22</v>
      </c>
      <c r="M8" s="138" t="s">
        <v>22</v>
      </c>
      <c r="N8" s="138" t="s">
        <v>22</v>
      </c>
      <c r="O8" s="138" t="s">
        <v>22</v>
      </c>
      <c r="P8" s="160" t="s">
        <v>23</v>
      </c>
      <c r="Q8" s="160" t="s">
        <v>23</v>
      </c>
      <c r="R8" s="148" t="s">
        <v>24</v>
      </c>
      <c r="S8" s="148" t="s">
        <v>24</v>
      </c>
      <c r="T8" s="148" t="s">
        <v>24</v>
      </c>
      <c r="U8" s="148" t="s">
        <v>24</v>
      </c>
      <c r="V8" s="160" t="s">
        <v>23</v>
      </c>
      <c r="W8" s="160" t="s">
        <v>23</v>
      </c>
      <c r="X8" s="138" t="s">
        <v>22</v>
      </c>
      <c r="Y8" s="138" t="s">
        <v>22</v>
      </c>
      <c r="Z8" s="138" t="s">
        <v>22</v>
      </c>
      <c r="AA8" s="138" t="s">
        <v>22</v>
      </c>
      <c r="AB8" s="160" t="s">
        <v>23</v>
      </c>
      <c r="AC8" s="160" t="s">
        <v>23</v>
      </c>
      <c r="AD8" s="138" t="s">
        <v>22</v>
      </c>
      <c r="AE8" s="138" t="s">
        <v>22</v>
      </c>
      <c r="AF8" s="138" t="s">
        <v>22</v>
      </c>
      <c r="AG8" s="141" t="s">
        <v>22</v>
      </c>
      <c r="AI8" s="37">
        <v>2</v>
      </c>
      <c r="AJ8" s="128">
        <f t="shared" si="2"/>
        <v>2</v>
      </c>
      <c r="AK8" s="19">
        <f t="shared" si="3"/>
        <v>0</v>
      </c>
      <c r="AL8" s="48"/>
      <c r="AM8" s="37">
        <v>23</v>
      </c>
      <c r="AN8" s="35">
        <f t="shared" si="0"/>
        <v>0</v>
      </c>
      <c r="AO8" s="38">
        <f t="shared" si="1"/>
        <v>23</v>
      </c>
      <c r="AP8" s="145"/>
    </row>
    <row r="9" spans="1:42" ht="18.95" customHeight="1">
      <c r="A9" s="429" t="s">
        <v>32</v>
      </c>
      <c r="B9" s="510" t="s">
        <v>33</v>
      </c>
      <c r="C9" s="326" t="s">
        <v>23</v>
      </c>
      <c r="D9" s="138" t="s">
        <v>22</v>
      </c>
      <c r="E9" s="138" t="s">
        <v>22</v>
      </c>
      <c r="F9" s="138" t="s">
        <v>22</v>
      </c>
      <c r="G9" s="138" t="s">
        <v>22</v>
      </c>
      <c r="H9" s="160" t="s">
        <v>23</v>
      </c>
      <c r="I9" s="160" t="s">
        <v>23</v>
      </c>
      <c r="J9" s="148" t="s">
        <v>24</v>
      </c>
      <c r="K9" s="148" t="s">
        <v>24</v>
      </c>
      <c r="L9" s="148" t="s">
        <v>24</v>
      </c>
      <c r="M9" s="148" t="s">
        <v>24</v>
      </c>
      <c r="N9" s="160" t="s">
        <v>23</v>
      </c>
      <c r="O9" s="160" t="s">
        <v>23</v>
      </c>
      <c r="P9" s="138" t="s">
        <v>22</v>
      </c>
      <c r="Q9" s="138" t="s">
        <v>22</v>
      </c>
      <c r="R9" s="138" t="s">
        <v>22</v>
      </c>
      <c r="S9" s="138" t="s">
        <v>22</v>
      </c>
      <c r="T9" s="160" t="s">
        <v>23</v>
      </c>
      <c r="U9" s="160" t="s">
        <v>23</v>
      </c>
      <c r="V9" s="148" t="s">
        <v>24</v>
      </c>
      <c r="W9" s="148" t="s">
        <v>24</v>
      </c>
      <c r="X9" s="148" t="s">
        <v>24</v>
      </c>
      <c r="Y9" s="137" t="s">
        <v>34</v>
      </c>
      <c r="Z9" s="160" t="s">
        <v>23</v>
      </c>
      <c r="AA9" s="160" t="s">
        <v>23</v>
      </c>
      <c r="AB9" s="137" t="s">
        <v>34</v>
      </c>
      <c r="AC9" s="137" t="s">
        <v>34</v>
      </c>
      <c r="AD9" s="137" t="s">
        <v>34</v>
      </c>
      <c r="AE9" s="137" t="s">
        <v>34</v>
      </c>
      <c r="AF9" s="160" t="s">
        <v>23</v>
      </c>
      <c r="AG9" s="151" t="s">
        <v>23</v>
      </c>
      <c r="AI9" s="37">
        <v>0</v>
      </c>
      <c r="AJ9" s="128">
        <f t="shared" si="2"/>
        <v>0</v>
      </c>
      <c r="AK9" s="19">
        <f t="shared" si="3"/>
        <v>0</v>
      </c>
      <c r="AL9" s="48"/>
      <c r="AM9" s="37">
        <v>22</v>
      </c>
      <c r="AN9" s="35">
        <f t="shared" si="0"/>
        <v>5</v>
      </c>
      <c r="AO9" s="38">
        <f t="shared" si="1"/>
        <v>17</v>
      </c>
      <c r="AP9" s="145"/>
    </row>
    <row r="10" spans="1:42" ht="18.95" customHeight="1">
      <c r="A10" s="429" t="s">
        <v>35</v>
      </c>
      <c r="B10" s="510" t="s">
        <v>36</v>
      </c>
      <c r="C10" s="156" t="s">
        <v>24</v>
      </c>
      <c r="D10" s="148" t="s">
        <v>24</v>
      </c>
      <c r="E10" s="148" t="s">
        <v>24</v>
      </c>
      <c r="F10" s="160" t="s">
        <v>23</v>
      </c>
      <c r="G10" s="160" t="s">
        <v>23</v>
      </c>
      <c r="H10" s="138" t="s">
        <v>22</v>
      </c>
      <c r="I10" s="138" t="s">
        <v>22</v>
      </c>
      <c r="J10" s="138" t="s">
        <v>22</v>
      </c>
      <c r="K10" s="138" t="s">
        <v>22</v>
      </c>
      <c r="L10" s="160" t="s">
        <v>23</v>
      </c>
      <c r="M10" s="160" t="s">
        <v>23</v>
      </c>
      <c r="N10" s="148" t="s">
        <v>24</v>
      </c>
      <c r="O10" s="148" t="s">
        <v>24</v>
      </c>
      <c r="P10" s="148" t="s">
        <v>24</v>
      </c>
      <c r="Q10" s="148" t="s">
        <v>24</v>
      </c>
      <c r="R10" s="148" t="s">
        <v>24</v>
      </c>
      <c r="S10" s="160" t="s">
        <v>23</v>
      </c>
      <c r="T10" s="160" t="s">
        <v>23</v>
      </c>
      <c r="U10" s="138" t="s">
        <v>22</v>
      </c>
      <c r="V10" s="138" t="s">
        <v>22</v>
      </c>
      <c r="W10" s="138" t="s">
        <v>22</v>
      </c>
      <c r="X10" s="160" t="s">
        <v>23</v>
      </c>
      <c r="Y10" s="160" t="s">
        <v>23</v>
      </c>
      <c r="Z10" s="148" t="s">
        <v>24</v>
      </c>
      <c r="AA10" s="148" t="s">
        <v>24</v>
      </c>
      <c r="AB10" s="148" t="s">
        <v>24</v>
      </c>
      <c r="AC10" s="148" t="s">
        <v>24</v>
      </c>
      <c r="AD10" s="160" t="s">
        <v>23</v>
      </c>
      <c r="AE10" s="160" t="s">
        <v>23</v>
      </c>
      <c r="AF10" s="138" t="s">
        <v>22</v>
      </c>
      <c r="AG10" s="141" t="s">
        <v>22</v>
      </c>
      <c r="AI10" s="105">
        <v>0</v>
      </c>
      <c r="AJ10" s="128">
        <f t="shared" si="2"/>
        <v>0</v>
      </c>
      <c r="AK10" s="19">
        <f t="shared" si="3"/>
        <v>0</v>
      </c>
      <c r="AL10" s="48"/>
      <c r="AM10" s="37">
        <v>22</v>
      </c>
      <c r="AN10" s="35">
        <f t="shared" si="0"/>
        <v>0</v>
      </c>
      <c r="AO10" s="38">
        <f t="shared" si="1"/>
        <v>22</v>
      </c>
      <c r="AP10" s="145"/>
    </row>
    <row r="11" spans="1:42" ht="18.95" customHeight="1">
      <c r="A11" s="429" t="s">
        <v>37</v>
      </c>
      <c r="B11" s="510" t="s">
        <v>38</v>
      </c>
      <c r="C11" s="326" t="s">
        <v>23</v>
      </c>
      <c r="D11" s="148" t="s">
        <v>24</v>
      </c>
      <c r="E11" s="148" t="s">
        <v>24</v>
      </c>
      <c r="F11" s="148" t="s">
        <v>24</v>
      </c>
      <c r="G11" s="419" t="s">
        <v>39</v>
      </c>
      <c r="H11" s="148" t="s">
        <v>24</v>
      </c>
      <c r="I11" s="160" t="s">
        <v>23</v>
      </c>
      <c r="J11" s="160" t="s">
        <v>23</v>
      </c>
      <c r="K11" s="152" t="s">
        <v>40</v>
      </c>
      <c r="L11" s="209" t="s">
        <v>41</v>
      </c>
      <c r="M11" s="138" t="s">
        <v>22</v>
      </c>
      <c r="N11" s="138" t="s">
        <v>22</v>
      </c>
      <c r="O11" s="138" t="s">
        <v>22</v>
      </c>
      <c r="P11" s="160" t="s">
        <v>23</v>
      </c>
      <c r="Q11" s="160" t="s">
        <v>23</v>
      </c>
      <c r="R11" s="148" t="s">
        <v>24</v>
      </c>
      <c r="S11" s="148" t="s">
        <v>24</v>
      </c>
      <c r="T11" s="350" t="s">
        <v>42</v>
      </c>
      <c r="U11" s="148" t="s">
        <v>24</v>
      </c>
      <c r="V11" s="160" t="s">
        <v>23</v>
      </c>
      <c r="W11" s="160" t="s">
        <v>23</v>
      </c>
      <c r="X11" s="138" t="s">
        <v>22</v>
      </c>
      <c r="Y11" s="138" t="s">
        <v>22</v>
      </c>
      <c r="Z11" s="138" t="s">
        <v>22</v>
      </c>
      <c r="AA11" s="138" t="s">
        <v>22</v>
      </c>
      <c r="AB11" s="160" t="s">
        <v>23</v>
      </c>
      <c r="AC11" s="160" t="s">
        <v>23</v>
      </c>
      <c r="AD11" s="148" t="s">
        <v>24</v>
      </c>
      <c r="AE11" s="148" t="s">
        <v>24</v>
      </c>
      <c r="AF11" s="148" t="s">
        <v>24</v>
      </c>
      <c r="AG11" s="470" t="s">
        <v>24</v>
      </c>
      <c r="AI11" s="37">
        <v>0</v>
      </c>
      <c r="AJ11" s="35">
        <f t="shared" si="2"/>
        <v>0</v>
      </c>
      <c r="AK11" s="19">
        <f t="shared" si="3"/>
        <v>0</v>
      </c>
      <c r="AL11" s="48"/>
      <c r="AM11" s="37">
        <v>22</v>
      </c>
      <c r="AN11" s="35">
        <f t="shared" si="0"/>
        <v>0</v>
      </c>
      <c r="AO11" s="38">
        <f t="shared" si="1"/>
        <v>22</v>
      </c>
      <c r="AP11" s="145"/>
    </row>
    <row r="12" spans="1:42" ht="18.95" customHeight="1" thickBot="1">
      <c r="A12" s="428" t="s">
        <v>43</v>
      </c>
      <c r="B12" s="511" t="s">
        <v>44</v>
      </c>
      <c r="C12" s="391" t="s">
        <v>23</v>
      </c>
      <c r="D12" s="153" t="s">
        <v>22</v>
      </c>
      <c r="E12" s="153" t="s">
        <v>22</v>
      </c>
      <c r="F12" s="153" t="s">
        <v>22</v>
      </c>
      <c r="G12" s="307" t="s">
        <v>24</v>
      </c>
      <c r="H12" s="161" t="s">
        <v>23</v>
      </c>
      <c r="I12" s="161" t="s">
        <v>23</v>
      </c>
      <c r="J12" s="307" t="s">
        <v>24</v>
      </c>
      <c r="K12" s="307" t="s">
        <v>24</v>
      </c>
      <c r="L12" s="307" t="s">
        <v>24</v>
      </c>
      <c r="M12" s="307" t="s">
        <v>24</v>
      </c>
      <c r="N12" s="161" t="s">
        <v>23</v>
      </c>
      <c r="O12" s="161" t="s">
        <v>23</v>
      </c>
      <c r="P12" s="153" t="s">
        <v>22</v>
      </c>
      <c r="Q12" s="153" t="s">
        <v>22</v>
      </c>
      <c r="R12" s="153" t="s">
        <v>22</v>
      </c>
      <c r="S12" s="402" t="s">
        <v>42</v>
      </c>
      <c r="T12" s="161" t="s">
        <v>23</v>
      </c>
      <c r="U12" s="161" t="s">
        <v>23</v>
      </c>
      <c r="V12" s="307" t="s">
        <v>24</v>
      </c>
      <c r="W12" s="307" t="s">
        <v>24</v>
      </c>
      <c r="X12" s="307" t="s">
        <v>24</v>
      </c>
      <c r="Y12" s="307" t="s">
        <v>24</v>
      </c>
      <c r="Z12" s="161" t="s">
        <v>23</v>
      </c>
      <c r="AA12" s="161" t="s">
        <v>23</v>
      </c>
      <c r="AB12" s="307" t="s">
        <v>24</v>
      </c>
      <c r="AC12" s="307" t="s">
        <v>24</v>
      </c>
      <c r="AD12" s="307" t="s">
        <v>24</v>
      </c>
      <c r="AE12" s="307" t="s">
        <v>24</v>
      </c>
      <c r="AF12" s="161" t="s">
        <v>23</v>
      </c>
      <c r="AG12" s="471" t="s">
        <v>23</v>
      </c>
      <c r="AI12" s="63">
        <v>0</v>
      </c>
      <c r="AJ12" s="129">
        <f t="shared" ref="AJ12" si="4">COUNTIF(C12:AG12,"UA")</f>
        <v>0</v>
      </c>
      <c r="AK12" s="68">
        <f t="shared" ref="AK12" si="5">AI12-AJ12</f>
        <v>0</v>
      </c>
      <c r="AL12" s="48"/>
      <c r="AM12" s="46">
        <v>22</v>
      </c>
      <c r="AN12" s="16">
        <f t="shared" si="0"/>
        <v>0</v>
      </c>
      <c r="AO12" s="52">
        <f t="shared" si="1"/>
        <v>22</v>
      </c>
      <c r="AP12" s="145"/>
    </row>
    <row r="13" spans="1:42" ht="20.100000000000001" customHeight="1" thickBot="1">
      <c r="A13" s="426"/>
      <c r="B13" s="426"/>
      <c r="C13" s="96"/>
      <c r="D13" s="97"/>
      <c r="E13" s="97"/>
      <c r="F13" s="97"/>
      <c r="G13" s="97"/>
      <c r="H13" s="96"/>
      <c r="I13" s="96"/>
      <c r="J13" s="98"/>
      <c r="K13" s="98"/>
      <c r="L13" s="98"/>
      <c r="M13" s="98"/>
      <c r="N13" s="96"/>
      <c r="O13" s="96"/>
      <c r="P13" s="97"/>
      <c r="Q13" s="97"/>
      <c r="R13" s="97"/>
      <c r="S13" s="97"/>
      <c r="T13" s="96"/>
      <c r="U13" s="96"/>
      <c r="V13" s="98"/>
      <c r="W13" s="98"/>
      <c r="X13" s="98"/>
      <c r="Y13" s="99"/>
      <c r="Z13" s="96"/>
      <c r="AA13" s="96"/>
      <c r="AB13" s="99"/>
      <c r="AC13" s="99"/>
      <c r="AD13" s="99"/>
      <c r="AE13" s="99"/>
      <c r="AF13" s="96"/>
      <c r="AG13" s="96"/>
      <c r="AI13" s="72"/>
      <c r="AJ13" s="53"/>
      <c r="AK13" s="100"/>
      <c r="AL13" s="48"/>
      <c r="AM13" s="72"/>
      <c r="AN13" s="72"/>
      <c r="AO13" s="72"/>
    </row>
    <row r="14" spans="1:42" ht="24.95" customHeight="1" thickBot="1">
      <c r="A14" s="557" t="s">
        <v>45</v>
      </c>
      <c r="B14" s="473"/>
      <c r="C14" s="473"/>
      <c r="D14" s="473"/>
      <c r="E14" s="473"/>
      <c r="F14" s="473"/>
      <c r="G14" s="473"/>
      <c r="H14" s="473"/>
      <c r="I14" s="473"/>
      <c r="J14" s="473"/>
      <c r="K14" s="473"/>
      <c r="L14" s="473"/>
      <c r="M14" s="473"/>
      <c r="N14" s="473"/>
      <c r="O14" s="473"/>
      <c r="P14" s="473"/>
      <c r="Q14" s="473"/>
      <c r="R14" s="473"/>
      <c r="S14" s="473"/>
      <c r="T14" s="473"/>
      <c r="U14" s="473"/>
      <c r="V14" s="473"/>
      <c r="W14" s="473"/>
      <c r="X14" s="473"/>
      <c r="Y14" s="473"/>
      <c r="Z14" s="473"/>
      <c r="AA14" s="473"/>
      <c r="AB14" s="473"/>
      <c r="AC14" s="473"/>
      <c r="AD14" s="473"/>
      <c r="AE14" s="473"/>
      <c r="AF14" s="473"/>
      <c r="AG14" s="474"/>
      <c r="AI14" s="72"/>
      <c r="AJ14" s="53"/>
      <c r="AK14" s="100"/>
      <c r="AL14" s="48"/>
      <c r="AM14" s="72"/>
      <c r="AN14" s="72"/>
      <c r="AO14" s="72"/>
    </row>
    <row r="15" spans="1:42" ht="18.95" customHeight="1">
      <c r="A15" s="783" t="s">
        <v>46</v>
      </c>
      <c r="B15" s="784" t="s">
        <v>47</v>
      </c>
      <c r="C15" s="457" t="s">
        <v>30</v>
      </c>
      <c r="D15" s="137" t="s">
        <v>31</v>
      </c>
      <c r="E15" s="137" t="s">
        <v>31</v>
      </c>
      <c r="F15" s="439" t="s">
        <v>23</v>
      </c>
      <c r="G15" s="439" t="s">
        <v>23</v>
      </c>
      <c r="H15" s="350" t="s">
        <v>48</v>
      </c>
      <c r="I15" s="350" t="s">
        <v>48</v>
      </c>
      <c r="J15" s="350" t="s">
        <v>48</v>
      </c>
      <c r="K15" s="350" t="s">
        <v>48</v>
      </c>
      <c r="L15" s="350" t="s">
        <v>48</v>
      </c>
      <c r="M15" s="439" t="s">
        <v>23</v>
      </c>
      <c r="N15" s="439" t="s">
        <v>23</v>
      </c>
      <c r="O15" s="350" t="s">
        <v>48</v>
      </c>
      <c r="P15" s="350" t="s">
        <v>48</v>
      </c>
      <c r="Q15" s="438" t="s">
        <v>49</v>
      </c>
      <c r="R15" s="438" t="s">
        <v>49</v>
      </c>
      <c r="S15" s="438" t="s">
        <v>49</v>
      </c>
      <c r="T15" s="439" t="s">
        <v>23</v>
      </c>
      <c r="U15" s="439" t="s">
        <v>23</v>
      </c>
      <c r="V15" s="152" t="s">
        <v>25</v>
      </c>
      <c r="W15" s="152" t="s">
        <v>25</v>
      </c>
      <c r="X15" s="152" t="s">
        <v>25</v>
      </c>
      <c r="Y15" s="152" t="s">
        <v>25</v>
      </c>
      <c r="Z15" s="350" t="s">
        <v>50</v>
      </c>
      <c r="AA15" s="439" t="s">
        <v>23</v>
      </c>
      <c r="AB15" s="439" t="s">
        <v>23</v>
      </c>
      <c r="AC15" s="350" t="s">
        <v>48</v>
      </c>
      <c r="AD15" s="350" t="s">
        <v>48</v>
      </c>
      <c r="AE15" s="350" t="s">
        <v>48</v>
      </c>
      <c r="AF15" s="350" t="s">
        <v>48</v>
      </c>
      <c r="AG15" s="475" t="s">
        <v>48</v>
      </c>
      <c r="AI15" s="4">
        <v>4</v>
      </c>
      <c r="AJ15" s="54">
        <v>2</v>
      </c>
      <c r="AK15" s="17">
        <f>AI15-AJ15</f>
        <v>2</v>
      </c>
      <c r="AL15" s="48"/>
      <c r="AM15" s="4">
        <v>22</v>
      </c>
      <c r="AN15" s="56">
        <f>COUNTIF(C15:AG15,"U")</f>
        <v>0</v>
      </c>
      <c r="AO15" s="57">
        <f>AM15-AN15</f>
        <v>22</v>
      </c>
      <c r="AP15" s="146"/>
    </row>
    <row r="16" spans="1:42" ht="18.95" customHeight="1">
      <c r="A16" s="429" t="s">
        <v>51</v>
      </c>
      <c r="B16" s="510" t="s">
        <v>52</v>
      </c>
      <c r="C16" s="457" t="s">
        <v>30</v>
      </c>
      <c r="D16" s="384" t="s">
        <v>23</v>
      </c>
      <c r="E16" s="138" t="s">
        <v>22</v>
      </c>
      <c r="F16" s="139" t="s">
        <v>24</v>
      </c>
      <c r="G16" s="139" t="s">
        <v>24</v>
      </c>
      <c r="H16" s="384" t="s">
        <v>23</v>
      </c>
      <c r="I16" s="138" t="s">
        <v>22</v>
      </c>
      <c r="J16" s="138" t="s">
        <v>22</v>
      </c>
      <c r="K16" s="139" t="s">
        <v>24</v>
      </c>
      <c r="L16" s="139" t="s">
        <v>24</v>
      </c>
      <c r="M16" s="384" t="s">
        <v>23</v>
      </c>
      <c r="N16" s="384" t="s">
        <v>23</v>
      </c>
      <c r="O16" s="419" t="s">
        <v>39</v>
      </c>
      <c r="P16" s="441" t="s">
        <v>53</v>
      </c>
      <c r="Q16" s="139" t="s">
        <v>24</v>
      </c>
      <c r="R16" s="139" t="s">
        <v>24</v>
      </c>
      <c r="S16" s="384" t="s">
        <v>23</v>
      </c>
      <c r="T16" s="384" t="s">
        <v>23</v>
      </c>
      <c r="U16" s="138" t="s">
        <v>22</v>
      </c>
      <c r="V16" s="138" t="s">
        <v>22</v>
      </c>
      <c r="W16" s="139" t="s">
        <v>24</v>
      </c>
      <c r="X16" s="139" t="s">
        <v>24</v>
      </c>
      <c r="Y16" s="395" t="s">
        <v>23</v>
      </c>
      <c r="Z16" s="395" t="s">
        <v>23</v>
      </c>
      <c r="AA16" s="139" t="s">
        <v>24</v>
      </c>
      <c r="AB16" s="139" t="s">
        <v>24</v>
      </c>
      <c r="AC16" s="139" t="s">
        <v>24</v>
      </c>
      <c r="AD16" s="139" t="s">
        <v>24</v>
      </c>
      <c r="AE16" s="160" t="s">
        <v>23</v>
      </c>
      <c r="AF16" s="160" t="s">
        <v>23</v>
      </c>
      <c r="AG16" s="144" t="s">
        <v>34</v>
      </c>
      <c r="AI16" s="34">
        <v>0</v>
      </c>
      <c r="AJ16" s="58">
        <f t="shared" ref="AJ16:AJ18" si="6">COUNTIF(C16:AG16,"UA")</f>
        <v>0</v>
      </c>
      <c r="AK16" s="19">
        <f t="shared" ref="AK16:AK18" si="7">AI16-AJ16</f>
        <v>0</v>
      </c>
      <c r="AL16" s="48"/>
      <c r="AM16" s="34">
        <v>22</v>
      </c>
      <c r="AN16" s="49">
        <f>COUNTIF(C16:AG16,"U")</f>
        <v>1</v>
      </c>
      <c r="AO16" s="50">
        <f>AM16-AN16</f>
        <v>21</v>
      </c>
      <c r="AP16" s="145"/>
    </row>
    <row r="17" spans="1:42" ht="18.95" customHeight="1">
      <c r="A17" s="429" t="s">
        <v>54</v>
      </c>
      <c r="B17" s="510" t="s">
        <v>55</v>
      </c>
      <c r="C17" s="457" t="s">
        <v>30</v>
      </c>
      <c r="D17" s="138" t="s">
        <v>22</v>
      </c>
      <c r="E17" s="160" t="s">
        <v>23</v>
      </c>
      <c r="F17" s="138" t="s">
        <v>22</v>
      </c>
      <c r="G17" s="138" t="s">
        <v>22</v>
      </c>
      <c r="H17" s="138" t="s">
        <v>22</v>
      </c>
      <c r="I17" s="384" t="s">
        <v>23</v>
      </c>
      <c r="J17" s="384" t="s">
        <v>23</v>
      </c>
      <c r="K17" s="138" t="s">
        <v>22</v>
      </c>
      <c r="L17" s="138" t="s">
        <v>22</v>
      </c>
      <c r="M17" s="139" t="s">
        <v>24</v>
      </c>
      <c r="N17" s="139" t="s">
        <v>24</v>
      </c>
      <c r="O17" s="384" t="s">
        <v>23</v>
      </c>
      <c r="P17" s="384" t="s">
        <v>23</v>
      </c>
      <c r="Q17" s="138" t="s">
        <v>22</v>
      </c>
      <c r="R17" s="138" t="s">
        <v>22</v>
      </c>
      <c r="S17" s="138" t="s">
        <v>22</v>
      </c>
      <c r="T17" s="138" t="s">
        <v>22</v>
      </c>
      <c r="U17" s="384" t="s">
        <v>23</v>
      </c>
      <c r="V17" s="384" t="s">
        <v>23</v>
      </c>
      <c r="W17" s="138" t="s">
        <v>22</v>
      </c>
      <c r="X17" s="138" t="s">
        <v>22</v>
      </c>
      <c r="Y17" s="139" t="s">
        <v>24</v>
      </c>
      <c r="Z17" s="419" t="s">
        <v>39</v>
      </c>
      <c r="AA17" s="395" t="s">
        <v>23</v>
      </c>
      <c r="AB17" s="395" t="s">
        <v>23</v>
      </c>
      <c r="AC17" s="138" t="s">
        <v>22</v>
      </c>
      <c r="AD17" s="138" t="s">
        <v>22</v>
      </c>
      <c r="AE17" s="138" t="s">
        <v>22</v>
      </c>
      <c r="AF17" s="138" t="s">
        <v>22</v>
      </c>
      <c r="AG17" s="385" t="s">
        <v>23</v>
      </c>
      <c r="AI17" s="37">
        <v>1</v>
      </c>
      <c r="AJ17" s="58">
        <f t="shared" si="6"/>
        <v>0</v>
      </c>
      <c r="AK17" s="19">
        <f t="shared" si="7"/>
        <v>1</v>
      </c>
      <c r="AL17" s="48"/>
      <c r="AM17" s="37">
        <v>23</v>
      </c>
      <c r="AN17" s="35">
        <f>COUNTIF(C17:AG17,"U")</f>
        <v>0</v>
      </c>
      <c r="AO17" s="38">
        <f>AM17-AN17</f>
        <v>23</v>
      </c>
      <c r="AP17" s="146"/>
    </row>
    <row r="18" spans="1:42" ht="18.95" customHeight="1" thickBot="1">
      <c r="A18" s="428" t="s">
        <v>56</v>
      </c>
      <c r="B18" s="511" t="s">
        <v>57</v>
      </c>
      <c r="C18" s="154" t="s">
        <v>58</v>
      </c>
      <c r="D18" s="153" t="s">
        <v>58</v>
      </c>
      <c r="E18" s="153" t="s">
        <v>58</v>
      </c>
      <c r="F18" s="476" t="s">
        <v>23</v>
      </c>
      <c r="G18" s="476" t="s">
        <v>23</v>
      </c>
      <c r="H18" s="153" t="s">
        <v>58</v>
      </c>
      <c r="I18" s="153" t="s">
        <v>58</v>
      </c>
      <c r="J18" s="153" t="s">
        <v>58</v>
      </c>
      <c r="K18" s="477" t="s">
        <v>59</v>
      </c>
      <c r="L18" s="477" t="s">
        <v>59</v>
      </c>
      <c r="M18" s="476" t="s">
        <v>23</v>
      </c>
      <c r="N18" s="476" t="s">
        <v>23</v>
      </c>
      <c r="O18" s="153" t="s">
        <v>58</v>
      </c>
      <c r="P18" s="153" t="s">
        <v>58</v>
      </c>
      <c r="Q18" s="161" t="s">
        <v>23</v>
      </c>
      <c r="R18" s="161" t="s">
        <v>23</v>
      </c>
      <c r="S18" s="153" t="s">
        <v>58</v>
      </c>
      <c r="T18" s="162" t="s">
        <v>19</v>
      </c>
      <c r="U18" s="153" t="s">
        <v>58</v>
      </c>
      <c r="V18" s="153" t="s">
        <v>58</v>
      </c>
      <c r="W18" s="161" t="s">
        <v>23</v>
      </c>
      <c r="X18" s="161" t="s">
        <v>23</v>
      </c>
      <c r="Y18" s="153" t="s">
        <v>58</v>
      </c>
      <c r="Z18" s="153" t="s">
        <v>58</v>
      </c>
      <c r="AA18" s="153" t="s">
        <v>58</v>
      </c>
      <c r="AB18" s="153" t="s">
        <v>58</v>
      </c>
      <c r="AC18" s="161" t="s">
        <v>23</v>
      </c>
      <c r="AD18" s="161" t="s">
        <v>23</v>
      </c>
      <c r="AE18" s="153" t="s">
        <v>58</v>
      </c>
      <c r="AF18" s="153" t="s">
        <v>58</v>
      </c>
      <c r="AG18" s="140" t="s">
        <v>58</v>
      </c>
      <c r="AI18" s="46">
        <v>0</v>
      </c>
      <c r="AJ18" s="60">
        <f t="shared" si="6"/>
        <v>0</v>
      </c>
      <c r="AK18" s="20">
        <f t="shared" si="7"/>
        <v>0</v>
      </c>
      <c r="AL18" s="48"/>
      <c r="AM18" s="46">
        <v>22</v>
      </c>
      <c r="AN18" s="16">
        <f>COUNTIF(C18:AG18,"U")</f>
        <v>0</v>
      </c>
      <c r="AO18" s="52">
        <f>AM18-AN18</f>
        <v>22</v>
      </c>
      <c r="AP18" s="145"/>
    </row>
    <row r="19" spans="1:42" ht="20.100000000000001" customHeight="1" thickBot="1">
      <c r="C19" s="96"/>
      <c r="D19" s="97"/>
      <c r="E19" s="97"/>
      <c r="F19" s="97"/>
      <c r="G19" s="97"/>
      <c r="H19" s="96"/>
      <c r="I19" s="96"/>
      <c r="J19" s="98"/>
      <c r="K19" s="98"/>
      <c r="L19" s="98"/>
      <c r="M19" s="98"/>
      <c r="N19" s="96"/>
      <c r="O19" s="96"/>
      <c r="P19" s="97"/>
      <c r="Q19" s="97"/>
      <c r="R19" s="97"/>
      <c r="S19" s="97"/>
      <c r="T19" s="96"/>
      <c r="U19" s="96"/>
      <c r="V19" s="98"/>
      <c r="W19" s="98"/>
      <c r="X19" s="98"/>
      <c r="Y19" s="99"/>
      <c r="Z19" s="96"/>
      <c r="AA19" s="96"/>
      <c r="AB19" s="99"/>
      <c r="AC19" s="99"/>
      <c r="AD19" s="99"/>
      <c r="AE19" s="99"/>
      <c r="AF19" s="96"/>
      <c r="AG19" s="96"/>
      <c r="AI19" s="72"/>
      <c r="AJ19" s="53"/>
      <c r="AK19" s="100"/>
      <c r="AL19" s="48"/>
      <c r="AM19" s="72"/>
      <c r="AN19" s="72"/>
      <c r="AO19" s="72"/>
    </row>
    <row r="20" spans="1:42" ht="24.95" customHeight="1" thickBot="1">
      <c r="A20" s="472" t="s">
        <v>60</v>
      </c>
      <c r="B20" s="473"/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3"/>
      <c r="N20" s="473"/>
      <c r="O20" s="473"/>
      <c r="P20" s="473"/>
      <c r="Q20" s="473"/>
      <c r="R20" s="473"/>
      <c r="S20" s="473"/>
      <c r="T20" s="473"/>
      <c r="U20" s="473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4"/>
      <c r="AI20" s="72"/>
      <c r="AJ20" s="53"/>
      <c r="AK20" s="100"/>
      <c r="AL20" s="48"/>
      <c r="AM20" s="72"/>
      <c r="AN20" s="72"/>
      <c r="AO20" s="72"/>
    </row>
    <row r="21" spans="1:42" ht="18.95" customHeight="1">
      <c r="A21" s="534" t="s">
        <v>61</v>
      </c>
      <c r="B21" s="555" t="s">
        <v>62</v>
      </c>
      <c r="C21" s="142" t="s">
        <v>22</v>
      </c>
      <c r="D21" s="138" t="s">
        <v>22</v>
      </c>
      <c r="E21" s="138" t="s">
        <v>22</v>
      </c>
      <c r="F21" s="160" t="s">
        <v>23</v>
      </c>
      <c r="G21" s="160" t="s">
        <v>23</v>
      </c>
      <c r="H21" s="137" t="s">
        <v>31</v>
      </c>
      <c r="I21" s="137" t="s">
        <v>31</v>
      </c>
      <c r="J21" s="137" t="s">
        <v>31</v>
      </c>
      <c r="K21" s="137" t="s">
        <v>31</v>
      </c>
      <c r="L21" s="439" t="s">
        <v>23</v>
      </c>
      <c r="M21" s="439" t="s">
        <v>23</v>
      </c>
      <c r="N21" s="138" t="s">
        <v>22</v>
      </c>
      <c r="O21" s="138" t="s">
        <v>22</v>
      </c>
      <c r="P21" s="138" t="s">
        <v>22</v>
      </c>
      <c r="Q21" s="138" t="s">
        <v>22</v>
      </c>
      <c r="R21" s="160" t="s">
        <v>23</v>
      </c>
      <c r="S21" s="160" t="s">
        <v>23</v>
      </c>
      <c r="T21" s="148" t="s">
        <v>24</v>
      </c>
      <c r="U21" s="148" t="s">
        <v>24</v>
      </c>
      <c r="V21" s="148" t="s">
        <v>24</v>
      </c>
      <c r="W21" s="148" t="s">
        <v>24</v>
      </c>
      <c r="X21" s="160" t="s">
        <v>23</v>
      </c>
      <c r="Y21" s="160" t="s">
        <v>23</v>
      </c>
      <c r="Z21" s="138" t="s">
        <v>22</v>
      </c>
      <c r="AA21" s="138" t="s">
        <v>22</v>
      </c>
      <c r="AB21" s="138" t="s">
        <v>22</v>
      </c>
      <c r="AC21" s="138" t="s">
        <v>22</v>
      </c>
      <c r="AD21" s="160" t="s">
        <v>23</v>
      </c>
      <c r="AE21" s="160" t="s">
        <v>23</v>
      </c>
      <c r="AF21" s="420" t="s">
        <v>63</v>
      </c>
      <c r="AG21" s="212" t="s">
        <v>63</v>
      </c>
      <c r="AI21" s="4">
        <v>4</v>
      </c>
      <c r="AJ21" s="47">
        <f>COUNTIF(C21:AG21,"ua")</f>
        <v>4</v>
      </c>
      <c r="AK21" s="17">
        <f>AI21-AJ21</f>
        <v>0</v>
      </c>
      <c r="AL21" s="48"/>
      <c r="AM21" s="4">
        <v>22</v>
      </c>
      <c r="AN21" s="56">
        <f t="shared" ref="AN21:AN32" si="8">COUNTIF(C21:AG21,"U")</f>
        <v>0</v>
      </c>
      <c r="AO21" s="57">
        <f t="shared" ref="AO21:AO32" si="9">AM21-AN21</f>
        <v>22</v>
      </c>
      <c r="AP21" s="145"/>
    </row>
    <row r="22" spans="1:42" ht="18.95" customHeight="1">
      <c r="A22" s="429" t="s">
        <v>64</v>
      </c>
      <c r="B22" s="512" t="s">
        <v>65</v>
      </c>
      <c r="C22" s="457" t="s">
        <v>30</v>
      </c>
      <c r="D22" s="160" t="s">
        <v>23</v>
      </c>
      <c r="E22" s="160" t="s">
        <v>23</v>
      </c>
      <c r="F22" s="420" t="s">
        <v>63</v>
      </c>
      <c r="G22" s="420" t="s">
        <v>63</v>
      </c>
      <c r="H22" s="420" t="s">
        <v>63</v>
      </c>
      <c r="I22" s="420" t="s">
        <v>63</v>
      </c>
      <c r="J22" s="160" t="s">
        <v>23</v>
      </c>
      <c r="K22" s="160" t="s">
        <v>23</v>
      </c>
      <c r="L22" s="148" t="s">
        <v>24</v>
      </c>
      <c r="M22" s="148" t="s">
        <v>24</v>
      </c>
      <c r="N22" s="148" t="s">
        <v>24</v>
      </c>
      <c r="O22" s="148" t="s">
        <v>24</v>
      </c>
      <c r="P22" s="160" t="s">
        <v>23</v>
      </c>
      <c r="Q22" s="160" t="s">
        <v>23</v>
      </c>
      <c r="R22" s="138" t="s">
        <v>22</v>
      </c>
      <c r="S22" s="138" t="s">
        <v>22</v>
      </c>
      <c r="T22" s="138" t="s">
        <v>22</v>
      </c>
      <c r="U22" s="138" t="s">
        <v>22</v>
      </c>
      <c r="V22" s="160" t="s">
        <v>23</v>
      </c>
      <c r="W22" s="160" t="s">
        <v>23</v>
      </c>
      <c r="X22" s="419" t="s">
        <v>39</v>
      </c>
      <c r="Y22" s="148" t="s">
        <v>24</v>
      </c>
      <c r="Z22" s="148" t="s">
        <v>24</v>
      </c>
      <c r="AA22" s="160" t="s">
        <v>23</v>
      </c>
      <c r="AB22" s="160" t="s">
        <v>23</v>
      </c>
      <c r="AC22" s="152" t="s">
        <v>41</v>
      </c>
      <c r="AD22" s="152" t="s">
        <v>41</v>
      </c>
      <c r="AE22" s="152" t="s">
        <v>41</v>
      </c>
      <c r="AF22" s="152" t="s">
        <v>41</v>
      </c>
      <c r="AG22" s="478" t="s">
        <v>41</v>
      </c>
      <c r="AI22" s="37">
        <v>2</v>
      </c>
      <c r="AJ22" s="51">
        <f t="shared" ref="AJ22:AJ49" si="10">COUNTIF(C22:AG22,"ua")</f>
        <v>0</v>
      </c>
      <c r="AK22" s="19">
        <f t="shared" ref="AK22:AK49" si="11">AI22-AJ22</f>
        <v>2</v>
      </c>
      <c r="AL22" s="48"/>
      <c r="AM22" s="37">
        <v>22</v>
      </c>
      <c r="AN22" s="35">
        <f t="shared" si="8"/>
        <v>0</v>
      </c>
      <c r="AO22" s="38">
        <f t="shared" si="9"/>
        <v>22</v>
      </c>
      <c r="AP22" s="145"/>
    </row>
    <row r="23" spans="1:42" ht="18.95" customHeight="1">
      <c r="A23" s="429" t="s">
        <v>66</v>
      </c>
      <c r="B23" s="510" t="s">
        <v>67</v>
      </c>
      <c r="C23" s="326" t="s">
        <v>23</v>
      </c>
      <c r="D23" s="148" t="s">
        <v>24</v>
      </c>
      <c r="E23" s="148" t="s">
        <v>24</v>
      </c>
      <c r="F23" s="148" t="s">
        <v>24</v>
      </c>
      <c r="G23" s="148" t="s">
        <v>24</v>
      </c>
      <c r="H23" s="160" t="s">
        <v>23</v>
      </c>
      <c r="I23" s="160" t="s">
        <v>23</v>
      </c>
      <c r="J23" s="420" t="s">
        <v>63</v>
      </c>
      <c r="K23" s="420" t="s">
        <v>63</v>
      </c>
      <c r="L23" s="420" t="s">
        <v>63</v>
      </c>
      <c r="M23" s="420" t="s">
        <v>63</v>
      </c>
      <c r="N23" s="160" t="s">
        <v>23</v>
      </c>
      <c r="O23" s="160" t="s">
        <v>23</v>
      </c>
      <c r="P23" s="148" t="s">
        <v>24</v>
      </c>
      <c r="Q23" s="148" t="s">
        <v>24</v>
      </c>
      <c r="R23" s="148" t="s">
        <v>24</v>
      </c>
      <c r="S23" s="148" t="s">
        <v>24</v>
      </c>
      <c r="T23" s="160" t="s">
        <v>23</v>
      </c>
      <c r="U23" s="160" t="s">
        <v>23</v>
      </c>
      <c r="V23" s="138" t="s">
        <v>22</v>
      </c>
      <c r="W23" s="138" t="s">
        <v>22</v>
      </c>
      <c r="X23" s="138" t="s">
        <v>22</v>
      </c>
      <c r="Y23" s="138" t="s">
        <v>22</v>
      </c>
      <c r="Z23" s="160" t="s">
        <v>23</v>
      </c>
      <c r="AA23" s="160" t="s">
        <v>23</v>
      </c>
      <c r="AB23" s="137" t="s">
        <v>31</v>
      </c>
      <c r="AC23" s="152" t="s">
        <v>41</v>
      </c>
      <c r="AD23" s="152" t="s">
        <v>41</v>
      </c>
      <c r="AE23" s="152" t="s">
        <v>41</v>
      </c>
      <c r="AF23" s="152" t="s">
        <v>41</v>
      </c>
      <c r="AG23" s="211" t="s">
        <v>68</v>
      </c>
      <c r="AI23" s="37">
        <v>1</v>
      </c>
      <c r="AJ23" s="51">
        <f t="shared" si="10"/>
        <v>1</v>
      </c>
      <c r="AK23" s="19">
        <f t="shared" si="11"/>
        <v>0</v>
      </c>
      <c r="AL23" s="48"/>
      <c r="AM23" s="37">
        <v>22</v>
      </c>
      <c r="AN23" s="35">
        <f t="shared" si="8"/>
        <v>0</v>
      </c>
      <c r="AO23" s="38">
        <f t="shared" si="9"/>
        <v>22</v>
      </c>
      <c r="AP23" s="145"/>
    </row>
    <row r="24" spans="1:42" ht="18.95" customHeight="1">
      <c r="A24" s="429" t="s">
        <v>69</v>
      </c>
      <c r="B24" s="510" t="s">
        <v>70</v>
      </c>
      <c r="C24" s="455" t="s">
        <v>63</v>
      </c>
      <c r="D24" s="420" t="s">
        <v>63</v>
      </c>
      <c r="E24" s="420" t="s">
        <v>63</v>
      </c>
      <c r="F24" s="160" t="s">
        <v>23</v>
      </c>
      <c r="G24" s="160" t="s">
        <v>23</v>
      </c>
      <c r="H24" s="148" t="s">
        <v>24</v>
      </c>
      <c r="I24" s="148" t="s">
        <v>24</v>
      </c>
      <c r="J24" s="148" t="s">
        <v>24</v>
      </c>
      <c r="K24" s="148" t="s">
        <v>24</v>
      </c>
      <c r="L24" s="160" t="s">
        <v>23</v>
      </c>
      <c r="M24" s="160" t="s">
        <v>23</v>
      </c>
      <c r="N24" s="420" t="s">
        <v>63</v>
      </c>
      <c r="O24" s="420" t="s">
        <v>63</v>
      </c>
      <c r="P24" s="420" t="s">
        <v>63</v>
      </c>
      <c r="Q24" s="420" t="s">
        <v>63</v>
      </c>
      <c r="R24" s="160" t="s">
        <v>23</v>
      </c>
      <c r="S24" s="160" t="s">
        <v>23</v>
      </c>
      <c r="T24" s="148" t="s">
        <v>24</v>
      </c>
      <c r="U24" s="148" t="s">
        <v>24</v>
      </c>
      <c r="V24" s="148" t="s">
        <v>24</v>
      </c>
      <c r="W24" s="148" t="s">
        <v>24</v>
      </c>
      <c r="X24" s="160" t="s">
        <v>23</v>
      </c>
      <c r="Y24" s="160" t="s">
        <v>23</v>
      </c>
      <c r="Z24" s="138" t="s">
        <v>22</v>
      </c>
      <c r="AA24" s="160" t="s">
        <v>23</v>
      </c>
      <c r="AB24" s="160" t="s">
        <v>23</v>
      </c>
      <c r="AC24" s="152" t="s">
        <v>41</v>
      </c>
      <c r="AD24" s="152" t="s">
        <v>41</v>
      </c>
      <c r="AE24" s="152" t="s">
        <v>41</v>
      </c>
      <c r="AF24" s="152" t="s">
        <v>41</v>
      </c>
      <c r="AG24" s="478" t="s">
        <v>41</v>
      </c>
      <c r="AI24" s="37">
        <v>7</v>
      </c>
      <c r="AJ24" s="51">
        <f t="shared" si="10"/>
        <v>0</v>
      </c>
      <c r="AK24" s="19">
        <f t="shared" si="11"/>
        <v>7</v>
      </c>
      <c r="AL24" s="48"/>
      <c r="AM24" s="37">
        <v>11</v>
      </c>
      <c r="AN24" s="35">
        <f t="shared" si="8"/>
        <v>0</v>
      </c>
      <c r="AO24" s="38">
        <f t="shared" si="9"/>
        <v>11</v>
      </c>
      <c r="AP24" s="145"/>
    </row>
    <row r="25" spans="1:42" ht="18.95" customHeight="1">
      <c r="A25" s="429" t="s">
        <v>71</v>
      </c>
      <c r="B25" s="510" t="s">
        <v>72</v>
      </c>
      <c r="C25" s="142" t="s">
        <v>22</v>
      </c>
      <c r="D25" s="160" t="s">
        <v>23</v>
      </c>
      <c r="E25" s="160" t="s">
        <v>23</v>
      </c>
      <c r="F25" s="138" t="s">
        <v>22</v>
      </c>
      <c r="G25" s="138" t="s">
        <v>22</v>
      </c>
      <c r="H25" s="138" t="s">
        <v>22</v>
      </c>
      <c r="I25" s="138" t="s">
        <v>22</v>
      </c>
      <c r="J25" s="160" t="s">
        <v>23</v>
      </c>
      <c r="K25" s="160" t="s">
        <v>23</v>
      </c>
      <c r="L25" s="148" t="s">
        <v>24</v>
      </c>
      <c r="M25" s="148" t="s">
        <v>24</v>
      </c>
      <c r="N25" s="148" t="s">
        <v>24</v>
      </c>
      <c r="O25" s="148" t="s">
        <v>24</v>
      </c>
      <c r="P25" s="160" t="s">
        <v>23</v>
      </c>
      <c r="Q25" s="160" t="s">
        <v>23</v>
      </c>
      <c r="R25" s="420" t="s">
        <v>63</v>
      </c>
      <c r="S25" s="420" t="s">
        <v>63</v>
      </c>
      <c r="T25" s="420" t="s">
        <v>63</v>
      </c>
      <c r="U25" s="420" t="s">
        <v>63</v>
      </c>
      <c r="V25" s="160" t="s">
        <v>23</v>
      </c>
      <c r="W25" s="160" t="s">
        <v>23</v>
      </c>
      <c r="X25" s="148" t="s">
        <v>24</v>
      </c>
      <c r="Y25" s="148" t="s">
        <v>24</v>
      </c>
      <c r="Z25" s="148" t="s">
        <v>24</v>
      </c>
      <c r="AA25" s="160" t="s">
        <v>23</v>
      </c>
      <c r="AB25" s="160" t="s">
        <v>23</v>
      </c>
      <c r="AC25" s="152" t="s">
        <v>41</v>
      </c>
      <c r="AD25" s="152" t="s">
        <v>41</v>
      </c>
      <c r="AE25" s="152" t="s">
        <v>41</v>
      </c>
      <c r="AF25" s="152" t="s">
        <v>41</v>
      </c>
      <c r="AG25" s="478" t="s">
        <v>41</v>
      </c>
      <c r="AI25" s="37">
        <v>0</v>
      </c>
      <c r="AJ25" s="51">
        <f t="shared" si="10"/>
        <v>0</v>
      </c>
      <c r="AK25" s="19">
        <f t="shared" si="11"/>
        <v>0</v>
      </c>
      <c r="AL25" s="48"/>
      <c r="AM25" s="37">
        <v>12</v>
      </c>
      <c r="AN25" s="35">
        <f t="shared" si="8"/>
        <v>0</v>
      </c>
      <c r="AO25" s="38">
        <f t="shared" si="9"/>
        <v>12</v>
      </c>
      <c r="AP25" s="145"/>
    </row>
    <row r="26" spans="1:42" ht="18.95" customHeight="1">
      <c r="A26" s="429" t="s">
        <v>73</v>
      </c>
      <c r="B26" s="510" t="s">
        <v>74</v>
      </c>
      <c r="C26" s="326" t="s">
        <v>23</v>
      </c>
      <c r="D26" s="148" t="s">
        <v>24</v>
      </c>
      <c r="E26" s="148" t="s">
        <v>24</v>
      </c>
      <c r="F26" s="148" t="s">
        <v>24</v>
      </c>
      <c r="G26" s="148" t="s">
        <v>24</v>
      </c>
      <c r="H26" s="160" t="s">
        <v>23</v>
      </c>
      <c r="I26" s="160" t="s">
        <v>23</v>
      </c>
      <c r="J26" s="138" t="s">
        <v>22</v>
      </c>
      <c r="K26" s="138" t="s">
        <v>22</v>
      </c>
      <c r="L26" s="138" t="s">
        <v>22</v>
      </c>
      <c r="M26" s="138" t="s">
        <v>22</v>
      </c>
      <c r="N26" s="160" t="s">
        <v>23</v>
      </c>
      <c r="O26" s="160" t="s">
        <v>23</v>
      </c>
      <c r="P26" s="148" t="s">
        <v>24</v>
      </c>
      <c r="Q26" s="148" t="s">
        <v>24</v>
      </c>
      <c r="R26" s="148" t="s">
        <v>24</v>
      </c>
      <c r="S26" s="148" t="s">
        <v>24</v>
      </c>
      <c r="T26" s="160" t="s">
        <v>23</v>
      </c>
      <c r="U26" s="160" t="s">
        <v>23</v>
      </c>
      <c r="V26" s="138" t="s">
        <v>22</v>
      </c>
      <c r="W26" s="138" t="s">
        <v>22</v>
      </c>
      <c r="X26" s="138" t="s">
        <v>22</v>
      </c>
      <c r="Y26" s="138" t="s">
        <v>22</v>
      </c>
      <c r="Z26" s="210" t="s">
        <v>68</v>
      </c>
      <c r="AA26" s="160" t="s">
        <v>23</v>
      </c>
      <c r="AB26" s="160" t="s">
        <v>23</v>
      </c>
      <c r="AC26" s="152" t="s">
        <v>41</v>
      </c>
      <c r="AD26" s="152" t="s">
        <v>41</v>
      </c>
      <c r="AE26" s="152" t="s">
        <v>41</v>
      </c>
      <c r="AF26" s="152" t="s">
        <v>41</v>
      </c>
      <c r="AG26" s="478" t="s">
        <v>41</v>
      </c>
      <c r="AI26" s="37">
        <v>5</v>
      </c>
      <c r="AJ26" s="51">
        <f t="shared" si="10"/>
        <v>0</v>
      </c>
      <c r="AK26" s="19">
        <f t="shared" si="11"/>
        <v>5</v>
      </c>
      <c r="AL26" s="48"/>
      <c r="AM26" s="37">
        <v>10</v>
      </c>
      <c r="AN26" s="35">
        <f t="shared" si="8"/>
        <v>0</v>
      </c>
      <c r="AO26" s="38">
        <f t="shared" si="9"/>
        <v>10</v>
      </c>
      <c r="AP26" s="146"/>
    </row>
    <row r="27" spans="1:42" ht="18.95" customHeight="1">
      <c r="A27" s="429" t="s">
        <v>75</v>
      </c>
      <c r="B27" s="510" t="s">
        <v>76</v>
      </c>
      <c r="C27" s="457" t="s">
        <v>30</v>
      </c>
      <c r="D27" s="138" t="s">
        <v>22</v>
      </c>
      <c r="E27" s="148" t="s">
        <v>24</v>
      </c>
      <c r="F27" s="160" t="s">
        <v>23</v>
      </c>
      <c r="G27" s="160" t="s">
        <v>23</v>
      </c>
      <c r="H27" s="148" t="s">
        <v>24</v>
      </c>
      <c r="I27" s="148" t="s">
        <v>24</v>
      </c>
      <c r="J27" s="148" t="s">
        <v>24</v>
      </c>
      <c r="K27" s="148" t="s">
        <v>24</v>
      </c>
      <c r="L27" s="160" t="s">
        <v>23</v>
      </c>
      <c r="M27" s="160" t="s">
        <v>23</v>
      </c>
      <c r="N27" s="138" t="s">
        <v>22</v>
      </c>
      <c r="O27" s="138" t="s">
        <v>22</v>
      </c>
      <c r="P27" s="138" t="s">
        <v>22</v>
      </c>
      <c r="Q27" s="138" t="s">
        <v>22</v>
      </c>
      <c r="R27" s="160" t="s">
        <v>23</v>
      </c>
      <c r="S27" s="160" t="s">
        <v>23</v>
      </c>
      <c r="T27" s="137" t="s">
        <v>31</v>
      </c>
      <c r="U27" s="148" t="s">
        <v>24</v>
      </c>
      <c r="V27" s="148" t="s">
        <v>24</v>
      </c>
      <c r="W27" s="148" t="s">
        <v>24</v>
      </c>
      <c r="X27" s="160" t="s">
        <v>23</v>
      </c>
      <c r="Y27" s="160" t="s">
        <v>23</v>
      </c>
      <c r="Z27" s="420" t="s">
        <v>63</v>
      </c>
      <c r="AA27" s="420" t="s">
        <v>63</v>
      </c>
      <c r="AB27" s="420" t="s">
        <v>63</v>
      </c>
      <c r="AC27" s="420" t="s">
        <v>63</v>
      </c>
      <c r="AD27" s="160" t="s">
        <v>23</v>
      </c>
      <c r="AE27" s="160" t="s">
        <v>23</v>
      </c>
      <c r="AF27" s="148" t="s">
        <v>24</v>
      </c>
      <c r="AG27" s="470" t="s">
        <v>24</v>
      </c>
      <c r="AI27" s="37">
        <v>3</v>
      </c>
      <c r="AJ27" s="51">
        <f t="shared" si="10"/>
        <v>1</v>
      </c>
      <c r="AK27" s="19">
        <f t="shared" si="11"/>
        <v>2</v>
      </c>
      <c r="AL27" s="48"/>
      <c r="AM27" s="37">
        <v>22</v>
      </c>
      <c r="AN27" s="35">
        <f t="shared" si="8"/>
        <v>0</v>
      </c>
      <c r="AO27" s="38">
        <f t="shared" si="9"/>
        <v>22</v>
      </c>
      <c r="AP27" s="145"/>
    </row>
    <row r="28" spans="1:42" ht="18.95" customHeight="1">
      <c r="A28" s="429" t="s">
        <v>77</v>
      </c>
      <c r="B28" s="510" t="s">
        <v>78</v>
      </c>
      <c r="C28" s="457" t="s">
        <v>30</v>
      </c>
      <c r="D28" s="160" t="s">
        <v>23</v>
      </c>
      <c r="E28" s="160" t="s">
        <v>23</v>
      </c>
      <c r="F28" s="138" t="s">
        <v>22</v>
      </c>
      <c r="G28" s="138" t="s">
        <v>22</v>
      </c>
      <c r="H28" s="138" t="s">
        <v>22</v>
      </c>
      <c r="I28" s="138" t="s">
        <v>22</v>
      </c>
      <c r="J28" s="160" t="s">
        <v>23</v>
      </c>
      <c r="K28" s="160" t="s">
        <v>23</v>
      </c>
      <c r="L28" s="148" t="s">
        <v>24</v>
      </c>
      <c r="M28" s="148" t="s">
        <v>24</v>
      </c>
      <c r="N28" s="148" t="s">
        <v>24</v>
      </c>
      <c r="O28" s="148" t="s">
        <v>24</v>
      </c>
      <c r="P28" s="160" t="s">
        <v>23</v>
      </c>
      <c r="Q28" s="160" t="s">
        <v>23</v>
      </c>
      <c r="R28" s="138" t="s">
        <v>22</v>
      </c>
      <c r="S28" s="138" t="s">
        <v>22</v>
      </c>
      <c r="T28" s="138" t="s">
        <v>22</v>
      </c>
      <c r="U28" s="138" t="s">
        <v>22</v>
      </c>
      <c r="V28" s="160" t="s">
        <v>23</v>
      </c>
      <c r="W28" s="160" t="s">
        <v>23</v>
      </c>
      <c r="X28" s="148" t="s">
        <v>24</v>
      </c>
      <c r="Y28" s="148" t="s">
        <v>24</v>
      </c>
      <c r="Z28" s="148" t="s">
        <v>24</v>
      </c>
      <c r="AA28" s="148" t="s">
        <v>24</v>
      </c>
      <c r="AB28" s="160" t="s">
        <v>23</v>
      </c>
      <c r="AC28" s="160" t="s">
        <v>23</v>
      </c>
      <c r="AD28" s="420" t="s">
        <v>63</v>
      </c>
      <c r="AE28" s="420" t="s">
        <v>63</v>
      </c>
      <c r="AF28" s="420" t="s">
        <v>63</v>
      </c>
      <c r="AG28" s="212" t="s">
        <v>63</v>
      </c>
      <c r="AI28" s="37">
        <v>0</v>
      </c>
      <c r="AJ28" s="51">
        <f t="shared" si="10"/>
        <v>0</v>
      </c>
      <c r="AK28" s="19">
        <f t="shared" si="11"/>
        <v>0</v>
      </c>
      <c r="AL28" s="48"/>
      <c r="AM28" s="37">
        <v>22</v>
      </c>
      <c r="AN28" s="35">
        <f t="shared" si="8"/>
        <v>0</v>
      </c>
      <c r="AO28" s="38">
        <f t="shared" si="9"/>
        <v>22</v>
      </c>
      <c r="AP28" s="145"/>
    </row>
    <row r="29" spans="1:42" ht="18.95" customHeight="1">
      <c r="A29" s="429" t="s">
        <v>79</v>
      </c>
      <c r="B29" s="510" t="s">
        <v>80</v>
      </c>
      <c r="C29" s="326" t="s">
        <v>23</v>
      </c>
      <c r="D29" s="419" t="s">
        <v>39</v>
      </c>
      <c r="E29" s="442" t="s">
        <v>31</v>
      </c>
      <c r="F29" s="138" t="s">
        <v>22</v>
      </c>
      <c r="G29" s="138" t="s">
        <v>22</v>
      </c>
      <c r="H29" s="160" t="s">
        <v>23</v>
      </c>
      <c r="I29" s="160" t="s">
        <v>23</v>
      </c>
      <c r="J29" s="138" t="s">
        <v>22</v>
      </c>
      <c r="K29" s="138" t="s">
        <v>22</v>
      </c>
      <c r="L29" s="138" t="s">
        <v>22</v>
      </c>
      <c r="M29" s="138" t="s">
        <v>22</v>
      </c>
      <c r="N29" s="160" t="s">
        <v>23</v>
      </c>
      <c r="O29" s="160" t="s">
        <v>23</v>
      </c>
      <c r="P29" s="148" t="s">
        <v>24</v>
      </c>
      <c r="Q29" s="148" t="s">
        <v>24</v>
      </c>
      <c r="R29" s="148" t="s">
        <v>24</v>
      </c>
      <c r="S29" s="148" t="s">
        <v>24</v>
      </c>
      <c r="T29" s="160" t="s">
        <v>23</v>
      </c>
      <c r="U29" s="160" t="s">
        <v>23</v>
      </c>
      <c r="V29" s="138" t="s">
        <v>22</v>
      </c>
      <c r="W29" s="138" t="s">
        <v>22</v>
      </c>
      <c r="X29" s="138" t="s">
        <v>22</v>
      </c>
      <c r="Y29" s="138" t="s">
        <v>22</v>
      </c>
      <c r="Z29" s="160" t="s">
        <v>23</v>
      </c>
      <c r="AA29" s="160" t="s">
        <v>23</v>
      </c>
      <c r="AB29" s="148" t="s">
        <v>24</v>
      </c>
      <c r="AC29" s="148" t="s">
        <v>24</v>
      </c>
      <c r="AD29" s="148" t="s">
        <v>24</v>
      </c>
      <c r="AE29" s="148" t="s">
        <v>24</v>
      </c>
      <c r="AF29" s="160" t="s">
        <v>23</v>
      </c>
      <c r="AG29" s="151" t="s">
        <v>23</v>
      </c>
      <c r="AI29" s="37">
        <v>11</v>
      </c>
      <c r="AJ29" s="51">
        <f t="shared" si="10"/>
        <v>1</v>
      </c>
      <c r="AK29" s="19">
        <f t="shared" si="11"/>
        <v>10</v>
      </c>
      <c r="AL29" s="48"/>
      <c r="AM29" s="37">
        <v>22</v>
      </c>
      <c r="AN29" s="35">
        <f t="shared" si="8"/>
        <v>0</v>
      </c>
      <c r="AO29" s="38">
        <f t="shared" si="9"/>
        <v>22</v>
      </c>
      <c r="AP29" s="145"/>
    </row>
    <row r="30" spans="1:42" ht="18.95" customHeight="1">
      <c r="A30" s="429" t="s">
        <v>81</v>
      </c>
      <c r="B30" s="510" t="s">
        <v>82</v>
      </c>
      <c r="C30" s="156" t="s">
        <v>24</v>
      </c>
      <c r="D30" s="131" t="s">
        <v>83</v>
      </c>
      <c r="E30" s="160" t="s">
        <v>23</v>
      </c>
      <c r="F30" s="160" t="s">
        <v>23</v>
      </c>
      <c r="G30" s="419" t="s">
        <v>39</v>
      </c>
      <c r="H30" s="443" t="s">
        <v>84</v>
      </c>
      <c r="I30" s="138" t="s">
        <v>22</v>
      </c>
      <c r="J30" s="138" t="s">
        <v>22</v>
      </c>
      <c r="K30" s="152" t="s">
        <v>40</v>
      </c>
      <c r="L30" s="443" t="s">
        <v>84</v>
      </c>
      <c r="M30" s="444" t="s">
        <v>23</v>
      </c>
      <c r="N30" s="444" t="s">
        <v>23</v>
      </c>
      <c r="O30" s="137" t="s">
        <v>39</v>
      </c>
      <c r="P30" s="443" t="s">
        <v>84</v>
      </c>
      <c r="Q30" s="137" t="s">
        <v>31</v>
      </c>
      <c r="R30" s="444" t="s">
        <v>23</v>
      </c>
      <c r="S30" s="444" t="s">
        <v>23</v>
      </c>
      <c r="T30" s="138" t="s">
        <v>22</v>
      </c>
      <c r="U30" s="148" t="s">
        <v>24</v>
      </c>
      <c r="V30" s="148" t="s">
        <v>24</v>
      </c>
      <c r="W30" s="148" t="s">
        <v>24</v>
      </c>
      <c r="X30" s="160" t="s">
        <v>23</v>
      </c>
      <c r="Y30" s="160" t="s">
        <v>23</v>
      </c>
      <c r="Z30" s="138" t="s">
        <v>22</v>
      </c>
      <c r="AA30" s="138" t="s">
        <v>22</v>
      </c>
      <c r="AB30" s="138" t="s">
        <v>22</v>
      </c>
      <c r="AC30" s="138" t="s">
        <v>22</v>
      </c>
      <c r="AD30" s="160" t="s">
        <v>23</v>
      </c>
      <c r="AE30" s="160" t="s">
        <v>23</v>
      </c>
      <c r="AF30" s="138" t="s">
        <v>22</v>
      </c>
      <c r="AG30" s="141" t="s">
        <v>22</v>
      </c>
      <c r="AI30" s="37">
        <v>5</v>
      </c>
      <c r="AJ30" s="51">
        <f t="shared" si="10"/>
        <v>1</v>
      </c>
      <c r="AK30" s="19">
        <f t="shared" si="11"/>
        <v>4</v>
      </c>
      <c r="AL30" s="48"/>
      <c r="AM30" s="37">
        <v>22</v>
      </c>
      <c r="AN30" s="35">
        <f t="shared" si="8"/>
        <v>0</v>
      </c>
      <c r="AO30" s="38">
        <f t="shared" si="9"/>
        <v>22</v>
      </c>
      <c r="AP30" s="146"/>
    </row>
    <row r="31" spans="1:42" ht="18.95" customHeight="1">
      <c r="A31" s="429" t="s">
        <v>85</v>
      </c>
      <c r="B31" s="510" t="s">
        <v>86</v>
      </c>
      <c r="C31" s="457" t="s">
        <v>30</v>
      </c>
      <c r="D31" s="160" t="s">
        <v>23</v>
      </c>
      <c r="E31" s="160" t="s">
        <v>23</v>
      </c>
      <c r="F31" s="138" t="s">
        <v>22</v>
      </c>
      <c r="G31" s="138" t="s">
        <v>22</v>
      </c>
      <c r="H31" s="138" t="s">
        <v>22</v>
      </c>
      <c r="I31" s="138" t="s">
        <v>22</v>
      </c>
      <c r="J31" s="160" t="s">
        <v>23</v>
      </c>
      <c r="K31" s="160" t="s">
        <v>23</v>
      </c>
      <c r="L31" s="420" t="s">
        <v>63</v>
      </c>
      <c r="M31" s="420" t="s">
        <v>63</v>
      </c>
      <c r="N31" s="420" t="s">
        <v>63</v>
      </c>
      <c r="O31" s="420" t="s">
        <v>63</v>
      </c>
      <c r="P31" s="160" t="s">
        <v>23</v>
      </c>
      <c r="Q31" s="160" t="s">
        <v>23</v>
      </c>
      <c r="R31" s="138" t="s">
        <v>22</v>
      </c>
      <c r="S31" s="138" t="s">
        <v>22</v>
      </c>
      <c r="T31" s="138" t="s">
        <v>22</v>
      </c>
      <c r="U31" s="138" t="s">
        <v>22</v>
      </c>
      <c r="V31" s="160" t="s">
        <v>23</v>
      </c>
      <c r="W31" s="160" t="s">
        <v>23</v>
      </c>
      <c r="X31" s="148" t="s">
        <v>24</v>
      </c>
      <c r="Y31" s="148" t="s">
        <v>24</v>
      </c>
      <c r="Z31" s="148" t="s">
        <v>24</v>
      </c>
      <c r="AA31" s="148" t="s">
        <v>24</v>
      </c>
      <c r="AB31" s="160" t="s">
        <v>23</v>
      </c>
      <c r="AC31" s="160" t="s">
        <v>23</v>
      </c>
      <c r="AD31" s="138" t="s">
        <v>22</v>
      </c>
      <c r="AE31" s="138" t="s">
        <v>22</v>
      </c>
      <c r="AF31" s="138" t="s">
        <v>22</v>
      </c>
      <c r="AG31" s="141" t="s">
        <v>22</v>
      </c>
      <c r="AI31" s="37">
        <v>0</v>
      </c>
      <c r="AJ31" s="51">
        <f t="shared" si="10"/>
        <v>0</v>
      </c>
      <c r="AK31" s="19">
        <f t="shared" si="11"/>
        <v>0</v>
      </c>
      <c r="AL31" s="48"/>
      <c r="AM31" s="37">
        <v>22</v>
      </c>
      <c r="AN31" s="35">
        <f t="shared" si="8"/>
        <v>0</v>
      </c>
      <c r="AO31" s="38">
        <f t="shared" si="9"/>
        <v>22</v>
      </c>
      <c r="AP31" s="145"/>
    </row>
    <row r="32" spans="1:42" ht="18.95" customHeight="1">
      <c r="A32" s="429" t="s">
        <v>87</v>
      </c>
      <c r="B32" s="510" t="s">
        <v>88</v>
      </c>
      <c r="C32" s="326" t="s">
        <v>23</v>
      </c>
      <c r="D32" s="160" t="s">
        <v>23</v>
      </c>
      <c r="E32" s="148" t="s">
        <v>24</v>
      </c>
      <c r="F32" s="148" t="s">
        <v>24</v>
      </c>
      <c r="G32" s="148" t="s">
        <v>24</v>
      </c>
      <c r="H32" s="160" t="s">
        <v>23</v>
      </c>
      <c r="I32" s="160" t="s">
        <v>23</v>
      </c>
      <c r="J32" s="138" t="s">
        <v>22</v>
      </c>
      <c r="K32" s="152" t="s">
        <v>40</v>
      </c>
      <c r="L32" s="209" t="s">
        <v>41</v>
      </c>
      <c r="M32" s="138" t="s">
        <v>22</v>
      </c>
      <c r="N32" s="160" t="s">
        <v>23</v>
      </c>
      <c r="O32" s="160" t="s">
        <v>23</v>
      </c>
      <c r="P32" s="420" t="s">
        <v>63</v>
      </c>
      <c r="Q32" s="420" t="s">
        <v>63</v>
      </c>
      <c r="R32" s="420" t="s">
        <v>63</v>
      </c>
      <c r="S32" s="420" t="s">
        <v>63</v>
      </c>
      <c r="T32" s="160" t="s">
        <v>23</v>
      </c>
      <c r="U32" s="160" t="s">
        <v>23</v>
      </c>
      <c r="V32" s="419" t="s">
        <v>39</v>
      </c>
      <c r="W32" s="438" t="s">
        <v>19</v>
      </c>
      <c r="X32" s="438" t="s">
        <v>19</v>
      </c>
      <c r="Y32" s="210" t="s">
        <v>89</v>
      </c>
      <c r="Z32" s="160" t="s">
        <v>23</v>
      </c>
      <c r="AA32" s="160" t="s">
        <v>23</v>
      </c>
      <c r="AB32" s="148" t="s">
        <v>24</v>
      </c>
      <c r="AC32" s="148" t="s">
        <v>24</v>
      </c>
      <c r="AD32" s="148" t="s">
        <v>24</v>
      </c>
      <c r="AE32" s="148" t="s">
        <v>24</v>
      </c>
      <c r="AF32" s="160" t="s">
        <v>23</v>
      </c>
      <c r="AG32" s="151" t="s">
        <v>23</v>
      </c>
      <c r="AI32" s="37">
        <v>2</v>
      </c>
      <c r="AJ32" s="51">
        <f t="shared" si="10"/>
        <v>0</v>
      </c>
      <c r="AK32" s="19">
        <f t="shared" si="11"/>
        <v>2</v>
      </c>
      <c r="AL32" s="48"/>
      <c r="AM32" s="37">
        <v>22</v>
      </c>
      <c r="AN32" s="35">
        <f t="shared" si="8"/>
        <v>0</v>
      </c>
      <c r="AO32" s="38">
        <f t="shared" si="9"/>
        <v>22</v>
      </c>
      <c r="AP32" s="145"/>
    </row>
    <row r="33" spans="1:42" ht="18.95" customHeight="1">
      <c r="A33" s="429" t="s">
        <v>90</v>
      </c>
      <c r="B33" s="510" t="s">
        <v>91</v>
      </c>
      <c r="C33" s="142" t="s">
        <v>22</v>
      </c>
      <c r="D33" s="138" t="s">
        <v>22</v>
      </c>
      <c r="E33" s="138" t="s">
        <v>22</v>
      </c>
      <c r="F33" s="160" t="s">
        <v>23</v>
      </c>
      <c r="G33" s="160" t="s">
        <v>23</v>
      </c>
      <c r="H33" s="131" t="s">
        <v>83</v>
      </c>
      <c r="I33" s="131" t="s">
        <v>83</v>
      </c>
      <c r="J33" s="131" t="s">
        <v>83</v>
      </c>
      <c r="K33" s="152" t="s">
        <v>40</v>
      </c>
      <c r="L33" s="209" t="s">
        <v>41</v>
      </c>
      <c r="M33" s="160" t="s">
        <v>23</v>
      </c>
      <c r="N33" s="160" t="s">
        <v>23</v>
      </c>
      <c r="O33" s="138" t="s">
        <v>22</v>
      </c>
      <c r="P33" s="138" t="s">
        <v>22</v>
      </c>
      <c r="Q33" s="138" t="s">
        <v>22</v>
      </c>
      <c r="R33" s="160" t="s">
        <v>23</v>
      </c>
      <c r="S33" s="160" t="s">
        <v>23</v>
      </c>
      <c r="T33" s="420" t="s">
        <v>63</v>
      </c>
      <c r="U33" s="420" t="s">
        <v>63</v>
      </c>
      <c r="V33" s="420" t="s">
        <v>63</v>
      </c>
      <c r="W33" s="420" t="s">
        <v>63</v>
      </c>
      <c r="X33" s="160" t="s">
        <v>23</v>
      </c>
      <c r="Y33" s="160" t="s">
        <v>23</v>
      </c>
      <c r="Z33" s="138" t="s">
        <v>22</v>
      </c>
      <c r="AA33" s="138" t="s">
        <v>22</v>
      </c>
      <c r="AB33" s="138" t="s">
        <v>22</v>
      </c>
      <c r="AC33" s="138" t="s">
        <v>22</v>
      </c>
      <c r="AD33" s="160" t="s">
        <v>23</v>
      </c>
      <c r="AE33" s="160" t="s">
        <v>23</v>
      </c>
      <c r="AF33" s="148" t="s">
        <v>24</v>
      </c>
      <c r="AG33" s="470" t="s">
        <v>24</v>
      </c>
      <c r="AI33" s="37">
        <v>10</v>
      </c>
      <c r="AJ33" s="51">
        <f t="shared" si="10"/>
        <v>0</v>
      </c>
      <c r="AK33" s="19">
        <f t="shared" si="11"/>
        <v>10</v>
      </c>
      <c r="AL33" s="48"/>
      <c r="AM33" s="37">
        <v>11</v>
      </c>
      <c r="AN33" s="35">
        <f t="shared" ref="AN33:AN34" si="12">COUNTIF(C33:AG33,"U")</f>
        <v>0</v>
      </c>
      <c r="AO33" s="38">
        <f t="shared" ref="AO33:AO34" si="13">AM33-AN33</f>
        <v>11</v>
      </c>
      <c r="AP33" s="145"/>
    </row>
    <row r="34" spans="1:42" ht="18.95" customHeight="1">
      <c r="A34" s="429" t="s">
        <v>92</v>
      </c>
      <c r="B34" s="510" t="s">
        <v>93</v>
      </c>
      <c r="C34" s="457" t="s">
        <v>30</v>
      </c>
      <c r="D34" s="160" t="s">
        <v>23</v>
      </c>
      <c r="E34" s="160" t="s">
        <v>23</v>
      </c>
      <c r="F34" s="138" t="s">
        <v>22</v>
      </c>
      <c r="G34" s="210" t="s">
        <v>19</v>
      </c>
      <c r="H34" s="210" t="s">
        <v>19</v>
      </c>
      <c r="I34" s="210" t="s">
        <v>19</v>
      </c>
      <c r="J34" s="160" t="s">
        <v>23</v>
      </c>
      <c r="K34" s="160" t="s">
        <v>23</v>
      </c>
      <c r="L34" s="148" t="s">
        <v>24</v>
      </c>
      <c r="M34" s="148" t="s">
        <v>24</v>
      </c>
      <c r="N34" s="148" t="s">
        <v>24</v>
      </c>
      <c r="O34" s="148" t="s">
        <v>24</v>
      </c>
      <c r="P34" s="160" t="s">
        <v>23</v>
      </c>
      <c r="Q34" s="160" t="s">
        <v>23</v>
      </c>
      <c r="R34" s="138" t="s">
        <v>22</v>
      </c>
      <c r="S34" s="138" t="s">
        <v>22</v>
      </c>
      <c r="T34" s="138" t="s">
        <v>22</v>
      </c>
      <c r="U34" s="412" t="s">
        <v>39</v>
      </c>
      <c r="V34" s="160" t="s">
        <v>23</v>
      </c>
      <c r="W34" s="160" t="s">
        <v>23</v>
      </c>
      <c r="X34" s="420" t="s">
        <v>63</v>
      </c>
      <c r="Y34" s="420" t="s">
        <v>63</v>
      </c>
      <c r="Z34" s="420" t="s">
        <v>63</v>
      </c>
      <c r="AA34" s="420" t="s">
        <v>63</v>
      </c>
      <c r="AB34" s="160" t="s">
        <v>23</v>
      </c>
      <c r="AC34" s="160" t="s">
        <v>23</v>
      </c>
      <c r="AD34" s="138" t="s">
        <v>22</v>
      </c>
      <c r="AE34" s="138" t="s">
        <v>22</v>
      </c>
      <c r="AF34" s="138" t="s">
        <v>22</v>
      </c>
      <c r="AG34" s="141" t="s">
        <v>22</v>
      </c>
      <c r="AI34" s="105">
        <v>2</v>
      </c>
      <c r="AJ34" s="424">
        <f t="shared" si="10"/>
        <v>0</v>
      </c>
      <c r="AK34" s="104">
        <f t="shared" si="11"/>
        <v>2</v>
      </c>
      <c r="AL34" s="48"/>
      <c r="AM34" s="105">
        <v>22</v>
      </c>
      <c r="AN34" s="103">
        <f t="shared" si="12"/>
        <v>0</v>
      </c>
      <c r="AO34" s="425">
        <f t="shared" si="13"/>
        <v>22</v>
      </c>
      <c r="AP34" s="145"/>
    </row>
    <row r="35" spans="1:42" ht="18.95" customHeight="1" thickBot="1">
      <c r="A35" s="428" t="s">
        <v>94</v>
      </c>
      <c r="B35" s="511" t="s">
        <v>95</v>
      </c>
      <c r="C35" s="391" t="s">
        <v>23</v>
      </c>
      <c r="D35" s="153" t="s">
        <v>22</v>
      </c>
      <c r="E35" s="153" t="s">
        <v>22</v>
      </c>
      <c r="F35" s="153" t="s">
        <v>22</v>
      </c>
      <c r="G35" s="479" t="s">
        <v>39</v>
      </c>
      <c r="H35" s="161" t="s">
        <v>23</v>
      </c>
      <c r="I35" s="161" t="s">
        <v>23</v>
      </c>
      <c r="J35" s="153" t="s">
        <v>22</v>
      </c>
      <c r="K35" s="153" t="s">
        <v>22</v>
      </c>
      <c r="L35" s="153" t="s">
        <v>22</v>
      </c>
      <c r="M35" s="153" t="s">
        <v>22</v>
      </c>
      <c r="N35" s="161" t="s">
        <v>23</v>
      </c>
      <c r="O35" s="161" t="s">
        <v>23</v>
      </c>
      <c r="P35" s="307" t="s">
        <v>24</v>
      </c>
      <c r="Q35" s="307" t="s">
        <v>24</v>
      </c>
      <c r="R35" s="365" t="s">
        <v>31</v>
      </c>
      <c r="S35" s="480" t="s">
        <v>96</v>
      </c>
      <c r="T35" s="161" t="s">
        <v>23</v>
      </c>
      <c r="U35" s="161" t="s">
        <v>23</v>
      </c>
      <c r="V35" s="481" t="s">
        <v>63</v>
      </c>
      <c r="W35" s="481" t="s">
        <v>63</v>
      </c>
      <c r="X35" s="481" t="s">
        <v>63</v>
      </c>
      <c r="Y35" s="481" t="s">
        <v>63</v>
      </c>
      <c r="Z35" s="161" t="s">
        <v>23</v>
      </c>
      <c r="AA35" s="161" t="s">
        <v>23</v>
      </c>
      <c r="AB35" s="161" t="s">
        <v>23</v>
      </c>
      <c r="AC35" s="477" t="s">
        <v>41</v>
      </c>
      <c r="AD35" s="477" t="s">
        <v>41</v>
      </c>
      <c r="AE35" s="477" t="s">
        <v>41</v>
      </c>
      <c r="AF35" s="477" t="s">
        <v>41</v>
      </c>
      <c r="AG35" s="482" t="s">
        <v>41</v>
      </c>
      <c r="AI35" s="505">
        <v>4</v>
      </c>
      <c r="AJ35" s="506">
        <f t="shared" si="10"/>
        <v>1</v>
      </c>
      <c r="AK35" s="507">
        <f t="shared" si="11"/>
        <v>3</v>
      </c>
      <c r="AL35" s="48"/>
      <c r="AM35" s="505">
        <v>22</v>
      </c>
      <c r="AN35" s="483">
        <f t="shared" ref="AN35:AN49" si="14">COUNTIF(C35:AG35,"U")</f>
        <v>0</v>
      </c>
      <c r="AO35" s="484">
        <f t="shared" ref="AO35:AO49" si="15">AM35-AN35</f>
        <v>22</v>
      </c>
      <c r="AP35" s="145"/>
    </row>
    <row r="36" spans="1:42" ht="20.100000000000001" customHeight="1" thickBot="1">
      <c r="A36" s="426"/>
      <c r="B36" s="426"/>
      <c r="C36" s="98"/>
      <c r="D36" s="98"/>
      <c r="E36" s="98"/>
      <c r="F36" s="98"/>
      <c r="G36" s="421"/>
      <c r="H36" s="98"/>
      <c r="I36" s="98"/>
      <c r="J36" s="98"/>
      <c r="K36" s="98"/>
      <c r="L36" s="98"/>
      <c r="M36" s="98"/>
      <c r="N36" s="98"/>
      <c r="O36" s="98"/>
      <c r="P36" s="167"/>
      <c r="Q36" s="167"/>
      <c r="R36" s="99"/>
      <c r="S36" s="422"/>
      <c r="T36" s="98"/>
      <c r="U36" s="98"/>
      <c r="V36" s="423"/>
      <c r="W36" s="423"/>
      <c r="X36" s="423"/>
      <c r="Y36" s="423"/>
      <c r="Z36" s="98"/>
      <c r="AA36" s="98"/>
      <c r="AB36" s="98"/>
      <c r="AC36" s="98"/>
      <c r="AD36" s="98"/>
      <c r="AE36" s="98"/>
      <c r="AF36" s="98"/>
      <c r="AG36" s="98"/>
      <c r="AI36" s="72"/>
      <c r="AJ36" s="53"/>
      <c r="AK36" s="100"/>
      <c r="AL36" s="48"/>
      <c r="AM36" s="72"/>
      <c r="AN36" s="72"/>
      <c r="AO36" s="72"/>
    </row>
    <row r="37" spans="1:42" ht="24.95" customHeight="1" thickBot="1">
      <c r="A37" s="513" t="s">
        <v>97</v>
      </c>
      <c r="B37" s="514"/>
      <c r="C37" s="514"/>
      <c r="D37" s="514"/>
      <c r="E37" s="514"/>
      <c r="F37" s="514"/>
      <c r="G37" s="514"/>
      <c r="H37" s="51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39"/>
      <c r="AI37" s="72"/>
      <c r="AJ37" s="53"/>
      <c r="AK37" s="100"/>
      <c r="AL37" s="48"/>
      <c r="AM37" s="72"/>
      <c r="AN37" s="72"/>
      <c r="AO37" s="72"/>
    </row>
    <row r="38" spans="1:42" ht="18.95" customHeight="1">
      <c r="A38" s="427" t="s">
        <v>98</v>
      </c>
      <c r="B38" s="535" t="s">
        <v>99</v>
      </c>
      <c r="C38" s="142" t="s">
        <v>22</v>
      </c>
      <c r="D38" s="138" t="s">
        <v>22</v>
      </c>
      <c r="E38" s="160" t="s">
        <v>23</v>
      </c>
      <c r="F38" s="160" t="s">
        <v>23</v>
      </c>
      <c r="G38" s="209" t="s">
        <v>100</v>
      </c>
      <c r="H38" s="209" t="s">
        <v>100</v>
      </c>
      <c r="I38" s="209" t="s">
        <v>100</v>
      </c>
      <c r="J38" s="209" t="s">
        <v>100</v>
      </c>
      <c r="K38" s="160" t="s">
        <v>23</v>
      </c>
      <c r="L38" s="160" t="s">
        <v>23</v>
      </c>
      <c r="M38" s="420" t="s">
        <v>63</v>
      </c>
      <c r="N38" s="420" t="s">
        <v>63</v>
      </c>
      <c r="O38" s="420" t="s">
        <v>63</v>
      </c>
      <c r="P38" s="420" t="s">
        <v>63</v>
      </c>
      <c r="Q38" s="160" t="s">
        <v>23</v>
      </c>
      <c r="R38" s="160" t="s">
        <v>23</v>
      </c>
      <c r="S38" s="131" t="s">
        <v>83</v>
      </c>
      <c r="T38" s="131" t="s">
        <v>83</v>
      </c>
      <c r="U38" s="131" t="s">
        <v>83</v>
      </c>
      <c r="V38" s="131" t="s">
        <v>83</v>
      </c>
      <c r="W38" s="160" t="s">
        <v>23</v>
      </c>
      <c r="X38" s="160" t="s">
        <v>23</v>
      </c>
      <c r="Y38" s="209" t="s">
        <v>100</v>
      </c>
      <c r="Z38" s="209" t="s">
        <v>100</v>
      </c>
      <c r="AA38" s="209" t="s">
        <v>100</v>
      </c>
      <c r="AB38" s="209" t="s">
        <v>100</v>
      </c>
      <c r="AC38" s="160" t="s">
        <v>23</v>
      </c>
      <c r="AD38" s="160" t="s">
        <v>23</v>
      </c>
      <c r="AE38" s="131" t="s">
        <v>83</v>
      </c>
      <c r="AF38" s="131" t="s">
        <v>83</v>
      </c>
      <c r="AG38" s="540" t="s">
        <v>83</v>
      </c>
      <c r="AI38" s="4">
        <v>3</v>
      </c>
      <c r="AJ38" s="47">
        <f t="shared" si="10"/>
        <v>0</v>
      </c>
      <c r="AK38" s="17">
        <f t="shared" si="11"/>
        <v>3</v>
      </c>
      <c r="AL38" s="48"/>
      <c r="AM38" s="4">
        <v>22</v>
      </c>
      <c r="AN38" s="56">
        <f t="shared" si="14"/>
        <v>0</v>
      </c>
      <c r="AO38" s="57">
        <f t="shared" si="15"/>
        <v>22</v>
      </c>
      <c r="AP38" s="145"/>
    </row>
    <row r="39" spans="1:42" ht="18.95" customHeight="1">
      <c r="A39" s="427" t="s">
        <v>101</v>
      </c>
      <c r="B39" s="536" t="s">
        <v>102</v>
      </c>
      <c r="C39" s="326" t="s">
        <v>23</v>
      </c>
      <c r="D39" s="160" t="s">
        <v>23</v>
      </c>
      <c r="E39" s="205" t="s">
        <v>103</v>
      </c>
      <c r="F39" s="205" t="s">
        <v>103</v>
      </c>
      <c r="G39" s="205" t="s">
        <v>103</v>
      </c>
      <c r="H39" s="205" t="s">
        <v>103</v>
      </c>
      <c r="I39" s="160" t="s">
        <v>23</v>
      </c>
      <c r="J39" s="160" t="s">
        <v>23</v>
      </c>
      <c r="K39" s="209" t="s">
        <v>100</v>
      </c>
      <c r="L39" s="209" t="s">
        <v>100</v>
      </c>
      <c r="M39" s="209" t="s">
        <v>100</v>
      </c>
      <c r="N39" s="209" t="s">
        <v>100</v>
      </c>
      <c r="O39" s="160" t="s">
        <v>23</v>
      </c>
      <c r="P39" s="160" t="s">
        <v>23</v>
      </c>
      <c r="Q39" s="420" t="s">
        <v>63</v>
      </c>
      <c r="R39" s="420" t="s">
        <v>63</v>
      </c>
      <c r="S39" s="420" t="s">
        <v>63</v>
      </c>
      <c r="T39" s="420" t="s">
        <v>63</v>
      </c>
      <c r="U39" s="160" t="s">
        <v>23</v>
      </c>
      <c r="V39" s="160" t="s">
        <v>23</v>
      </c>
      <c r="W39" s="131" t="s">
        <v>83</v>
      </c>
      <c r="X39" s="131" t="s">
        <v>83</v>
      </c>
      <c r="Y39" s="131" t="s">
        <v>83</v>
      </c>
      <c r="Z39" s="131" t="s">
        <v>83</v>
      </c>
      <c r="AA39" s="160" t="s">
        <v>23</v>
      </c>
      <c r="AB39" s="160" t="s">
        <v>23</v>
      </c>
      <c r="AC39" s="209" t="s">
        <v>100</v>
      </c>
      <c r="AD39" s="209" t="s">
        <v>100</v>
      </c>
      <c r="AE39" s="209" t="s">
        <v>100</v>
      </c>
      <c r="AF39" s="209" t="s">
        <v>100</v>
      </c>
      <c r="AG39" s="325" t="s">
        <v>23</v>
      </c>
      <c r="AI39" s="37">
        <v>0</v>
      </c>
      <c r="AJ39" s="51">
        <f t="shared" si="10"/>
        <v>0</v>
      </c>
      <c r="AK39" s="19">
        <f t="shared" si="11"/>
        <v>0</v>
      </c>
      <c r="AL39" s="48"/>
      <c r="AM39" s="37">
        <v>12</v>
      </c>
      <c r="AN39" s="35">
        <f t="shared" si="14"/>
        <v>0</v>
      </c>
      <c r="AO39" s="38">
        <f t="shared" si="15"/>
        <v>12</v>
      </c>
      <c r="AP39" s="145"/>
    </row>
    <row r="40" spans="1:42" ht="18.95" customHeight="1">
      <c r="A40" s="427" t="s">
        <v>104</v>
      </c>
      <c r="B40" s="537" t="s">
        <v>105</v>
      </c>
      <c r="C40" s="452" t="s">
        <v>83</v>
      </c>
      <c r="D40" s="131" t="s">
        <v>83</v>
      </c>
      <c r="E40" s="131" t="s">
        <v>83</v>
      </c>
      <c r="F40" s="131" t="s">
        <v>83</v>
      </c>
      <c r="G40" s="160" t="s">
        <v>23</v>
      </c>
      <c r="H40" s="160" t="s">
        <v>23</v>
      </c>
      <c r="I40" s="205" t="s">
        <v>103</v>
      </c>
      <c r="J40" s="205" t="s">
        <v>103</v>
      </c>
      <c r="K40" s="205" t="s">
        <v>103</v>
      </c>
      <c r="L40" s="205" t="s">
        <v>103</v>
      </c>
      <c r="M40" s="160" t="s">
        <v>23</v>
      </c>
      <c r="N40" s="160" t="s">
        <v>23</v>
      </c>
      <c r="O40" s="209" t="s">
        <v>100</v>
      </c>
      <c r="P40" s="209" t="s">
        <v>100</v>
      </c>
      <c r="Q40" s="209" t="s">
        <v>100</v>
      </c>
      <c r="R40" s="209" t="s">
        <v>100</v>
      </c>
      <c r="S40" s="160" t="s">
        <v>23</v>
      </c>
      <c r="T40" s="160" t="s">
        <v>23</v>
      </c>
      <c r="U40" s="420" t="s">
        <v>63</v>
      </c>
      <c r="V40" s="420" t="s">
        <v>63</v>
      </c>
      <c r="W40" s="420" t="s">
        <v>63</v>
      </c>
      <c r="X40" s="420" t="s">
        <v>63</v>
      </c>
      <c r="Y40" s="160" t="s">
        <v>23</v>
      </c>
      <c r="Z40" s="160" t="s">
        <v>23</v>
      </c>
      <c r="AA40" s="137" t="s">
        <v>31</v>
      </c>
      <c r="AB40" s="137" t="s">
        <v>31</v>
      </c>
      <c r="AC40" s="137" t="s">
        <v>31</v>
      </c>
      <c r="AD40" s="137" t="s">
        <v>31</v>
      </c>
      <c r="AE40" s="160" t="s">
        <v>23</v>
      </c>
      <c r="AF40" s="160" t="s">
        <v>23</v>
      </c>
      <c r="AG40" s="317" t="s">
        <v>31</v>
      </c>
      <c r="AI40" s="37">
        <v>14</v>
      </c>
      <c r="AJ40" s="51">
        <f t="shared" si="10"/>
        <v>5</v>
      </c>
      <c r="AK40" s="19">
        <f t="shared" si="11"/>
        <v>9</v>
      </c>
      <c r="AL40" s="48"/>
      <c r="AM40" s="37">
        <v>8</v>
      </c>
      <c r="AN40" s="35">
        <f t="shared" si="14"/>
        <v>0</v>
      </c>
      <c r="AO40" s="38">
        <f t="shared" si="15"/>
        <v>8</v>
      </c>
      <c r="AP40" s="145"/>
    </row>
    <row r="41" spans="1:42" ht="18.95" customHeight="1">
      <c r="A41" s="427" t="s">
        <v>106</v>
      </c>
      <c r="B41" s="535" t="s">
        <v>107</v>
      </c>
      <c r="C41" s="329" t="s">
        <v>108</v>
      </c>
      <c r="D41" s="308" t="s">
        <v>108</v>
      </c>
      <c r="E41" s="308" t="s">
        <v>108</v>
      </c>
      <c r="F41" s="308" t="s">
        <v>108</v>
      </c>
      <c r="G41" s="308" t="s">
        <v>108</v>
      </c>
      <c r="H41" s="308" t="s">
        <v>108</v>
      </c>
      <c r="I41" s="308" t="s">
        <v>108</v>
      </c>
      <c r="J41" s="308" t="s">
        <v>108</v>
      </c>
      <c r="K41" s="308" t="s">
        <v>108</v>
      </c>
      <c r="L41" s="308" t="s">
        <v>108</v>
      </c>
      <c r="M41" s="160" t="s">
        <v>23</v>
      </c>
      <c r="N41" s="160" t="s">
        <v>23</v>
      </c>
      <c r="O41" s="137" t="s">
        <v>31</v>
      </c>
      <c r="P41" s="137" t="s">
        <v>34</v>
      </c>
      <c r="Q41" s="137" t="s">
        <v>34</v>
      </c>
      <c r="R41" s="412" t="s">
        <v>39</v>
      </c>
      <c r="S41" s="160" t="s">
        <v>23</v>
      </c>
      <c r="T41" s="160" t="s">
        <v>23</v>
      </c>
      <c r="U41" s="137" t="s">
        <v>34</v>
      </c>
      <c r="V41" s="137" t="s">
        <v>34</v>
      </c>
      <c r="W41" s="137" t="s">
        <v>34</v>
      </c>
      <c r="X41" s="137" t="s">
        <v>34</v>
      </c>
      <c r="Y41" s="160" t="s">
        <v>23</v>
      </c>
      <c r="Z41" s="160" t="s">
        <v>23</v>
      </c>
      <c r="AA41" s="137" t="s">
        <v>34</v>
      </c>
      <c r="AB41" s="137" t="s">
        <v>34</v>
      </c>
      <c r="AC41" s="137" t="s">
        <v>34</v>
      </c>
      <c r="AD41" s="137" t="s">
        <v>34</v>
      </c>
      <c r="AE41" s="160" t="s">
        <v>23</v>
      </c>
      <c r="AF41" s="160" t="s">
        <v>23</v>
      </c>
      <c r="AG41" s="317" t="s">
        <v>34</v>
      </c>
      <c r="AI41" s="37">
        <v>1</v>
      </c>
      <c r="AJ41" s="51">
        <f t="shared" si="10"/>
        <v>1</v>
      </c>
      <c r="AK41" s="19">
        <f t="shared" si="11"/>
        <v>0</v>
      </c>
      <c r="AL41" s="48"/>
      <c r="AM41" s="37">
        <v>22</v>
      </c>
      <c r="AN41" s="35">
        <f t="shared" si="14"/>
        <v>11</v>
      </c>
      <c r="AO41" s="38">
        <f t="shared" si="15"/>
        <v>11</v>
      </c>
      <c r="AP41" s="145"/>
    </row>
    <row r="42" spans="1:42" ht="18.95" customHeight="1">
      <c r="A42" s="427" t="s">
        <v>109</v>
      </c>
      <c r="B42" s="537" t="s">
        <v>110</v>
      </c>
      <c r="C42" s="453"/>
      <c r="D42" s="445"/>
      <c r="E42" s="445"/>
      <c r="F42" s="445"/>
      <c r="G42" s="445"/>
      <c r="H42" s="445"/>
      <c r="I42" s="445"/>
      <c r="J42" s="445"/>
      <c r="K42" s="445"/>
      <c r="L42" s="445"/>
      <c r="M42" s="446"/>
      <c r="N42" s="446"/>
      <c r="O42" s="152" t="s">
        <v>25</v>
      </c>
      <c r="P42" s="152" t="s">
        <v>25</v>
      </c>
      <c r="Q42" s="152" t="s">
        <v>25</v>
      </c>
      <c r="R42" s="152" t="s">
        <v>25</v>
      </c>
      <c r="S42" s="152" t="s">
        <v>25</v>
      </c>
      <c r="T42" s="160" t="s">
        <v>23</v>
      </c>
      <c r="U42" s="160" t="s">
        <v>23</v>
      </c>
      <c r="V42" s="152" t="s">
        <v>25</v>
      </c>
      <c r="W42" s="152" t="s">
        <v>25</v>
      </c>
      <c r="X42" s="152" t="s">
        <v>25</v>
      </c>
      <c r="Y42" s="160" t="s">
        <v>23</v>
      </c>
      <c r="Z42" s="209" t="s">
        <v>100</v>
      </c>
      <c r="AA42" s="209" t="s">
        <v>100</v>
      </c>
      <c r="AB42" s="209" t="s">
        <v>100</v>
      </c>
      <c r="AC42" s="160" t="s">
        <v>23</v>
      </c>
      <c r="AD42" s="160" t="s">
        <v>23</v>
      </c>
      <c r="AE42" s="131" t="s">
        <v>83</v>
      </c>
      <c r="AF42" s="131" t="s">
        <v>83</v>
      </c>
      <c r="AG42" s="540" t="s">
        <v>83</v>
      </c>
      <c r="AI42" s="37">
        <v>3</v>
      </c>
      <c r="AJ42" s="51">
        <f>COUNTIF(C42:AG42,"ua")</f>
        <v>0</v>
      </c>
      <c r="AK42" s="19">
        <f>AI42-AJ42</f>
        <v>3</v>
      </c>
      <c r="AL42" s="48"/>
      <c r="AM42" s="37">
        <v>22</v>
      </c>
      <c r="AN42" s="35">
        <v>0</v>
      </c>
      <c r="AO42" s="38">
        <v>22</v>
      </c>
      <c r="AP42" s="146"/>
    </row>
    <row r="43" spans="1:42" ht="18.95" customHeight="1">
      <c r="A43" s="427" t="s">
        <v>111</v>
      </c>
      <c r="B43" s="535" t="s">
        <v>112</v>
      </c>
      <c r="C43" s="454"/>
      <c r="D43" s="446"/>
      <c r="E43" s="447"/>
      <c r="F43" s="447"/>
      <c r="G43" s="447"/>
      <c r="H43" s="448"/>
      <c r="I43" s="449"/>
      <c r="J43" s="449"/>
      <c r="K43" s="449"/>
      <c r="L43" s="449"/>
      <c r="M43" s="160" t="s">
        <v>23</v>
      </c>
      <c r="N43" s="160" t="s">
        <v>23</v>
      </c>
      <c r="O43" s="152" t="s">
        <v>25</v>
      </c>
      <c r="P43" s="152" t="s">
        <v>25</v>
      </c>
      <c r="Q43" s="152" t="s">
        <v>25</v>
      </c>
      <c r="R43" s="152" t="s">
        <v>25</v>
      </c>
      <c r="S43" s="152" t="s">
        <v>25</v>
      </c>
      <c r="T43" s="160" t="s">
        <v>23</v>
      </c>
      <c r="U43" s="160" t="s">
        <v>23</v>
      </c>
      <c r="V43" s="152" t="s">
        <v>25</v>
      </c>
      <c r="W43" s="152" t="s">
        <v>25</v>
      </c>
      <c r="X43" s="152" t="s">
        <v>25</v>
      </c>
      <c r="Y43" s="450" t="s">
        <v>68</v>
      </c>
      <c r="Z43" s="209" t="s">
        <v>100</v>
      </c>
      <c r="AA43" s="160" t="s">
        <v>23</v>
      </c>
      <c r="AB43" s="160" t="s">
        <v>23</v>
      </c>
      <c r="AC43" s="420" t="s">
        <v>63</v>
      </c>
      <c r="AD43" s="420" t="s">
        <v>63</v>
      </c>
      <c r="AE43" s="420" t="s">
        <v>63</v>
      </c>
      <c r="AF43" s="420" t="s">
        <v>63</v>
      </c>
      <c r="AG43" s="325" t="s">
        <v>23</v>
      </c>
      <c r="AI43" s="37">
        <v>11</v>
      </c>
      <c r="AJ43" s="51">
        <f t="shared" si="10"/>
        <v>0</v>
      </c>
      <c r="AK43" s="19">
        <f t="shared" si="11"/>
        <v>11</v>
      </c>
      <c r="AL43" s="48"/>
      <c r="AM43" s="37">
        <v>22</v>
      </c>
      <c r="AN43" s="35">
        <f t="shared" si="14"/>
        <v>0</v>
      </c>
      <c r="AO43" s="38">
        <f t="shared" si="15"/>
        <v>22</v>
      </c>
      <c r="AP43" s="145"/>
    </row>
    <row r="44" spans="1:42" ht="18.95" customHeight="1">
      <c r="A44" s="427" t="s">
        <v>113</v>
      </c>
      <c r="B44" s="535" t="s">
        <v>114</v>
      </c>
      <c r="C44" s="455" t="s">
        <v>63</v>
      </c>
      <c r="D44" s="420" t="s">
        <v>63</v>
      </c>
      <c r="E44" s="420" t="s">
        <v>63</v>
      </c>
      <c r="F44" s="420" t="s">
        <v>63</v>
      </c>
      <c r="G44" s="160" t="s">
        <v>23</v>
      </c>
      <c r="H44" s="160" t="s">
        <v>23</v>
      </c>
      <c r="I44" s="209" t="s">
        <v>100</v>
      </c>
      <c r="J44" s="209" t="s">
        <v>100</v>
      </c>
      <c r="K44" s="209" t="s">
        <v>100</v>
      </c>
      <c r="L44" s="209" t="s">
        <v>100</v>
      </c>
      <c r="M44" s="160" t="s">
        <v>23</v>
      </c>
      <c r="N44" s="160" t="s">
        <v>23</v>
      </c>
      <c r="O44" s="131" t="s">
        <v>83</v>
      </c>
      <c r="P44" s="131" t="s">
        <v>83</v>
      </c>
      <c r="Q44" s="131" t="s">
        <v>83</v>
      </c>
      <c r="R44" s="131" t="s">
        <v>83</v>
      </c>
      <c r="S44" s="160" t="s">
        <v>23</v>
      </c>
      <c r="T44" s="160" t="s">
        <v>23</v>
      </c>
      <c r="U44" s="205" t="s">
        <v>103</v>
      </c>
      <c r="V44" s="205" t="s">
        <v>103</v>
      </c>
      <c r="W44" s="205" t="s">
        <v>103</v>
      </c>
      <c r="X44" s="205" t="s">
        <v>103</v>
      </c>
      <c r="Y44" s="160" t="s">
        <v>23</v>
      </c>
      <c r="Z44" s="160" t="s">
        <v>23</v>
      </c>
      <c r="AA44" s="438" t="s">
        <v>19</v>
      </c>
      <c r="AB44" s="438" t="s">
        <v>19</v>
      </c>
      <c r="AC44" s="438" t="s">
        <v>19</v>
      </c>
      <c r="AD44" s="438" t="s">
        <v>19</v>
      </c>
      <c r="AE44" s="438" t="s">
        <v>19</v>
      </c>
      <c r="AF44" s="160" t="s">
        <v>23</v>
      </c>
      <c r="AG44" s="541" t="s">
        <v>63</v>
      </c>
      <c r="AI44" s="37">
        <v>11</v>
      </c>
      <c r="AJ44" s="51">
        <f t="shared" si="10"/>
        <v>0</v>
      </c>
      <c r="AK44" s="19">
        <f t="shared" si="11"/>
        <v>11</v>
      </c>
      <c r="AL44" s="48"/>
      <c r="AM44" s="37">
        <v>11</v>
      </c>
      <c r="AN44" s="35">
        <f t="shared" si="14"/>
        <v>0</v>
      </c>
      <c r="AO44" s="38">
        <f t="shared" si="15"/>
        <v>11</v>
      </c>
      <c r="AP44" s="145"/>
    </row>
    <row r="45" spans="1:42" ht="18.95" customHeight="1">
      <c r="A45" s="427" t="s">
        <v>115</v>
      </c>
      <c r="B45" s="536" t="s">
        <v>116</v>
      </c>
      <c r="C45" s="142" t="s">
        <v>22</v>
      </c>
      <c r="D45" s="205" t="s">
        <v>103</v>
      </c>
      <c r="E45" s="160" t="s">
        <v>23</v>
      </c>
      <c r="F45" s="160" t="s">
        <v>23</v>
      </c>
      <c r="G45" s="420" t="s">
        <v>63</v>
      </c>
      <c r="H45" s="420" t="s">
        <v>63</v>
      </c>
      <c r="I45" s="420" t="s">
        <v>63</v>
      </c>
      <c r="J45" s="420" t="s">
        <v>63</v>
      </c>
      <c r="K45" s="420" t="s">
        <v>63</v>
      </c>
      <c r="L45" s="160" t="s">
        <v>23</v>
      </c>
      <c r="M45" s="160" t="s">
        <v>23</v>
      </c>
      <c r="N45" s="209" t="s">
        <v>100</v>
      </c>
      <c r="O45" s="419" t="s">
        <v>39</v>
      </c>
      <c r="P45" s="209" t="s">
        <v>100</v>
      </c>
      <c r="Q45" s="160" t="s">
        <v>23</v>
      </c>
      <c r="R45" s="160" t="s">
        <v>23</v>
      </c>
      <c r="S45" s="131" t="s">
        <v>83</v>
      </c>
      <c r="T45" s="131" t="s">
        <v>83</v>
      </c>
      <c r="U45" s="131" t="s">
        <v>83</v>
      </c>
      <c r="V45" s="131" t="s">
        <v>83</v>
      </c>
      <c r="W45" s="160" t="s">
        <v>23</v>
      </c>
      <c r="X45" s="160" t="s">
        <v>23</v>
      </c>
      <c r="Y45" s="205" t="s">
        <v>103</v>
      </c>
      <c r="Z45" s="205" t="s">
        <v>103</v>
      </c>
      <c r="AA45" s="205" t="s">
        <v>103</v>
      </c>
      <c r="AB45" s="205" t="s">
        <v>103</v>
      </c>
      <c r="AC45" s="160" t="s">
        <v>23</v>
      </c>
      <c r="AD45" s="160" t="s">
        <v>23</v>
      </c>
      <c r="AE45" s="209" t="s">
        <v>100</v>
      </c>
      <c r="AF45" s="209" t="s">
        <v>100</v>
      </c>
      <c r="AG45" s="542" t="s">
        <v>100</v>
      </c>
      <c r="AI45" s="37">
        <v>10</v>
      </c>
      <c r="AJ45" s="51">
        <f t="shared" si="10"/>
        <v>0</v>
      </c>
      <c r="AK45" s="19">
        <f t="shared" si="11"/>
        <v>10</v>
      </c>
      <c r="AL45" s="48"/>
      <c r="AM45" s="37">
        <v>11</v>
      </c>
      <c r="AN45" s="35">
        <f t="shared" si="14"/>
        <v>0</v>
      </c>
      <c r="AO45" s="38">
        <f t="shared" si="15"/>
        <v>11</v>
      </c>
      <c r="AP45" s="145"/>
    </row>
    <row r="46" spans="1:42" ht="18.95" customHeight="1">
      <c r="A46" s="427" t="s">
        <v>117</v>
      </c>
      <c r="B46" s="535" t="s">
        <v>118</v>
      </c>
      <c r="C46" s="326" t="s">
        <v>23</v>
      </c>
      <c r="D46" s="160" t="s">
        <v>23</v>
      </c>
      <c r="E46" s="420" t="s">
        <v>63</v>
      </c>
      <c r="F46" s="438" t="s">
        <v>19</v>
      </c>
      <c r="G46" s="438" t="s">
        <v>19</v>
      </c>
      <c r="H46" s="420" t="s">
        <v>63</v>
      </c>
      <c r="I46" s="160" t="s">
        <v>23</v>
      </c>
      <c r="J46" s="160" t="s">
        <v>23</v>
      </c>
      <c r="K46" s="131" t="s">
        <v>83</v>
      </c>
      <c r="L46" s="131" t="s">
        <v>83</v>
      </c>
      <c r="M46" s="131" t="s">
        <v>83</v>
      </c>
      <c r="N46" s="131" t="s">
        <v>83</v>
      </c>
      <c r="O46" s="160" t="s">
        <v>23</v>
      </c>
      <c r="P46" s="160" t="s">
        <v>23</v>
      </c>
      <c r="Q46" s="451" t="s">
        <v>100</v>
      </c>
      <c r="R46" s="451" t="s">
        <v>100</v>
      </c>
      <c r="S46" s="451" t="s">
        <v>100</v>
      </c>
      <c r="T46" s="451" t="s">
        <v>100</v>
      </c>
      <c r="U46" s="160" t="s">
        <v>23</v>
      </c>
      <c r="V46" s="160" t="s">
        <v>23</v>
      </c>
      <c r="W46" s="131" t="s">
        <v>83</v>
      </c>
      <c r="X46" s="131" t="s">
        <v>83</v>
      </c>
      <c r="Y46" s="131" t="s">
        <v>83</v>
      </c>
      <c r="Z46" s="131" t="s">
        <v>83</v>
      </c>
      <c r="AA46" s="160" t="s">
        <v>23</v>
      </c>
      <c r="AB46" s="160" t="s">
        <v>23</v>
      </c>
      <c r="AC46" s="205" t="s">
        <v>103</v>
      </c>
      <c r="AD46" s="205" t="s">
        <v>103</v>
      </c>
      <c r="AE46" s="205" t="s">
        <v>103</v>
      </c>
      <c r="AF46" s="205" t="s">
        <v>103</v>
      </c>
      <c r="AG46" s="325" t="s">
        <v>23</v>
      </c>
      <c r="AI46" s="37">
        <v>11</v>
      </c>
      <c r="AJ46" s="51">
        <f t="shared" si="10"/>
        <v>0</v>
      </c>
      <c r="AK46" s="19">
        <f t="shared" si="11"/>
        <v>11</v>
      </c>
      <c r="AL46" s="48"/>
      <c r="AM46" s="37">
        <v>11</v>
      </c>
      <c r="AN46" s="35">
        <f t="shared" si="14"/>
        <v>0</v>
      </c>
      <c r="AO46" s="38">
        <f t="shared" si="15"/>
        <v>11</v>
      </c>
      <c r="AP46" s="145"/>
    </row>
    <row r="47" spans="1:42" ht="18.95" customHeight="1">
      <c r="A47" s="427" t="s">
        <v>119</v>
      </c>
      <c r="B47" s="535" t="s">
        <v>120</v>
      </c>
      <c r="C47" s="456" t="s">
        <v>30</v>
      </c>
      <c r="D47" s="138" t="s">
        <v>22</v>
      </c>
      <c r="E47" s="160" t="s">
        <v>23</v>
      </c>
      <c r="F47" s="160" t="s">
        <v>23</v>
      </c>
      <c r="G47" s="131" t="s">
        <v>83</v>
      </c>
      <c r="H47" s="131" t="s">
        <v>83</v>
      </c>
      <c r="I47" s="131" t="s">
        <v>83</v>
      </c>
      <c r="J47" s="131" t="s">
        <v>83</v>
      </c>
      <c r="K47" s="160" t="s">
        <v>23</v>
      </c>
      <c r="L47" s="160" t="s">
        <v>23</v>
      </c>
      <c r="M47" s="138" t="s">
        <v>22</v>
      </c>
      <c r="N47" s="138" t="s">
        <v>22</v>
      </c>
      <c r="O47" s="138" t="s">
        <v>22</v>
      </c>
      <c r="P47" s="138" t="s">
        <v>22</v>
      </c>
      <c r="Q47" s="160" t="s">
        <v>23</v>
      </c>
      <c r="R47" s="152" t="s">
        <v>25</v>
      </c>
      <c r="S47" s="152" t="s">
        <v>25</v>
      </c>
      <c r="T47" s="160" t="s">
        <v>23</v>
      </c>
      <c r="U47" s="160" t="s">
        <v>23</v>
      </c>
      <c r="V47" s="152" t="s">
        <v>25</v>
      </c>
      <c r="W47" s="152" t="s">
        <v>25</v>
      </c>
      <c r="X47" s="152" t="s">
        <v>25</v>
      </c>
      <c r="Y47" s="160" t="s">
        <v>23</v>
      </c>
      <c r="Z47" s="139" t="s">
        <v>24</v>
      </c>
      <c r="AA47" s="139" t="s">
        <v>24</v>
      </c>
      <c r="AB47" s="139" t="s">
        <v>24</v>
      </c>
      <c r="AC47" s="160" t="s">
        <v>23</v>
      </c>
      <c r="AD47" s="160" t="s">
        <v>23</v>
      </c>
      <c r="AE47" s="139" t="s">
        <v>24</v>
      </c>
      <c r="AF47" s="139" t="s">
        <v>24</v>
      </c>
      <c r="AG47" s="301" t="s">
        <v>24</v>
      </c>
      <c r="AI47" s="37">
        <v>13</v>
      </c>
      <c r="AJ47" s="51">
        <f t="shared" si="10"/>
        <v>0</v>
      </c>
      <c r="AK47" s="19">
        <f t="shared" si="11"/>
        <v>13</v>
      </c>
      <c r="AL47" s="48"/>
      <c r="AM47" s="37">
        <v>22</v>
      </c>
      <c r="AN47" s="35">
        <f t="shared" si="14"/>
        <v>0</v>
      </c>
      <c r="AO47" s="38">
        <f t="shared" si="15"/>
        <v>22</v>
      </c>
      <c r="AP47" s="145"/>
    </row>
    <row r="48" spans="1:42" ht="18.95" customHeight="1">
      <c r="A48" s="543" t="s">
        <v>121</v>
      </c>
      <c r="B48" s="538" t="s">
        <v>122</v>
      </c>
      <c r="C48" s="143" t="s">
        <v>24</v>
      </c>
      <c r="D48" s="139" t="s">
        <v>24</v>
      </c>
      <c r="E48" s="139" t="s">
        <v>24</v>
      </c>
      <c r="F48" s="139" t="s">
        <v>24</v>
      </c>
      <c r="G48" s="160" t="s">
        <v>23</v>
      </c>
      <c r="H48" s="160" t="s">
        <v>23</v>
      </c>
      <c r="I48" s="138" t="s">
        <v>22</v>
      </c>
      <c r="J48" s="138" t="s">
        <v>22</v>
      </c>
      <c r="K48" s="138" t="s">
        <v>22</v>
      </c>
      <c r="L48" s="138" t="s">
        <v>22</v>
      </c>
      <c r="M48" s="160" t="s">
        <v>23</v>
      </c>
      <c r="N48" s="160" t="s">
        <v>23</v>
      </c>
      <c r="O48" s="139" t="s">
        <v>24</v>
      </c>
      <c r="P48" s="139" t="s">
        <v>24</v>
      </c>
      <c r="Q48" s="139" t="s">
        <v>24</v>
      </c>
      <c r="R48" s="139" t="s">
        <v>24</v>
      </c>
      <c r="S48" s="160" t="s">
        <v>23</v>
      </c>
      <c r="T48" s="160" t="s">
        <v>23</v>
      </c>
      <c r="U48" s="210" t="s">
        <v>68</v>
      </c>
      <c r="V48" s="138" t="s">
        <v>22</v>
      </c>
      <c r="W48" s="138" t="s">
        <v>22</v>
      </c>
      <c r="X48" s="138" t="s">
        <v>22</v>
      </c>
      <c r="Y48" s="160" t="s">
        <v>23</v>
      </c>
      <c r="Z48" s="160" t="s">
        <v>23</v>
      </c>
      <c r="AA48" s="139" t="s">
        <v>24</v>
      </c>
      <c r="AB48" s="139" t="s">
        <v>24</v>
      </c>
      <c r="AC48" s="139" t="s">
        <v>24</v>
      </c>
      <c r="AD48" s="139" t="s">
        <v>24</v>
      </c>
      <c r="AE48" s="160" t="s">
        <v>23</v>
      </c>
      <c r="AF48" s="160" t="s">
        <v>23</v>
      </c>
      <c r="AG48" s="197" t="s">
        <v>22</v>
      </c>
      <c r="AI48" s="37">
        <v>0</v>
      </c>
      <c r="AJ48" s="51">
        <f t="shared" si="10"/>
        <v>0</v>
      </c>
      <c r="AK48" s="19">
        <f t="shared" si="11"/>
        <v>0</v>
      </c>
      <c r="AL48" s="48"/>
      <c r="AM48" s="37">
        <v>22</v>
      </c>
      <c r="AN48" s="35">
        <f t="shared" si="14"/>
        <v>0</v>
      </c>
      <c r="AO48" s="38">
        <f t="shared" si="15"/>
        <v>22</v>
      </c>
      <c r="AP48" s="145"/>
    </row>
    <row r="49" spans="1:42" ht="18.95" customHeight="1" thickBot="1">
      <c r="A49" s="544" t="s">
        <v>123</v>
      </c>
      <c r="B49" s="545" t="s">
        <v>124</v>
      </c>
      <c r="C49" s="546" t="s">
        <v>23</v>
      </c>
      <c r="D49" s="198" t="s">
        <v>23</v>
      </c>
      <c r="E49" s="547" t="s">
        <v>125</v>
      </c>
      <c r="F49" s="547" t="s">
        <v>125</v>
      </c>
      <c r="G49" s="547" t="s">
        <v>125</v>
      </c>
      <c r="H49" s="547" t="s">
        <v>125</v>
      </c>
      <c r="I49" s="198" t="s">
        <v>23</v>
      </c>
      <c r="J49" s="198" t="s">
        <v>23</v>
      </c>
      <c r="K49" s="324" t="s">
        <v>24</v>
      </c>
      <c r="L49" s="324" t="s">
        <v>24</v>
      </c>
      <c r="M49" s="324" t="s">
        <v>24</v>
      </c>
      <c r="N49" s="324" t="s">
        <v>24</v>
      </c>
      <c r="O49" s="198" t="s">
        <v>23</v>
      </c>
      <c r="P49" s="198" t="s">
        <v>23</v>
      </c>
      <c r="Q49" s="386" t="s">
        <v>22</v>
      </c>
      <c r="R49" s="386" t="s">
        <v>22</v>
      </c>
      <c r="S49" s="386" t="s">
        <v>22</v>
      </c>
      <c r="T49" s="386" t="s">
        <v>22</v>
      </c>
      <c r="U49" s="198" t="s">
        <v>23</v>
      </c>
      <c r="V49" s="198" t="s">
        <v>23</v>
      </c>
      <c r="W49" s="324" t="s">
        <v>24</v>
      </c>
      <c r="X49" s="324" t="s">
        <v>24</v>
      </c>
      <c r="Y49" s="324" t="s">
        <v>24</v>
      </c>
      <c r="Z49" s="324" t="s">
        <v>24</v>
      </c>
      <c r="AA49" s="198" t="s">
        <v>23</v>
      </c>
      <c r="AB49" s="198" t="s">
        <v>23</v>
      </c>
      <c r="AC49" s="386" t="s">
        <v>22</v>
      </c>
      <c r="AD49" s="386" t="s">
        <v>22</v>
      </c>
      <c r="AE49" s="386" t="s">
        <v>22</v>
      </c>
      <c r="AF49" s="386" t="s">
        <v>22</v>
      </c>
      <c r="AG49" s="548" t="s">
        <v>23</v>
      </c>
      <c r="AI49" s="46">
        <v>0</v>
      </c>
      <c r="AJ49" s="494">
        <f t="shared" si="10"/>
        <v>0</v>
      </c>
      <c r="AK49" s="20">
        <f t="shared" si="11"/>
        <v>0</v>
      </c>
      <c r="AL49" s="48"/>
      <c r="AM49" s="46">
        <v>22</v>
      </c>
      <c r="AN49" s="16">
        <f t="shared" si="14"/>
        <v>0</v>
      </c>
      <c r="AO49" s="52">
        <f t="shared" si="15"/>
        <v>22</v>
      </c>
      <c r="AP49" s="145"/>
    </row>
    <row r="50" spans="1:42" ht="9.9499999999999993" customHeight="1" thickBot="1">
      <c r="A50" s="1"/>
      <c r="B50" s="1"/>
      <c r="AI50" s="53"/>
      <c r="AJ50" s="53"/>
      <c r="AK50" s="53"/>
      <c r="AL50" s="48"/>
      <c r="AM50" s="48"/>
      <c r="AN50" s="48"/>
      <c r="AO50" s="48"/>
    </row>
    <row r="51" spans="1:42" ht="17.100000000000001" customHeight="1">
      <c r="A51" s="495" t="s">
        <v>103</v>
      </c>
      <c r="B51" s="496"/>
      <c r="C51" s="488">
        <f>COUNTIF(C$5:C$49,$A51)</f>
        <v>0</v>
      </c>
      <c r="D51" s="485">
        <f t="shared" ref="D51:AG55" si="16">COUNTIF(D$5:D$49,$A51)</f>
        <v>1</v>
      </c>
      <c r="E51" s="485">
        <f t="shared" si="16"/>
        <v>1</v>
      </c>
      <c r="F51" s="485">
        <f t="shared" si="16"/>
        <v>1</v>
      </c>
      <c r="G51" s="485">
        <f t="shared" si="16"/>
        <v>1</v>
      </c>
      <c r="H51" s="485">
        <f t="shared" si="16"/>
        <v>1</v>
      </c>
      <c r="I51" s="485">
        <f t="shared" si="16"/>
        <v>1</v>
      </c>
      <c r="J51" s="485">
        <f t="shared" si="16"/>
        <v>1</v>
      </c>
      <c r="K51" s="485">
        <f t="shared" si="16"/>
        <v>1</v>
      </c>
      <c r="L51" s="485">
        <f t="shared" si="16"/>
        <v>1</v>
      </c>
      <c r="M51" s="485">
        <f t="shared" si="16"/>
        <v>0</v>
      </c>
      <c r="N51" s="485">
        <f t="shared" si="16"/>
        <v>0</v>
      </c>
      <c r="O51" s="485">
        <f t="shared" si="16"/>
        <v>0</v>
      </c>
      <c r="P51" s="485">
        <f t="shared" si="16"/>
        <v>0</v>
      </c>
      <c r="Q51" s="485">
        <f t="shared" si="16"/>
        <v>0</v>
      </c>
      <c r="R51" s="485">
        <f t="shared" si="16"/>
        <v>0</v>
      </c>
      <c r="S51" s="485">
        <f t="shared" si="16"/>
        <v>0</v>
      </c>
      <c r="T51" s="485">
        <f t="shared" si="16"/>
        <v>0</v>
      </c>
      <c r="U51" s="485">
        <f t="shared" si="16"/>
        <v>1</v>
      </c>
      <c r="V51" s="485">
        <f t="shared" si="16"/>
        <v>1</v>
      </c>
      <c r="W51" s="485">
        <f t="shared" si="16"/>
        <v>1</v>
      </c>
      <c r="X51" s="485">
        <f t="shared" si="16"/>
        <v>1</v>
      </c>
      <c r="Y51" s="485">
        <f t="shared" si="16"/>
        <v>1</v>
      </c>
      <c r="Z51" s="485">
        <f t="shared" si="16"/>
        <v>1</v>
      </c>
      <c r="AA51" s="485">
        <f t="shared" si="16"/>
        <v>1</v>
      </c>
      <c r="AB51" s="485">
        <f t="shared" si="16"/>
        <v>1</v>
      </c>
      <c r="AC51" s="485">
        <f t="shared" si="16"/>
        <v>1</v>
      </c>
      <c r="AD51" s="485">
        <f t="shared" si="16"/>
        <v>1</v>
      </c>
      <c r="AE51" s="485">
        <f t="shared" si="16"/>
        <v>1</v>
      </c>
      <c r="AF51" s="485">
        <f t="shared" si="16"/>
        <v>1</v>
      </c>
      <c r="AG51" s="486">
        <f t="shared" si="16"/>
        <v>0</v>
      </c>
      <c r="AI51" s="53"/>
      <c r="AJ51" s="53"/>
      <c r="AK51" s="53"/>
      <c r="AL51" s="48"/>
      <c r="AM51" s="48"/>
      <c r="AN51" s="48"/>
      <c r="AO51" s="48"/>
    </row>
    <row r="52" spans="1:42" ht="17.100000000000001" customHeight="1">
      <c r="A52" s="497" t="s">
        <v>22</v>
      </c>
      <c r="B52" s="498"/>
      <c r="C52" s="489">
        <f>COUNTIF(C$5:C$49,$A52)</f>
        <v>6</v>
      </c>
      <c r="D52" s="169">
        <f t="shared" si="16"/>
        <v>9</v>
      </c>
      <c r="E52" s="169">
        <f t="shared" si="16"/>
        <v>6</v>
      </c>
      <c r="F52" s="169">
        <f t="shared" si="16"/>
        <v>9</v>
      </c>
      <c r="G52" s="169">
        <f t="shared" si="16"/>
        <v>6</v>
      </c>
      <c r="H52" s="169">
        <f t="shared" si="16"/>
        <v>5</v>
      </c>
      <c r="I52" s="169">
        <f t="shared" si="16"/>
        <v>7</v>
      </c>
      <c r="J52" s="169">
        <f t="shared" si="16"/>
        <v>8</v>
      </c>
      <c r="K52" s="169">
        <f t="shared" si="16"/>
        <v>6</v>
      </c>
      <c r="L52" s="169">
        <f t="shared" si="16"/>
        <v>7</v>
      </c>
      <c r="M52" s="169">
        <f t="shared" si="16"/>
        <v>8</v>
      </c>
      <c r="N52" s="169">
        <f t="shared" si="16"/>
        <v>6</v>
      </c>
      <c r="O52" s="169">
        <f t="shared" si="16"/>
        <v>7</v>
      </c>
      <c r="P52" s="169">
        <f t="shared" si="16"/>
        <v>6</v>
      </c>
      <c r="Q52" s="169">
        <f t="shared" si="16"/>
        <v>7</v>
      </c>
      <c r="R52" s="169">
        <f t="shared" si="16"/>
        <v>8</v>
      </c>
      <c r="S52" s="169">
        <f t="shared" si="16"/>
        <v>7</v>
      </c>
      <c r="T52" s="169">
        <f t="shared" si="16"/>
        <v>7</v>
      </c>
      <c r="U52" s="169">
        <f t="shared" si="16"/>
        <v>5</v>
      </c>
      <c r="V52" s="169">
        <f t="shared" si="16"/>
        <v>6</v>
      </c>
      <c r="W52" s="169">
        <f t="shared" si="16"/>
        <v>6</v>
      </c>
      <c r="X52" s="169">
        <f t="shared" si="16"/>
        <v>7</v>
      </c>
      <c r="Y52" s="169">
        <f t="shared" si="16"/>
        <v>5</v>
      </c>
      <c r="Z52" s="169">
        <f t="shared" si="16"/>
        <v>7</v>
      </c>
      <c r="AA52" s="169">
        <f t="shared" si="16"/>
        <v>6</v>
      </c>
      <c r="AB52" s="169">
        <f t="shared" si="16"/>
        <v>5</v>
      </c>
      <c r="AC52" s="169">
        <f t="shared" si="16"/>
        <v>7</v>
      </c>
      <c r="AD52" s="169">
        <f t="shared" si="16"/>
        <v>6</v>
      </c>
      <c r="AE52" s="169">
        <f t="shared" si="16"/>
        <v>6</v>
      </c>
      <c r="AF52" s="169">
        <f t="shared" si="16"/>
        <v>8</v>
      </c>
      <c r="AG52" s="192">
        <f t="shared" si="16"/>
        <v>7</v>
      </c>
      <c r="AI52" s="53"/>
      <c r="AJ52" s="53"/>
      <c r="AK52" s="53"/>
      <c r="AL52" s="48"/>
      <c r="AM52" s="48"/>
      <c r="AN52" s="48"/>
      <c r="AO52" s="48"/>
    </row>
    <row r="53" spans="1:42" ht="17.100000000000001" customHeight="1">
      <c r="A53" s="499" t="s">
        <v>83</v>
      </c>
      <c r="B53" s="500"/>
      <c r="C53" s="489">
        <f t="shared" ref="C53:R55" si="17">COUNTIF(C$5:C$49,$A53)</f>
        <v>1</v>
      </c>
      <c r="D53" s="169">
        <f t="shared" si="17"/>
        <v>2</v>
      </c>
      <c r="E53" s="169">
        <f t="shared" si="17"/>
        <v>1</v>
      </c>
      <c r="F53" s="169">
        <f t="shared" si="17"/>
        <v>1</v>
      </c>
      <c r="G53" s="169">
        <f t="shared" si="17"/>
        <v>1</v>
      </c>
      <c r="H53" s="169">
        <f t="shared" si="17"/>
        <v>2</v>
      </c>
      <c r="I53" s="169">
        <f t="shared" si="17"/>
        <v>2</v>
      </c>
      <c r="J53" s="169">
        <f t="shared" si="17"/>
        <v>2</v>
      </c>
      <c r="K53" s="169">
        <f t="shared" si="17"/>
        <v>1</v>
      </c>
      <c r="L53" s="169">
        <f t="shared" si="17"/>
        <v>1</v>
      </c>
      <c r="M53" s="169">
        <f t="shared" si="17"/>
        <v>1</v>
      </c>
      <c r="N53" s="169">
        <f t="shared" si="17"/>
        <v>1</v>
      </c>
      <c r="O53" s="169">
        <f t="shared" si="17"/>
        <v>1</v>
      </c>
      <c r="P53" s="169">
        <f t="shared" si="17"/>
        <v>1</v>
      </c>
      <c r="Q53" s="169">
        <f t="shared" si="17"/>
        <v>1</v>
      </c>
      <c r="R53" s="169">
        <f t="shared" si="17"/>
        <v>1</v>
      </c>
      <c r="S53" s="169">
        <f t="shared" si="16"/>
        <v>2</v>
      </c>
      <c r="T53" s="169">
        <f t="shared" si="16"/>
        <v>2</v>
      </c>
      <c r="U53" s="169">
        <f t="shared" si="16"/>
        <v>2</v>
      </c>
      <c r="V53" s="169">
        <f t="shared" si="16"/>
        <v>2</v>
      </c>
      <c r="W53" s="169">
        <f t="shared" si="16"/>
        <v>2</v>
      </c>
      <c r="X53" s="169">
        <f t="shared" si="16"/>
        <v>2</v>
      </c>
      <c r="Y53" s="169">
        <f t="shared" si="16"/>
        <v>2</v>
      </c>
      <c r="Z53" s="169">
        <f t="shared" si="16"/>
        <v>2</v>
      </c>
      <c r="AA53" s="169">
        <f t="shared" si="16"/>
        <v>0</v>
      </c>
      <c r="AB53" s="169">
        <f t="shared" si="16"/>
        <v>0</v>
      </c>
      <c r="AC53" s="169">
        <f t="shared" si="16"/>
        <v>0</v>
      </c>
      <c r="AD53" s="169">
        <f t="shared" si="16"/>
        <v>0</v>
      </c>
      <c r="AE53" s="169">
        <f t="shared" si="16"/>
        <v>2</v>
      </c>
      <c r="AF53" s="169">
        <f t="shared" si="16"/>
        <v>2</v>
      </c>
      <c r="AG53" s="192">
        <f t="shared" si="16"/>
        <v>2</v>
      </c>
      <c r="AI53" s="53"/>
      <c r="AJ53" s="53"/>
      <c r="AK53" s="53"/>
      <c r="AL53" s="48"/>
      <c r="AM53" s="48"/>
      <c r="AN53" s="48"/>
      <c r="AO53" s="48"/>
    </row>
    <row r="54" spans="1:42" ht="17.100000000000001" customHeight="1">
      <c r="A54" s="501" t="s">
        <v>24</v>
      </c>
      <c r="B54" s="502"/>
      <c r="C54" s="489">
        <f t="shared" si="17"/>
        <v>3</v>
      </c>
      <c r="D54" s="169">
        <f t="shared" si="16"/>
        <v>5</v>
      </c>
      <c r="E54" s="169">
        <f t="shared" si="16"/>
        <v>7</v>
      </c>
      <c r="F54" s="169">
        <f t="shared" si="16"/>
        <v>6</v>
      </c>
      <c r="G54" s="169">
        <f t="shared" si="16"/>
        <v>5</v>
      </c>
      <c r="H54" s="169">
        <f t="shared" si="16"/>
        <v>5</v>
      </c>
      <c r="I54" s="169">
        <f t="shared" si="16"/>
        <v>4</v>
      </c>
      <c r="J54" s="169">
        <f t="shared" si="16"/>
        <v>4</v>
      </c>
      <c r="K54" s="169">
        <f t="shared" si="16"/>
        <v>6</v>
      </c>
      <c r="L54" s="169">
        <f t="shared" si="16"/>
        <v>8</v>
      </c>
      <c r="M54" s="169">
        <f t="shared" si="16"/>
        <v>8</v>
      </c>
      <c r="N54" s="169">
        <f t="shared" si="16"/>
        <v>7</v>
      </c>
      <c r="O54" s="169">
        <f t="shared" si="16"/>
        <v>6</v>
      </c>
      <c r="P54" s="169">
        <f t="shared" si="16"/>
        <v>6</v>
      </c>
      <c r="Q54" s="169">
        <f t="shared" si="16"/>
        <v>7</v>
      </c>
      <c r="R54" s="169">
        <f t="shared" si="16"/>
        <v>9</v>
      </c>
      <c r="S54" s="169">
        <f t="shared" si="16"/>
        <v>6</v>
      </c>
      <c r="T54" s="169">
        <f t="shared" si="16"/>
        <v>3</v>
      </c>
      <c r="U54" s="169">
        <f t="shared" si="16"/>
        <v>6</v>
      </c>
      <c r="V54" s="169">
        <f t="shared" si="16"/>
        <v>6</v>
      </c>
      <c r="W54" s="169">
        <f t="shared" si="16"/>
        <v>8</v>
      </c>
      <c r="X54" s="169">
        <f t="shared" si="16"/>
        <v>7</v>
      </c>
      <c r="Y54" s="169">
        <f t="shared" si="16"/>
        <v>7</v>
      </c>
      <c r="Z54" s="169">
        <f t="shared" si="16"/>
        <v>7</v>
      </c>
      <c r="AA54" s="169">
        <f t="shared" si="16"/>
        <v>6</v>
      </c>
      <c r="AB54" s="169">
        <f t="shared" si="16"/>
        <v>7</v>
      </c>
      <c r="AC54" s="169">
        <f t="shared" si="16"/>
        <v>6</v>
      </c>
      <c r="AD54" s="169">
        <f t="shared" si="16"/>
        <v>6</v>
      </c>
      <c r="AE54" s="169">
        <f t="shared" si="16"/>
        <v>5</v>
      </c>
      <c r="AF54" s="169">
        <f t="shared" si="16"/>
        <v>5</v>
      </c>
      <c r="AG54" s="192">
        <f t="shared" si="16"/>
        <v>4</v>
      </c>
      <c r="AI54" s="53"/>
      <c r="AJ54" s="53"/>
      <c r="AK54" s="53"/>
      <c r="AL54" s="48"/>
      <c r="AM54" s="48"/>
      <c r="AN54" s="48"/>
      <c r="AO54" s="48"/>
    </row>
    <row r="55" spans="1:42" ht="17.100000000000001" customHeight="1" thickBot="1">
      <c r="A55" s="503" t="s">
        <v>63</v>
      </c>
      <c r="B55" s="504"/>
      <c r="C55" s="490">
        <f t="shared" si="17"/>
        <v>2</v>
      </c>
      <c r="D55" s="176">
        <f t="shared" si="16"/>
        <v>2</v>
      </c>
      <c r="E55" s="176">
        <f t="shared" si="16"/>
        <v>3</v>
      </c>
      <c r="F55" s="176">
        <f t="shared" si="16"/>
        <v>2</v>
      </c>
      <c r="G55" s="176">
        <f t="shared" si="16"/>
        <v>2</v>
      </c>
      <c r="H55" s="176">
        <f t="shared" si="16"/>
        <v>3</v>
      </c>
      <c r="I55" s="176">
        <f t="shared" si="16"/>
        <v>2</v>
      </c>
      <c r="J55" s="176">
        <f t="shared" si="16"/>
        <v>2</v>
      </c>
      <c r="K55" s="176">
        <f t="shared" si="16"/>
        <v>2</v>
      </c>
      <c r="L55" s="176">
        <f t="shared" si="16"/>
        <v>2</v>
      </c>
      <c r="M55" s="176">
        <f t="shared" si="16"/>
        <v>3</v>
      </c>
      <c r="N55" s="176">
        <f t="shared" si="16"/>
        <v>3</v>
      </c>
      <c r="O55" s="176">
        <f t="shared" si="16"/>
        <v>3</v>
      </c>
      <c r="P55" s="176">
        <f t="shared" si="16"/>
        <v>3</v>
      </c>
      <c r="Q55" s="176">
        <f t="shared" si="16"/>
        <v>3</v>
      </c>
      <c r="R55" s="176">
        <f t="shared" si="16"/>
        <v>3</v>
      </c>
      <c r="S55" s="176">
        <f t="shared" si="16"/>
        <v>3</v>
      </c>
      <c r="T55" s="176">
        <f t="shared" si="16"/>
        <v>3</v>
      </c>
      <c r="U55" s="176">
        <f t="shared" si="16"/>
        <v>3</v>
      </c>
      <c r="V55" s="176">
        <f t="shared" si="16"/>
        <v>3</v>
      </c>
      <c r="W55" s="176">
        <f t="shared" si="16"/>
        <v>3</v>
      </c>
      <c r="X55" s="176">
        <f t="shared" si="16"/>
        <v>3</v>
      </c>
      <c r="Y55" s="176">
        <f t="shared" si="16"/>
        <v>2</v>
      </c>
      <c r="Z55" s="176">
        <f t="shared" si="16"/>
        <v>2</v>
      </c>
      <c r="AA55" s="176">
        <f t="shared" si="16"/>
        <v>2</v>
      </c>
      <c r="AB55" s="176">
        <f t="shared" si="16"/>
        <v>1</v>
      </c>
      <c r="AC55" s="176">
        <f t="shared" si="16"/>
        <v>2</v>
      </c>
      <c r="AD55" s="176">
        <f t="shared" si="16"/>
        <v>2</v>
      </c>
      <c r="AE55" s="176">
        <f t="shared" si="16"/>
        <v>2</v>
      </c>
      <c r="AF55" s="176">
        <f t="shared" si="16"/>
        <v>3</v>
      </c>
      <c r="AG55" s="487">
        <f t="shared" si="16"/>
        <v>3</v>
      </c>
      <c r="AI55" s="53"/>
      <c r="AJ55" s="53"/>
      <c r="AK55" s="53"/>
      <c r="AL55" s="48"/>
      <c r="AM55" s="48"/>
      <c r="AN55" s="48"/>
      <c r="AO55" s="48"/>
    </row>
    <row r="56" spans="1:42" ht="20.100000000000001" customHeight="1" thickBot="1">
      <c r="AI56" s="53"/>
      <c r="AJ56" s="53"/>
      <c r="AK56" s="53"/>
      <c r="AL56" s="48"/>
      <c r="AM56" s="48"/>
      <c r="AN56" s="48"/>
      <c r="AO56" s="48"/>
    </row>
    <row r="57" spans="1:42" ht="24.95" customHeight="1" thickBot="1">
      <c r="A57" s="513" t="s">
        <v>126</v>
      </c>
      <c r="B57" s="514"/>
      <c r="C57" s="515"/>
      <c r="D57" s="515"/>
      <c r="E57" s="515"/>
      <c r="F57" s="515"/>
      <c r="G57" s="515"/>
      <c r="H57" s="515"/>
      <c r="I57" s="515"/>
      <c r="J57" s="515"/>
      <c r="K57" s="515"/>
      <c r="L57" s="515"/>
      <c r="M57" s="515"/>
      <c r="N57" s="515"/>
      <c r="O57" s="515"/>
      <c r="P57" s="515"/>
      <c r="Q57" s="515"/>
      <c r="R57" s="515"/>
      <c r="S57" s="515"/>
      <c r="T57" s="515"/>
      <c r="U57" s="515"/>
      <c r="V57" s="515"/>
      <c r="W57" s="515"/>
      <c r="X57" s="515"/>
      <c r="Y57" s="515"/>
      <c r="Z57" s="515"/>
      <c r="AA57" s="515"/>
      <c r="AB57" s="515"/>
      <c r="AC57" s="515"/>
      <c r="AD57" s="515"/>
      <c r="AE57" s="515"/>
      <c r="AF57" s="515"/>
      <c r="AG57" s="516"/>
      <c r="AI57" s="53"/>
      <c r="AJ57" s="53"/>
      <c r="AK57" s="53"/>
      <c r="AL57" s="48"/>
      <c r="AM57" s="48"/>
      <c r="AN57" s="48"/>
      <c r="AO57" s="48"/>
    </row>
    <row r="58" spans="1:42" ht="18.95" customHeight="1">
      <c r="A58" s="427" t="s">
        <v>127</v>
      </c>
      <c r="B58" s="536" t="s">
        <v>128</v>
      </c>
      <c r="C58" s="430" t="s">
        <v>83</v>
      </c>
      <c r="D58" s="416" t="s">
        <v>83</v>
      </c>
      <c r="E58" s="416" t="s">
        <v>83</v>
      </c>
      <c r="F58" s="416" t="s">
        <v>83</v>
      </c>
      <c r="G58" s="194" t="s">
        <v>23</v>
      </c>
      <c r="H58" s="194" t="s">
        <v>23</v>
      </c>
      <c r="I58" s="417" t="s">
        <v>125</v>
      </c>
      <c r="J58" s="417" t="s">
        <v>125</v>
      </c>
      <c r="K58" s="417" t="s">
        <v>125</v>
      </c>
      <c r="L58" s="417" t="s">
        <v>125</v>
      </c>
      <c r="M58" s="194" t="s">
        <v>23</v>
      </c>
      <c r="N58" s="194" t="s">
        <v>23</v>
      </c>
      <c r="O58" s="416" t="s">
        <v>83</v>
      </c>
      <c r="P58" s="416" t="s">
        <v>83</v>
      </c>
      <c r="Q58" s="416" t="s">
        <v>83</v>
      </c>
      <c r="R58" s="416" t="s">
        <v>83</v>
      </c>
      <c r="S58" s="194" t="s">
        <v>23</v>
      </c>
      <c r="T58" s="194" t="s">
        <v>23</v>
      </c>
      <c r="U58" s="418" t="s">
        <v>103</v>
      </c>
      <c r="V58" s="418" t="s">
        <v>103</v>
      </c>
      <c r="W58" s="418" t="s">
        <v>103</v>
      </c>
      <c r="X58" s="417" t="s">
        <v>125</v>
      </c>
      <c r="Y58" s="194" t="s">
        <v>23</v>
      </c>
      <c r="Z58" s="194" t="s">
        <v>23</v>
      </c>
      <c r="AA58" s="416" t="s">
        <v>83</v>
      </c>
      <c r="AB58" s="416" t="s">
        <v>83</v>
      </c>
      <c r="AC58" s="416" t="s">
        <v>83</v>
      </c>
      <c r="AD58" s="416" t="s">
        <v>83</v>
      </c>
      <c r="AE58" s="194" t="s">
        <v>23</v>
      </c>
      <c r="AF58" s="194" t="s">
        <v>23</v>
      </c>
      <c r="AG58" s="517" t="s">
        <v>125</v>
      </c>
      <c r="AI58" s="23">
        <v>0</v>
      </c>
      <c r="AJ58" s="54">
        <f t="shared" ref="AJ58:AJ63" si="18">COUNTIF(C58:AG58,"UA")</f>
        <v>0</v>
      </c>
      <c r="AK58" s="55">
        <f t="shared" ref="AK58:AK63" si="19">AI58-AJ58</f>
        <v>0</v>
      </c>
      <c r="AL58" s="48"/>
      <c r="AM58" s="4">
        <v>23</v>
      </c>
      <c r="AN58" s="56">
        <f t="shared" ref="AN58:AN63" si="20">COUNTIF(C58:AG58,"u")</f>
        <v>0</v>
      </c>
      <c r="AO58" s="57">
        <f t="shared" ref="AO58:AO63" si="21">AM58-AN58</f>
        <v>23</v>
      </c>
    </row>
    <row r="59" spans="1:42" ht="18.95" customHeight="1">
      <c r="A59" s="427" t="s">
        <v>129</v>
      </c>
      <c r="B59" s="536" t="s">
        <v>130</v>
      </c>
      <c r="C59" s="195" t="s">
        <v>23</v>
      </c>
      <c r="D59" s="159" t="s">
        <v>23</v>
      </c>
      <c r="E59" s="411" t="s">
        <v>31</v>
      </c>
      <c r="F59" s="411" t="s">
        <v>31</v>
      </c>
      <c r="G59" s="411" t="s">
        <v>31</v>
      </c>
      <c r="H59" s="205" t="s">
        <v>125</v>
      </c>
      <c r="I59" s="159" t="s">
        <v>23</v>
      </c>
      <c r="J59" s="159" t="s">
        <v>23</v>
      </c>
      <c r="K59" s="206" t="s">
        <v>83</v>
      </c>
      <c r="L59" s="206" t="s">
        <v>83</v>
      </c>
      <c r="M59" s="206" t="s">
        <v>83</v>
      </c>
      <c r="N59" s="206" t="s">
        <v>83</v>
      </c>
      <c r="O59" s="159" t="s">
        <v>23</v>
      </c>
      <c r="P59" s="159" t="s">
        <v>23</v>
      </c>
      <c r="Q59" s="410" t="s">
        <v>103</v>
      </c>
      <c r="R59" s="410" t="s">
        <v>103</v>
      </c>
      <c r="S59" s="205" t="s">
        <v>125</v>
      </c>
      <c r="T59" s="205" t="s">
        <v>125</v>
      </c>
      <c r="U59" s="159" t="s">
        <v>23</v>
      </c>
      <c r="V59" s="159" t="s">
        <v>23</v>
      </c>
      <c r="W59" s="206" t="s">
        <v>83</v>
      </c>
      <c r="X59" s="206" t="s">
        <v>83</v>
      </c>
      <c r="Y59" s="206" t="s">
        <v>83</v>
      </c>
      <c r="Z59" s="206" t="s">
        <v>83</v>
      </c>
      <c r="AA59" s="159" t="s">
        <v>23</v>
      </c>
      <c r="AB59" s="159" t="s">
        <v>23</v>
      </c>
      <c r="AC59" s="205" t="s">
        <v>125</v>
      </c>
      <c r="AD59" s="205" t="s">
        <v>125</v>
      </c>
      <c r="AE59" s="205" t="s">
        <v>125</v>
      </c>
      <c r="AF59" s="205" t="s">
        <v>125</v>
      </c>
      <c r="AG59" s="196" t="s">
        <v>23</v>
      </c>
      <c r="AI59" s="21">
        <v>3</v>
      </c>
      <c r="AJ59" s="58">
        <f t="shared" si="18"/>
        <v>3</v>
      </c>
      <c r="AK59" s="59">
        <f t="shared" si="19"/>
        <v>0</v>
      </c>
      <c r="AL59" s="48"/>
      <c r="AM59" s="37">
        <v>22</v>
      </c>
      <c r="AN59" s="35">
        <f t="shared" si="20"/>
        <v>0</v>
      </c>
      <c r="AO59" s="38">
        <f t="shared" si="21"/>
        <v>22</v>
      </c>
    </row>
    <row r="60" spans="1:42" ht="18.95" customHeight="1">
      <c r="A60" s="427" t="s">
        <v>131</v>
      </c>
      <c r="B60" s="536" t="s">
        <v>132</v>
      </c>
      <c r="C60" s="431" t="s">
        <v>125</v>
      </c>
      <c r="D60" s="205" t="s">
        <v>125</v>
      </c>
      <c r="E60" s="159" t="s">
        <v>23</v>
      </c>
      <c r="F60" s="159" t="s">
        <v>23</v>
      </c>
      <c r="G60" s="411" t="s">
        <v>31</v>
      </c>
      <c r="H60" s="411" t="s">
        <v>31</v>
      </c>
      <c r="I60" s="411" t="s">
        <v>31</v>
      </c>
      <c r="J60" s="411" t="s">
        <v>31</v>
      </c>
      <c r="K60" s="159" t="s">
        <v>23</v>
      </c>
      <c r="L60" s="159" t="s">
        <v>23</v>
      </c>
      <c r="M60" s="205" t="s">
        <v>125</v>
      </c>
      <c r="N60" s="205" t="s">
        <v>125</v>
      </c>
      <c r="O60" s="205" t="s">
        <v>125</v>
      </c>
      <c r="P60" s="205" t="s">
        <v>125</v>
      </c>
      <c r="Q60" s="159" t="s">
        <v>23</v>
      </c>
      <c r="R60" s="159" t="s">
        <v>23</v>
      </c>
      <c r="S60" s="206" t="s">
        <v>83</v>
      </c>
      <c r="T60" s="206" t="s">
        <v>83</v>
      </c>
      <c r="U60" s="206" t="s">
        <v>83</v>
      </c>
      <c r="V60" s="206" t="s">
        <v>83</v>
      </c>
      <c r="W60" s="159" t="s">
        <v>23</v>
      </c>
      <c r="X60" s="159" t="s">
        <v>23</v>
      </c>
      <c r="Y60" s="205" t="s">
        <v>125</v>
      </c>
      <c r="Z60" s="205" t="s">
        <v>125</v>
      </c>
      <c r="AA60" s="205" t="s">
        <v>125</v>
      </c>
      <c r="AB60" s="205" t="s">
        <v>125</v>
      </c>
      <c r="AC60" s="159" t="s">
        <v>23</v>
      </c>
      <c r="AD60" s="159" t="s">
        <v>23</v>
      </c>
      <c r="AE60" s="206" t="s">
        <v>83</v>
      </c>
      <c r="AF60" s="206" t="s">
        <v>83</v>
      </c>
      <c r="AG60" s="518" t="s">
        <v>83</v>
      </c>
      <c r="AI60" s="21">
        <v>8</v>
      </c>
      <c r="AJ60" s="58">
        <f t="shared" si="18"/>
        <v>4</v>
      </c>
      <c r="AK60" s="59">
        <f t="shared" si="19"/>
        <v>4</v>
      </c>
      <c r="AL60" s="48"/>
      <c r="AM60" s="37">
        <v>22</v>
      </c>
      <c r="AN60" s="35">
        <f t="shared" si="20"/>
        <v>0</v>
      </c>
      <c r="AO60" s="38">
        <f t="shared" si="21"/>
        <v>22</v>
      </c>
    </row>
    <row r="61" spans="1:42" ht="18.95" customHeight="1">
      <c r="A61" s="427" t="s">
        <v>133</v>
      </c>
      <c r="B61" s="535" t="s">
        <v>134</v>
      </c>
      <c r="C61" s="195" t="s">
        <v>23</v>
      </c>
      <c r="D61" s="412" t="s">
        <v>39</v>
      </c>
      <c r="E61" s="413" t="s">
        <v>135</v>
      </c>
      <c r="F61" s="413" t="s">
        <v>135</v>
      </c>
      <c r="G61" s="413" t="s">
        <v>135</v>
      </c>
      <c r="H61" s="159" t="s">
        <v>23</v>
      </c>
      <c r="I61" s="159" t="s">
        <v>23</v>
      </c>
      <c r="J61" s="414" t="s">
        <v>136</v>
      </c>
      <c r="K61" s="414" t="s">
        <v>136</v>
      </c>
      <c r="L61" s="414" t="s">
        <v>136</v>
      </c>
      <c r="M61" s="414" t="s">
        <v>136</v>
      </c>
      <c r="N61" s="159" t="s">
        <v>23</v>
      </c>
      <c r="O61" s="159" t="s">
        <v>23</v>
      </c>
      <c r="P61" s="410" t="s">
        <v>103</v>
      </c>
      <c r="Q61" s="410" t="s">
        <v>103</v>
      </c>
      <c r="R61" s="410" t="s">
        <v>103</v>
      </c>
      <c r="S61" s="410" t="s">
        <v>103</v>
      </c>
      <c r="T61" s="159" t="s">
        <v>23</v>
      </c>
      <c r="U61" s="159" t="s">
        <v>23</v>
      </c>
      <c r="V61" s="414" t="s">
        <v>136</v>
      </c>
      <c r="W61" s="414" t="s">
        <v>136</v>
      </c>
      <c r="X61" s="414" t="s">
        <v>136</v>
      </c>
      <c r="Y61" s="415" t="s">
        <v>19</v>
      </c>
      <c r="Z61" s="159" t="s">
        <v>23</v>
      </c>
      <c r="AA61" s="159" t="s">
        <v>23</v>
      </c>
      <c r="AB61" s="413" t="s">
        <v>135</v>
      </c>
      <c r="AC61" s="413" t="s">
        <v>135</v>
      </c>
      <c r="AD61" s="413" t="s">
        <v>135</v>
      </c>
      <c r="AE61" s="413" t="s">
        <v>135</v>
      </c>
      <c r="AF61" s="159" t="s">
        <v>23</v>
      </c>
      <c r="AG61" s="196" t="s">
        <v>23</v>
      </c>
      <c r="AI61" s="21">
        <v>8</v>
      </c>
      <c r="AJ61" s="58">
        <f t="shared" si="18"/>
        <v>0</v>
      </c>
      <c r="AK61" s="59">
        <f t="shared" si="19"/>
        <v>8</v>
      </c>
      <c r="AL61" s="48"/>
      <c r="AM61" s="37">
        <v>22</v>
      </c>
      <c r="AN61" s="35">
        <f t="shared" si="20"/>
        <v>0</v>
      </c>
      <c r="AO61" s="38">
        <f t="shared" si="21"/>
        <v>22</v>
      </c>
    </row>
    <row r="62" spans="1:42" ht="18.95" customHeight="1">
      <c r="A62" s="427" t="s">
        <v>137</v>
      </c>
      <c r="B62" s="582" t="s">
        <v>138</v>
      </c>
      <c r="C62" s="432" t="s">
        <v>136</v>
      </c>
      <c r="D62" s="414" t="s">
        <v>136</v>
      </c>
      <c r="E62" s="414" t="s">
        <v>136</v>
      </c>
      <c r="F62" s="159" t="s">
        <v>23</v>
      </c>
      <c r="G62" s="159" t="s">
        <v>23</v>
      </c>
      <c r="H62" s="413" t="s">
        <v>135</v>
      </c>
      <c r="I62" s="413" t="s">
        <v>135</v>
      </c>
      <c r="J62" s="413" t="s">
        <v>135</v>
      </c>
      <c r="K62" s="413" t="s">
        <v>135</v>
      </c>
      <c r="L62" s="159" t="s">
        <v>23</v>
      </c>
      <c r="M62" s="159" t="s">
        <v>23</v>
      </c>
      <c r="N62" s="414" t="s">
        <v>136</v>
      </c>
      <c r="O62" s="414" t="s">
        <v>136</v>
      </c>
      <c r="P62" s="414" t="s">
        <v>136</v>
      </c>
      <c r="Q62" s="414" t="s">
        <v>136</v>
      </c>
      <c r="R62" s="159" t="s">
        <v>23</v>
      </c>
      <c r="S62" s="159" t="s">
        <v>23</v>
      </c>
      <c r="T62" s="410" t="s">
        <v>139</v>
      </c>
      <c r="U62" s="410" t="s">
        <v>103</v>
      </c>
      <c r="V62" s="410" t="s">
        <v>103</v>
      </c>
      <c r="W62" s="410" t="s">
        <v>103</v>
      </c>
      <c r="X62" s="159" t="s">
        <v>23</v>
      </c>
      <c r="Y62" s="159" t="s">
        <v>23</v>
      </c>
      <c r="Z62" s="414" t="s">
        <v>136</v>
      </c>
      <c r="AA62" s="414" t="s">
        <v>136</v>
      </c>
      <c r="AB62" s="414" t="s">
        <v>136</v>
      </c>
      <c r="AC62" s="414" t="s">
        <v>136</v>
      </c>
      <c r="AD62" s="159" t="s">
        <v>23</v>
      </c>
      <c r="AE62" s="159" t="s">
        <v>23</v>
      </c>
      <c r="AF62" s="413" t="s">
        <v>135</v>
      </c>
      <c r="AG62" s="519" t="s">
        <v>135</v>
      </c>
      <c r="AI62" s="21">
        <v>10</v>
      </c>
      <c r="AJ62" s="58">
        <f t="shared" si="18"/>
        <v>0</v>
      </c>
      <c r="AK62" s="59">
        <f t="shared" si="19"/>
        <v>10</v>
      </c>
      <c r="AL62" s="48"/>
      <c r="AM62" s="37">
        <v>22</v>
      </c>
      <c r="AN62" s="35">
        <f t="shared" si="20"/>
        <v>0</v>
      </c>
      <c r="AO62" s="38">
        <f t="shared" si="21"/>
        <v>22</v>
      </c>
    </row>
    <row r="63" spans="1:42" ht="18.95" customHeight="1" thickBot="1">
      <c r="A63" s="549" t="s">
        <v>140</v>
      </c>
      <c r="B63" s="550" t="s">
        <v>141</v>
      </c>
      <c r="C63" s="520" t="s">
        <v>30</v>
      </c>
      <c r="D63" s="521" t="s">
        <v>23</v>
      </c>
      <c r="E63" s="521" t="s">
        <v>23</v>
      </c>
      <c r="F63" s="522" t="s">
        <v>31</v>
      </c>
      <c r="G63" s="522" t="s">
        <v>31</v>
      </c>
      <c r="H63" s="522" t="s">
        <v>31</v>
      </c>
      <c r="I63" s="522" t="s">
        <v>31</v>
      </c>
      <c r="J63" s="521" t="s">
        <v>23</v>
      </c>
      <c r="K63" s="521" t="s">
        <v>23</v>
      </c>
      <c r="L63" s="522" t="s">
        <v>31</v>
      </c>
      <c r="M63" s="522" t="s">
        <v>31</v>
      </c>
      <c r="N63" s="522" t="s">
        <v>31</v>
      </c>
      <c r="O63" s="523" t="s">
        <v>135</v>
      </c>
      <c r="P63" s="521" t="s">
        <v>23</v>
      </c>
      <c r="Q63" s="521" t="s">
        <v>23</v>
      </c>
      <c r="R63" s="524" t="s">
        <v>136</v>
      </c>
      <c r="S63" s="524" t="s">
        <v>136</v>
      </c>
      <c r="T63" s="524" t="s">
        <v>136</v>
      </c>
      <c r="U63" s="524" t="s">
        <v>136</v>
      </c>
      <c r="V63" s="521" t="s">
        <v>23</v>
      </c>
      <c r="W63" s="521" t="s">
        <v>23</v>
      </c>
      <c r="X63" s="523" t="s">
        <v>135</v>
      </c>
      <c r="Y63" s="523" t="s">
        <v>135</v>
      </c>
      <c r="Z63" s="523" t="s">
        <v>135</v>
      </c>
      <c r="AA63" s="523" t="s">
        <v>135</v>
      </c>
      <c r="AB63" s="521" t="s">
        <v>23</v>
      </c>
      <c r="AC63" s="521" t="s">
        <v>23</v>
      </c>
      <c r="AD63" s="524" t="s">
        <v>136</v>
      </c>
      <c r="AE63" s="524" t="s">
        <v>136</v>
      </c>
      <c r="AF63" s="524" t="s">
        <v>136</v>
      </c>
      <c r="AG63" s="525" t="s">
        <v>136</v>
      </c>
      <c r="AI63" s="22">
        <v>9</v>
      </c>
      <c r="AJ63" s="60">
        <f t="shared" si="18"/>
        <v>7</v>
      </c>
      <c r="AK63" s="61">
        <f t="shared" si="19"/>
        <v>2</v>
      </c>
      <c r="AL63" s="48"/>
      <c r="AM63" s="46">
        <v>22</v>
      </c>
      <c r="AN63" s="16">
        <f t="shared" si="20"/>
        <v>0</v>
      </c>
      <c r="AO63" s="52">
        <f t="shared" si="21"/>
        <v>22</v>
      </c>
    </row>
    <row r="64" spans="1:42" ht="15.75" thickBot="1">
      <c r="A64" s="1"/>
      <c r="B64" s="1"/>
    </row>
    <row r="65" spans="1:41" ht="17.100000000000001" customHeight="1">
      <c r="A65" s="526" t="s">
        <v>125</v>
      </c>
      <c r="B65" s="527"/>
      <c r="C65" s="56">
        <f>COUNTIF(C48:C49,$A65)+COUNTIF(C58:C63,$A65)</f>
        <v>1</v>
      </c>
      <c r="D65" s="56">
        <f t="shared" ref="D65:AG65" si="22">COUNTIF(D48:D49,$A65)+COUNTIF(D58:D63,$A65)</f>
        <v>1</v>
      </c>
      <c r="E65" s="56">
        <f t="shared" si="22"/>
        <v>1</v>
      </c>
      <c r="F65" s="56">
        <f t="shared" si="22"/>
        <v>1</v>
      </c>
      <c r="G65" s="56">
        <f t="shared" si="22"/>
        <v>1</v>
      </c>
      <c r="H65" s="56">
        <f t="shared" si="22"/>
        <v>2</v>
      </c>
      <c r="I65" s="56">
        <f t="shared" si="22"/>
        <v>1</v>
      </c>
      <c r="J65" s="56">
        <f t="shared" si="22"/>
        <v>1</v>
      </c>
      <c r="K65" s="56">
        <f t="shared" si="22"/>
        <v>1</v>
      </c>
      <c r="L65" s="56">
        <f t="shared" si="22"/>
        <v>1</v>
      </c>
      <c r="M65" s="56">
        <f t="shared" si="22"/>
        <v>1</v>
      </c>
      <c r="N65" s="56">
        <f t="shared" si="22"/>
        <v>1</v>
      </c>
      <c r="O65" s="56">
        <f t="shared" si="22"/>
        <v>1</v>
      </c>
      <c r="P65" s="56">
        <f t="shared" si="22"/>
        <v>1</v>
      </c>
      <c r="Q65" s="56">
        <f t="shared" si="22"/>
        <v>0</v>
      </c>
      <c r="R65" s="56">
        <f t="shared" si="22"/>
        <v>0</v>
      </c>
      <c r="S65" s="56">
        <f t="shared" si="22"/>
        <v>1</v>
      </c>
      <c r="T65" s="56">
        <f t="shared" si="22"/>
        <v>1</v>
      </c>
      <c r="U65" s="56">
        <f t="shared" si="22"/>
        <v>0</v>
      </c>
      <c r="V65" s="56">
        <f t="shared" si="22"/>
        <v>0</v>
      </c>
      <c r="W65" s="56">
        <f t="shared" si="22"/>
        <v>0</v>
      </c>
      <c r="X65" s="56">
        <f t="shared" si="22"/>
        <v>1</v>
      </c>
      <c r="Y65" s="56">
        <f t="shared" si="22"/>
        <v>1</v>
      </c>
      <c r="Z65" s="56">
        <f t="shared" si="22"/>
        <v>1</v>
      </c>
      <c r="AA65" s="56">
        <f t="shared" si="22"/>
        <v>1</v>
      </c>
      <c r="AB65" s="56">
        <f t="shared" si="22"/>
        <v>1</v>
      </c>
      <c r="AC65" s="56">
        <f t="shared" si="22"/>
        <v>1</v>
      </c>
      <c r="AD65" s="56">
        <f t="shared" si="22"/>
        <v>1</v>
      </c>
      <c r="AE65" s="56">
        <f t="shared" si="22"/>
        <v>1</v>
      </c>
      <c r="AF65" s="56">
        <f t="shared" si="22"/>
        <v>1</v>
      </c>
      <c r="AG65" s="57">
        <f t="shared" si="22"/>
        <v>1</v>
      </c>
    </row>
    <row r="66" spans="1:41" ht="17.100000000000001" customHeight="1">
      <c r="A66" s="528" t="s">
        <v>142</v>
      </c>
      <c r="B66" s="529"/>
      <c r="C66" s="35">
        <f>COUNTIF(C58:C63,"P04/")+COUNTIF(C58:C63,"H04/")</f>
        <v>0</v>
      </c>
      <c r="D66" s="35">
        <f t="shared" ref="D66:AG66" si="23">COUNTIF(D58:D63,"P04/")+COUNTIF(D58:D63,"H04/")</f>
        <v>0</v>
      </c>
      <c r="E66" s="35">
        <f t="shared" si="23"/>
        <v>1</v>
      </c>
      <c r="F66" s="35">
        <f t="shared" si="23"/>
        <v>1</v>
      </c>
      <c r="G66" s="35">
        <f t="shared" si="23"/>
        <v>1</v>
      </c>
      <c r="H66" s="35">
        <f t="shared" si="23"/>
        <v>1</v>
      </c>
      <c r="I66" s="35">
        <f t="shared" si="23"/>
        <v>1</v>
      </c>
      <c r="J66" s="35">
        <f t="shared" si="23"/>
        <v>1</v>
      </c>
      <c r="K66" s="35">
        <f t="shared" si="23"/>
        <v>1</v>
      </c>
      <c r="L66" s="35">
        <f t="shared" si="23"/>
        <v>0</v>
      </c>
      <c r="M66" s="35">
        <f t="shared" si="23"/>
        <v>0</v>
      </c>
      <c r="N66" s="35">
        <f t="shared" si="23"/>
        <v>0</v>
      </c>
      <c r="O66" s="35">
        <f t="shared" si="23"/>
        <v>1</v>
      </c>
      <c r="P66" s="35">
        <f t="shared" si="23"/>
        <v>0</v>
      </c>
      <c r="Q66" s="35">
        <f t="shared" si="23"/>
        <v>0</v>
      </c>
      <c r="R66" s="35">
        <f t="shared" si="23"/>
        <v>0</v>
      </c>
      <c r="S66" s="35">
        <f t="shared" si="23"/>
        <v>0</v>
      </c>
      <c r="T66" s="35">
        <f t="shared" si="23"/>
        <v>1</v>
      </c>
      <c r="U66" s="35">
        <f t="shared" si="23"/>
        <v>0</v>
      </c>
      <c r="V66" s="35">
        <f t="shared" si="23"/>
        <v>0</v>
      </c>
      <c r="W66" s="35">
        <f t="shared" si="23"/>
        <v>0</v>
      </c>
      <c r="X66" s="35">
        <f t="shared" si="23"/>
        <v>1</v>
      </c>
      <c r="Y66" s="35">
        <f t="shared" si="23"/>
        <v>1</v>
      </c>
      <c r="Z66" s="35">
        <f t="shared" si="23"/>
        <v>1</v>
      </c>
      <c r="AA66" s="35">
        <f t="shared" si="23"/>
        <v>1</v>
      </c>
      <c r="AB66" s="35">
        <f t="shared" si="23"/>
        <v>1</v>
      </c>
      <c r="AC66" s="35">
        <f t="shared" si="23"/>
        <v>1</v>
      </c>
      <c r="AD66" s="35">
        <f t="shared" si="23"/>
        <v>1</v>
      </c>
      <c r="AE66" s="35">
        <f t="shared" si="23"/>
        <v>1</v>
      </c>
      <c r="AF66" s="35">
        <f t="shared" si="23"/>
        <v>1</v>
      </c>
      <c r="AG66" s="38">
        <f t="shared" si="23"/>
        <v>1</v>
      </c>
    </row>
    <row r="67" spans="1:41" ht="17.100000000000001" customHeight="1">
      <c r="A67" s="530" t="s">
        <v>136</v>
      </c>
      <c r="B67" s="531"/>
      <c r="C67" s="35">
        <f>COUNTIF(C58:C63,$A67)</f>
        <v>1</v>
      </c>
      <c r="D67" s="35">
        <f t="shared" ref="D67:AG67" si="24">COUNTIF(D58:D63,$A67)</f>
        <v>1</v>
      </c>
      <c r="E67" s="35">
        <f t="shared" si="24"/>
        <v>1</v>
      </c>
      <c r="F67" s="35">
        <f t="shared" si="24"/>
        <v>0</v>
      </c>
      <c r="G67" s="35">
        <f t="shared" si="24"/>
        <v>0</v>
      </c>
      <c r="H67" s="35">
        <f t="shared" si="24"/>
        <v>0</v>
      </c>
      <c r="I67" s="35">
        <f t="shared" si="24"/>
        <v>0</v>
      </c>
      <c r="J67" s="35">
        <f t="shared" si="24"/>
        <v>1</v>
      </c>
      <c r="K67" s="35">
        <f t="shared" si="24"/>
        <v>1</v>
      </c>
      <c r="L67" s="35">
        <f t="shared" si="24"/>
        <v>1</v>
      </c>
      <c r="M67" s="35">
        <f t="shared" si="24"/>
        <v>1</v>
      </c>
      <c r="N67" s="35">
        <f t="shared" si="24"/>
        <v>1</v>
      </c>
      <c r="O67" s="35">
        <f t="shared" si="24"/>
        <v>1</v>
      </c>
      <c r="P67" s="35">
        <f t="shared" si="24"/>
        <v>1</v>
      </c>
      <c r="Q67" s="35">
        <f t="shared" si="24"/>
        <v>1</v>
      </c>
      <c r="R67" s="35">
        <f t="shared" si="24"/>
        <v>1</v>
      </c>
      <c r="S67" s="35">
        <f t="shared" si="24"/>
        <v>1</v>
      </c>
      <c r="T67" s="35">
        <f t="shared" si="24"/>
        <v>1</v>
      </c>
      <c r="U67" s="35">
        <f t="shared" si="24"/>
        <v>1</v>
      </c>
      <c r="V67" s="35">
        <f t="shared" si="24"/>
        <v>1</v>
      </c>
      <c r="W67" s="35">
        <f t="shared" si="24"/>
        <v>1</v>
      </c>
      <c r="X67" s="35">
        <f t="shared" si="24"/>
        <v>1</v>
      </c>
      <c r="Y67" s="35">
        <f t="shared" si="24"/>
        <v>0</v>
      </c>
      <c r="Z67" s="35">
        <f t="shared" si="24"/>
        <v>1</v>
      </c>
      <c r="AA67" s="35">
        <f t="shared" si="24"/>
        <v>1</v>
      </c>
      <c r="AB67" s="35">
        <f t="shared" si="24"/>
        <v>1</v>
      </c>
      <c r="AC67" s="35">
        <f t="shared" si="24"/>
        <v>1</v>
      </c>
      <c r="AD67" s="35">
        <f t="shared" si="24"/>
        <v>1</v>
      </c>
      <c r="AE67" s="35">
        <f t="shared" si="24"/>
        <v>1</v>
      </c>
      <c r="AF67" s="35">
        <f t="shared" si="24"/>
        <v>1</v>
      </c>
      <c r="AG67" s="38">
        <f t="shared" si="24"/>
        <v>1</v>
      </c>
    </row>
    <row r="68" spans="1:41" ht="17.100000000000001" customHeight="1" thickBot="1">
      <c r="A68" s="532" t="s">
        <v>83</v>
      </c>
      <c r="B68" s="533"/>
      <c r="C68" s="16">
        <f>COUNTIF(C48:C49,$A68)+COUNTIF(C58:C63,$A68)</f>
        <v>1</v>
      </c>
      <c r="D68" s="16">
        <f t="shared" ref="D68:AG68" si="25">COUNTIF(D48:D49,$A68)+COUNTIF(D58:D63,$A68)</f>
        <v>1</v>
      </c>
      <c r="E68" s="16">
        <f t="shared" si="25"/>
        <v>1</v>
      </c>
      <c r="F68" s="16">
        <f t="shared" si="25"/>
        <v>1</v>
      </c>
      <c r="G68" s="16">
        <f t="shared" si="25"/>
        <v>0</v>
      </c>
      <c r="H68" s="16">
        <f t="shared" si="25"/>
        <v>0</v>
      </c>
      <c r="I68" s="16">
        <f t="shared" si="25"/>
        <v>0</v>
      </c>
      <c r="J68" s="16">
        <f t="shared" si="25"/>
        <v>0</v>
      </c>
      <c r="K68" s="16">
        <f t="shared" si="25"/>
        <v>1</v>
      </c>
      <c r="L68" s="16">
        <f t="shared" si="25"/>
        <v>1</v>
      </c>
      <c r="M68" s="16">
        <f t="shared" si="25"/>
        <v>1</v>
      </c>
      <c r="N68" s="16">
        <f t="shared" si="25"/>
        <v>1</v>
      </c>
      <c r="O68" s="16">
        <f t="shared" si="25"/>
        <v>1</v>
      </c>
      <c r="P68" s="16">
        <f t="shared" si="25"/>
        <v>1</v>
      </c>
      <c r="Q68" s="16">
        <f t="shared" si="25"/>
        <v>1</v>
      </c>
      <c r="R68" s="16">
        <f t="shared" si="25"/>
        <v>1</v>
      </c>
      <c r="S68" s="16">
        <f t="shared" si="25"/>
        <v>1</v>
      </c>
      <c r="T68" s="16">
        <f t="shared" si="25"/>
        <v>1</v>
      </c>
      <c r="U68" s="16">
        <f t="shared" si="25"/>
        <v>1</v>
      </c>
      <c r="V68" s="16">
        <f t="shared" si="25"/>
        <v>1</v>
      </c>
      <c r="W68" s="16">
        <f t="shared" si="25"/>
        <v>1</v>
      </c>
      <c r="X68" s="16">
        <f t="shared" si="25"/>
        <v>1</v>
      </c>
      <c r="Y68" s="16">
        <f t="shared" si="25"/>
        <v>1</v>
      </c>
      <c r="Z68" s="16">
        <f t="shared" si="25"/>
        <v>1</v>
      </c>
      <c r="AA68" s="16">
        <f t="shared" si="25"/>
        <v>1</v>
      </c>
      <c r="AB68" s="16">
        <f t="shared" si="25"/>
        <v>1</v>
      </c>
      <c r="AC68" s="16">
        <f t="shared" si="25"/>
        <v>1</v>
      </c>
      <c r="AD68" s="16">
        <f t="shared" si="25"/>
        <v>1</v>
      </c>
      <c r="AE68" s="16">
        <f t="shared" si="25"/>
        <v>1</v>
      </c>
      <c r="AF68" s="16">
        <f t="shared" si="25"/>
        <v>1</v>
      </c>
      <c r="AG68" s="52">
        <f t="shared" si="25"/>
        <v>1</v>
      </c>
    </row>
    <row r="71" spans="1:41">
      <c r="B71" s="922"/>
      <c r="C71" s="922"/>
      <c r="D71" s="922"/>
      <c r="E71" s="922"/>
      <c r="F71" s="922"/>
      <c r="G71" s="922"/>
      <c r="H71" s="922"/>
      <c r="I71" s="922"/>
      <c r="J71" s="922"/>
      <c r="K71" s="922"/>
      <c r="L71" s="922"/>
      <c r="M71" s="922"/>
      <c r="N71" s="922"/>
      <c r="O71" s="922"/>
      <c r="P71" s="922"/>
      <c r="Q71" s="922"/>
      <c r="R71" s="922"/>
      <c r="S71" s="922"/>
      <c r="T71" s="922"/>
      <c r="U71" s="922"/>
      <c r="V71" s="922"/>
      <c r="W71" s="922"/>
      <c r="X71" s="922"/>
      <c r="Y71" s="922"/>
      <c r="Z71" s="922"/>
      <c r="AA71" s="922"/>
      <c r="AB71" s="922"/>
      <c r="AC71" s="922"/>
      <c r="AD71" s="922"/>
      <c r="AE71" s="922"/>
      <c r="AF71" s="922"/>
      <c r="AG71" s="922"/>
      <c r="AH71" s="922"/>
      <c r="AI71" s="922"/>
      <c r="AJ71" s="922"/>
      <c r="AK71" s="922"/>
      <c r="AL71" s="922"/>
      <c r="AM71" s="922"/>
      <c r="AN71" s="922"/>
      <c r="AO71" s="922"/>
    </row>
  </sheetData>
  <mergeCells count="8">
    <mergeCell ref="AI2:AK2"/>
    <mergeCell ref="AM2:AO2"/>
    <mergeCell ref="AN3:AN4"/>
    <mergeCell ref="AO3:AO4"/>
    <mergeCell ref="AI3:AI4"/>
    <mergeCell ref="AJ3:AJ4"/>
    <mergeCell ref="AK3:AK4"/>
    <mergeCell ref="AM3:AM4"/>
  </mergeCells>
  <conditionalFormatting sqref="AK5:AK49">
    <cfRule type="cellIs" dxfId="46" priority="2" operator="equal">
      <formula>0</formula>
    </cfRule>
  </conditionalFormatting>
  <conditionalFormatting sqref="AK58:AK63">
    <cfRule type="cellIs" dxfId="45" priority="1" operator="equal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8AE1-E68E-4B72-8704-29CB6021D2D2}">
  <dimension ref="A1:AL71"/>
  <sheetViews>
    <sheetView showGridLines="0" zoomScale="70" zoomScaleNormal="70" workbookViewId="0">
      <pane xSplit="2" ySplit="4" topLeftCell="AC22" activePane="bottomRight" state="frozen"/>
      <selection pane="bottomRight" activeCell="C5" sqref="C5"/>
      <selection pane="bottomLeft" activeCell="C5" sqref="C5"/>
      <selection pane="topRight" activeCell="C5" sqref="C5"/>
    </sheetView>
  </sheetViews>
  <sheetFormatPr defaultColWidth="9.140625" defaultRowHeight="15"/>
  <cols>
    <col min="1" max="2" width="42.5703125" customWidth="1"/>
  </cols>
  <sheetData>
    <row r="1" spans="1:38" ht="20.100000000000001" customHeight="1" thickBot="1">
      <c r="A1" s="940" t="s">
        <v>0</v>
      </c>
      <c r="B1" s="584" t="s">
        <v>0</v>
      </c>
      <c r="C1" s="585" t="s">
        <v>1</v>
      </c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6"/>
      <c r="U1" s="586"/>
      <c r="V1" s="586"/>
      <c r="W1" s="586"/>
      <c r="X1" s="586"/>
      <c r="Y1" s="586"/>
      <c r="Z1" s="586"/>
      <c r="AA1" s="586"/>
      <c r="AB1" s="586"/>
      <c r="AC1" s="586"/>
      <c r="AD1" s="587"/>
    </row>
    <row r="2" spans="1:38" ht="30" customHeight="1" thickBot="1">
      <c r="A2" s="588" t="s">
        <v>2</v>
      </c>
      <c r="B2" s="552"/>
      <c r="C2" s="575" t="s">
        <v>143</v>
      </c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89"/>
      <c r="AF2" s="618" t="s">
        <v>4</v>
      </c>
      <c r="AG2" s="619"/>
      <c r="AH2" s="620"/>
      <c r="AI2" s="1"/>
      <c r="AJ2" s="618" t="s">
        <v>5</v>
      </c>
      <c r="AK2" s="619"/>
      <c r="AL2" s="620"/>
    </row>
    <row r="3" spans="1:38" ht="24.95" customHeight="1" thickBot="1">
      <c r="A3" s="590" t="s">
        <v>0</v>
      </c>
      <c r="B3" s="464" t="s">
        <v>0</v>
      </c>
      <c r="C3" s="628" t="s">
        <v>9</v>
      </c>
      <c r="D3" s="628" t="s">
        <v>10</v>
      </c>
      <c r="E3" s="629" t="s">
        <v>11</v>
      </c>
      <c r="F3" s="629" t="s">
        <v>12</v>
      </c>
      <c r="G3" s="629" t="s">
        <v>6</v>
      </c>
      <c r="H3" s="629" t="s">
        <v>7</v>
      </c>
      <c r="I3" s="629" t="s">
        <v>8</v>
      </c>
      <c r="J3" s="628" t="s">
        <v>9</v>
      </c>
      <c r="K3" s="628" t="s">
        <v>10</v>
      </c>
      <c r="L3" s="629" t="s">
        <v>11</v>
      </c>
      <c r="M3" s="629" t="s">
        <v>12</v>
      </c>
      <c r="N3" s="629" t="s">
        <v>6</v>
      </c>
      <c r="O3" s="629" t="s">
        <v>7</v>
      </c>
      <c r="P3" s="629" t="s">
        <v>8</v>
      </c>
      <c r="Q3" s="628" t="s">
        <v>9</v>
      </c>
      <c r="R3" s="628" t="s">
        <v>10</v>
      </c>
      <c r="S3" s="629" t="s">
        <v>11</v>
      </c>
      <c r="T3" s="629" t="s">
        <v>12</v>
      </c>
      <c r="U3" s="629" t="s">
        <v>6</v>
      </c>
      <c r="V3" s="629" t="s">
        <v>7</v>
      </c>
      <c r="W3" s="629" t="s">
        <v>8</v>
      </c>
      <c r="X3" s="628" t="s">
        <v>9</v>
      </c>
      <c r="Y3" s="628" t="s">
        <v>10</v>
      </c>
      <c r="Z3" s="629" t="s">
        <v>11</v>
      </c>
      <c r="AA3" s="629" t="s">
        <v>12</v>
      </c>
      <c r="AB3" s="569" t="s">
        <v>6</v>
      </c>
      <c r="AC3" s="569" t="s">
        <v>7</v>
      </c>
      <c r="AD3" s="570" t="s">
        <v>8</v>
      </c>
      <c r="AF3" s="1393">
        <v>2024</v>
      </c>
      <c r="AG3" s="1395" t="s">
        <v>13</v>
      </c>
      <c r="AH3" s="1391" t="s">
        <v>14</v>
      </c>
      <c r="AI3" s="1"/>
      <c r="AJ3" s="1393">
        <v>2025</v>
      </c>
      <c r="AK3" s="1389" t="s">
        <v>13</v>
      </c>
      <c r="AL3" s="1391" t="s">
        <v>14</v>
      </c>
    </row>
    <row r="4" spans="1:38" ht="24.95" customHeight="1" thickBot="1">
      <c r="A4" s="591" t="s">
        <v>15</v>
      </c>
      <c r="B4" s="466" t="s">
        <v>16</v>
      </c>
      <c r="C4" s="628">
        <v>1</v>
      </c>
      <c r="D4" s="628">
        <v>2</v>
      </c>
      <c r="E4" s="630">
        <v>3</v>
      </c>
      <c r="F4" s="630">
        <v>4</v>
      </c>
      <c r="G4" s="630">
        <v>5</v>
      </c>
      <c r="H4" s="630">
        <v>6</v>
      </c>
      <c r="I4" s="630">
        <v>7</v>
      </c>
      <c r="J4" s="628">
        <v>8</v>
      </c>
      <c r="K4" s="628">
        <v>9</v>
      </c>
      <c r="L4" s="630">
        <v>10</v>
      </c>
      <c r="M4" s="630">
        <v>11</v>
      </c>
      <c r="N4" s="630">
        <v>12</v>
      </c>
      <c r="O4" s="630">
        <v>13</v>
      </c>
      <c r="P4" s="630">
        <v>14</v>
      </c>
      <c r="Q4" s="628">
        <v>15</v>
      </c>
      <c r="R4" s="628">
        <v>16</v>
      </c>
      <c r="S4" s="630">
        <v>17</v>
      </c>
      <c r="T4" s="630">
        <v>18</v>
      </c>
      <c r="U4" s="630">
        <v>19</v>
      </c>
      <c r="V4" s="630">
        <v>20</v>
      </c>
      <c r="W4" s="630">
        <v>21</v>
      </c>
      <c r="X4" s="628">
        <v>22</v>
      </c>
      <c r="Y4" s="628">
        <v>23</v>
      </c>
      <c r="Z4" s="630">
        <v>24</v>
      </c>
      <c r="AA4" s="630">
        <v>25</v>
      </c>
      <c r="AB4" s="40">
        <v>26</v>
      </c>
      <c r="AC4" s="40">
        <v>27</v>
      </c>
      <c r="AD4" s="41">
        <v>28</v>
      </c>
      <c r="AF4" s="1393"/>
      <c r="AG4" s="1395"/>
      <c r="AH4" s="1391"/>
      <c r="AI4" s="1"/>
      <c r="AJ4" s="1393"/>
      <c r="AK4" s="1389"/>
      <c r="AL4" s="1391"/>
    </row>
    <row r="5" spans="1:38" ht="18.95" customHeight="1">
      <c r="A5" s="780" t="s">
        <v>17</v>
      </c>
      <c r="B5" s="717" t="s">
        <v>18</v>
      </c>
      <c r="C5" s="158" t="s">
        <v>19</v>
      </c>
      <c r="D5" s="158" t="s">
        <v>19</v>
      </c>
      <c r="E5" s="158" t="s">
        <v>19</v>
      </c>
      <c r="F5" s="158" t="s">
        <v>19</v>
      </c>
      <c r="G5" s="158" t="s">
        <v>19</v>
      </c>
      <c r="H5" s="158" t="s">
        <v>19</v>
      </c>
      <c r="I5" s="158" t="s">
        <v>19</v>
      </c>
      <c r="J5" s="158" t="s">
        <v>19</v>
      </c>
      <c r="K5" s="158" t="s">
        <v>19</v>
      </c>
      <c r="L5" s="158" t="s">
        <v>19</v>
      </c>
      <c r="M5" s="158" t="s">
        <v>19</v>
      </c>
      <c r="N5" s="158" t="s">
        <v>19</v>
      </c>
      <c r="O5" s="158" t="s">
        <v>19</v>
      </c>
      <c r="P5" s="158" t="s">
        <v>19</v>
      </c>
      <c r="Q5" s="158" t="s">
        <v>19</v>
      </c>
      <c r="R5" s="158" t="s">
        <v>19</v>
      </c>
      <c r="S5" s="158" t="s">
        <v>19</v>
      </c>
      <c r="T5" s="158" t="s">
        <v>19</v>
      </c>
      <c r="U5" s="158" t="s">
        <v>19</v>
      </c>
      <c r="V5" s="158" t="s">
        <v>19</v>
      </c>
      <c r="W5" s="158" t="s">
        <v>19</v>
      </c>
      <c r="X5" s="158" t="s">
        <v>19</v>
      </c>
      <c r="Y5" s="158" t="s">
        <v>19</v>
      </c>
      <c r="Z5" s="158" t="s">
        <v>19</v>
      </c>
      <c r="AA5" s="158" t="s">
        <v>19</v>
      </c>
      <c r="AB5" s="158" t="s">
        <v>19</v>
      </c>
      <c r="AC5" s="158" t="s">
        <v>19</v>
      </c>
      <c r="AD5" s="136" t="s">
        <v>19</v>
      </c>
      <c r="AF5" s="43">
        <f>VLOOKUP(B5,'JAN25'!$B:$AO,36,0)</f>
        <v>3</v>
      </c>
      <c r="AG5" s="127">
        <f>COUNTIF(C5:AD5,"UA")</f>
        <v>0</v>
      </c>
      <c r="AH5" s="17">
        <f>AF5-AG5</f>
        <v>3</v>
      </c>
      <c r="AI5" s="130"/>
      <c r="AJ5" s="4">
        <f>VLOOKUP(B5,'JAN25'!$B:$AO,40,0)</f>
        <v>22</v>
      </c>
      <c r="AK5" s="56">
        <f>COUNTIF(C5:AD5,"u")</f>
        <v>0</v>
      </c>
      <c r="AL5" s="57">
        <f>AJ5-AK5</f>
        <v>22</v>
      </c>
    </row>
    <row r="6" spans="1:38" ht="18.95" customHeight="1">
      <c r="A6" s="780" t="s">
        <v>20</v>
      </c>
      <c r="B6" s="717" t="s">
        <v>21</v>
      </c>
      <c r="C6" s="562" t="s">
        <v>23</v>
      </c>
      <c r="D6" s="6" t="s">
        <v>22</v>
      </c>
      <c r="E6" s="6" t="s">
        <v>22</v>
      </c>
      <c r="F6" s="6" t="s">
        <v>22</v>
      </c>
      <c r="G6" s="6" t="s">
        <v>22</v>
      </c>
      <c r="H6" s="6" t="s">
        <v>22</v>
      </c>
      <c r="I6" s="562" t="s">
        <v>23</v>
      </c>
      <c r="J6" s="562" t="s">
        <v>23</v>
      </c>
      <c r="K6" s="28" t="s">
        <v>24</v>
      </c>
      <c r="L6" s="28" t="s">
        <v>24</v>
      </c>
      <c r="M6" s="10" t="s">
        <v>83</v>
      </c>
      <c r="N6" s="563" t="s">
        <v>144</v>
      </c>
      <c r="O6" s="562" t="s">
        <v>23</v>
      </c>
      <c r="P6" s="562" t="s">
        <v>23</v>
      </c>
      <c r="Q6" s="560" t="s">
        <v>42</v>
      </c>
      <c r="R6" s="560" t="s">
        <v>145</v>
      </c>
      <c r="S6" s="560" t="s">
        <v>42</v>
      </c>
      <c r="T6" s="560" t="s">
        <v>42</v>
      </c>
      <c r="U6" s="562" t="s">
        <v>23</v>
      </c>
      <c r="V6" s="562" t="s">
        <v>23</v>
      </c>
      <c r="W6" s="28" t="s">
        <v>24</v>
      </c>
      <c r="X6" s="28" t="s">
        <v>24</v>
      </c>
      <c r="Y6" s="28" t="s">
        <v>24</v>
      </c>
      <c r="Z6" s="10" t="s">
        <v>146</v>
      </c>
      <c r="AA6" s="562" t="s">
        <v>23</v>
      </c>
      <c r="AB6" s="562" t="s">
        <v>23</v>
      </c>
      <c r="AC6" s="6" t="s">
        <v>22</v>
      </c>
      <c r="AD6" s="9" t="s">
        <v>22</v>
      </c>
      <c r="AF6" s="62">
        <f>VLOOKUP(B6,'JAN25'!$B:$AO,36,0)</f>
        <v>0</v>
      </c>
      <c r="AG6" s="49">
        <f>COUNTIF(C6:AD6,"UA")</f>
        <v>0</v>
      </c>
      <c r="AH6" s="18">
        <f>AF6-AG6</f>
        <v>0</v>
      </c>
      <c r="AI6" s="66"/>
      <c r="AJ6" s="37">
        <f>VLOOKUP(B6,'JAN25'!$B:$AO,40,0)</f>
        <v>19</v>
      </c>
      <c r="AK6" s="49">
        <f>COUNTIF(C6:AD6,"u")</f>
        <v>0</v>
      </c>
      <c r="AL6" s="50">
        <f>AJ6-AK6</f>
        <v>19</v>
      </c>
    </row>
    <row r="7" spans="1:38" ht="18.95" customHeight="1">
      <c r="A7" s="568" t="s">
        <v>26</v>
      </c>
      <c r="B7" s="633" t="s">
        <v>27</v>
      </c>
      <c r="C7" s="6" t="s">
        <v>22</v>
      </c>
      <c r="D7" s="6" t="s">
        <v>22</v>
      </c>
      <c r="E7" s="29" t="s">
        <v>23</v>
      </c>
      <c r="F7" s="29" t="s">
        <v>23</v>
      </c>
      <c r="G7" s="111" t="s">
        <v>24</v>
      </c>
      <c r="H7" s="111" t="s">
        <v>24</v>
      </c>
      <c r="I7" s="111" t="s">
        <v>24</v>
      </c>
      <c r="J7" s="111" t="s">
        <v>24</v>
      </c>
      <c r="K7" s="29" t="s">
        <v>23</v>
      </c>
      <c r="L7" s="29" t="s">
        <v>23</v>
      </c>
      <c r="M7" s="6" t="s">
        <v>22</v>
      </c>
      <c r="N7" s="6" t="s">
        <v>22</v>
      </c>
      <c r="O7" s="6" t="s">
        <v>22</v>
      </c>
      <c r="P7" s="6" t="s">
        <v>22</v>
      </c>
      <c r="Q7" s="29" t="s">
        <v>23</v>
      </c>
      <c r="R7" s="29" t="s">
        <v>23</v>
      </c>
      <c r="S7" s="564" t="s">
        <v>39</v>
      </c>
      <c r="T7" s="111" t="s">
        <v>24</v>
      </c>
      <c r="U7" s="111" t="s">
        <v>24</v>
      </c>
      <c r="V7" s="111" t="s">
        <v>24</v>
      </c>
      <c r="W7" s="29" t="s">
        <v>23</v>
      </c>
      <c r="X7" s="29" t="s">
        <v>23</v>
      </c>
      <c r="Y7" s="6" t="s">
        <v>22</v>
      </c>
      <c r="Z7" s="6" t="s">
        <v>22</v>
      </c>
      <c r="AA7" s="6" t="s">
        <v>22</v>
      </c>
      <c r="AB7" s="6" t="s">
        <v>22</v>
      </c>
      <c r="AC7" s="29" t="s">
        <v>23</v>
      </c>
      <c r="AD7" s="78" t="s">
        <v>23</v>
      </c>
      <c r="AF7" s="44">
        <f>VLOOKUP(B7,'JAN25'!$B:$AO,36,0)</f>
        <v>0</v>
      </c>
      <c r="AG7" s="35">
        <f>COUNTIF(C7:AD7,"UA")</f>
        <v>0</v>
      </c>
      <c r="AH7" s="19">
        <f>AF7-AG7</f>
        <v>0</v>
      </c>
      <c r="AI7" s="66"/>
      <c r="AJ7" s="37">
        <f>VLOOKUP(B7,'JAN25'!$B:$AO,40,0)</f>
        <v>22</v>
      </c>
      <c r="AK7" s="49">
        <f>COUNTIF(C7:AD7,"u")</f>
        <v>0</v>
      </c>
      <c r="AL7" s="50">
        <f>AJ7-AK7</f>
        <v>22</v>
      </c>
    </row>
    <row r="8" spans="1:38" ht="18.95" customHeight="1">
      <c r="A8" s="566" t="s">
        <v>28</v>
      </c>
      <c r="B8" s="582" t="s">
        <v>29</v>
      </c>
      <c r="C8" s="29" t="s">
        <v>23</v>
      </c>
      <c r="D8" s="29" t="s">
        <v>23</v>
      </c>
      <c r="E8" s="6" t="s">
        <v>22</v>
      </c>
      <c r="F8" s="6" t="s">
        <v>22</v>
      </c>
      <c r="G8" s="6" t="s">
        <v>22</v>
      </c>
      <c r="H8" s="6" t="s">
        <v>22</v>
      </c>
      <c r="I8" s="29" t="s">
        <v>23</v>
      </c>
      <c r="J8" s="29" t="s">
        <v>23</v>
      </c>
      <c r="K8" s="564" t="s">
        <v>39</v>
      </c>
      <c r="L8" s="565" t="s">
        <v>144</v>
      </c>
      <c r="M8" s="6" t="s">
        <v>22</v>
      </c>
      <c r="N8" s="111" t="s">
        <v>24</v>
      </c>
      <c r="O8" s="29" t="s">
        <v>23</v>
      </c>
      <c r="P8" s="29" t="s">
        <v>23</v>
      </c>
      <c r="Q8" s="6" t="s">
        <v>22</v>
      </c>
      <c r="R8" s="559" t="s">
        <v>147</v>
      </c>
      <c r="S8" s="6" t="s">
        <v>22</v>
      </c>
      <c r="T8" s="6" t="s">
        <v>22</v>
      </c>
      <c r="U8" s="29" t="s">
        <v>23</v>
      </c>
      <c r="V8" s="29" t="s">
        <v>23</v>
      </c>
      <c r="W8" s="111" t="s">
        <v>24</v>
      </c>
      <c r="X8" s="111" t="s">
        <v>24</v>
      </c>
      <c r="Y8" s="111" t="s">
        <v>24</v>
      </c>
      <c r="Z8" s="111" t="s">
        <v>24</v>
      </c>
      <c r="AA8" s="29" t="s">
        <v>23</v>
      </c>
      <c r="AB8" s="29" t="s">
        <v>23</v>
      </c>
      <c r="AC8" s="6" t="s">
        <v>22</v>
      </c>
      <c r="AD8" s="9" t="s">
        <v>22</v>
      </c>
      <c r="AF8" s="44">
        <f>VLOOKUP(B8,'JAN25'!$B:$AO,36,0)</f>
        <v>0</v>
      </c>
      <c r="AG8" s="35">
        <f t="shared" ref="AG8:AG9" si="0">COUNTIF(C8:AD8,"UA")</f>
        <v>0</v>
      </c>
      <c r="AH8" s="19">
        <f t="shared" ref="AH8:AH9" si="1">AF8-AG8</f>
        <v>0</v>
      </c>
      <c r="AI8" s="66"/>
      <c r="AJ8" s="37">
        <f>VLOOKUP(B8,'JAN25'!$B:$AO,40,0)</f>
        <v>23</v>
      </c>
      <c r="AK8" s="49">
        <f t="shared" ref="AK8:AK9" si="2">COUNTIF(C8:AD8,"u")</f>
        <v>0</v>
      </c>
      <c r="AL8" s="50">
        <f t="shared" ref="AL8:AL9" si="3">AJ8-AK8</f>
        <v>23</v>
      </c>
    </row>
    <row r="9" spans="1:38" ht="18.95" customHeight="1">
      <c r="A9" s="566" t="s">
        <v>32</v>
      </c>
      <c r="B9" s="582" t="s">
        <v>33</v>
      </c>
      <c r="C9" s="92" t="s">
        <v>34</v>
      </c>
      <c r="D9" s="92" t="s">
        <v>34</v>
      </c>
      <c r="E9" s="92" t="s">
        <v>34</v>
      </c>
      <c r="F9" s="92" t="s">
        <v>34</v>
      </c>
      <c r="G9" s="29" t="s">
        <v>23</v>
      </c>
      <c r="H9" s="29" t="s">
        <v>23</v>
      </c>
      <c r="I9" s="92" t="s">
        <v>34</v>
      </c>
      <c r="J9" s="6" t="s">
        <v>22</v>
      </c>
      <c r="K9" s="6" t="s">
        <v>22</v>
      </c>
      <c r="L9" s="6" t="s">
        <v>22</v>
      </c>
      <c r="M9" s="29" t="s">
        <v>23</v>
      </c>
      <c r="N9" s="29" t="s">
        <v>23</v>
      </c>
      <c r="O9" s="111" t="s">
        <v>24</v>
      </c>
      <c r="P9" s="111" t="s">
        <v>24</v>
      </c>
      <c r="Q9" s="111" t="s">
        <v>24</v>
      </c>
      <c r="R9" s="111" t="s">
        <v>24</v>
      </c>
      <c r="S9" s="29" t="s">
        <v>23</v>
      </c>
      <c r="T9" s="29" t="s">
        <v>23</v>
      </c>
      <c r="U9" s="6" t="s">
        <v>22</v>
      </c>
      <c r="V9" s="6" t="s">
        <v>22</v>
      </c>
      <c r="W9" s="7" t="s">
        <v>103</v>
      </c>
      <c r="X9" s="6" t="s">
        <v>22</v>
      </c>
      <c r="Y9" s="29" t="s">
        <v>23</v>
      </c>
      <c r="Z9" s="29" t="s">
        <v>23</v>
      </c>
      <c r="AA9" s="111" t="s">
        <v>24</v>
      </c>
      <c r="AB9" s="111" t="s">
        <v>24</v>
      </c>
      <c r="AC9" s="111" t="s">
        <v>24</v>
      </c>
      <c r="AD9" s="119" t="s">
        <v>24</v>
      </c>
      <c r="AF9" s="44">
        <f>VLOOKUP(B9,'JAN25'!$B:$AO,36,0)</f>
        <v>0</v>
      </c>
      <c r="AG9" s="35">
        <f t="shared" si="0"/>
        <v>0</v>
      </c>
      <c r="AH9" s="19">
        <f t="shared" si="1"/>
        <v>0</v>
      </c>
      <c r="AI9" s="66"/>
      <c r="AJ9" s="37">
        <f>VLOOKUP(B9,'JAN25'!$B:$AO,40,0)</f>
        <v>17</v>
      </c>
      <c r="AK9" s="49">
        <f t="shared" si="2"/>
        <v>5</v>
      </c>
      <c r="AL9" s="50">
        <f t="shared" si="3"/>
        <v>12</v>
      </c>
    </row>
    <row r="10" spans="1:38" ht="18.95" customHeight="1">
      <c r="A10" s="566" t="s">
        <v>35</v>
      </c>
      <c r="B10" s="582" t="s">
        <v>36</v>
      </c>
      <c r="C10" s="111" t="s">
        <v>24</v>
      </c>
      <c r="D10" s="111" t="s">
        <v>24</v>
      </c>
      <c r="E10" s="29" t="s">
        <v>23</v>
      </c>
      <c r="F10" s="29" t="s">
        <v>23</v>
      </c>
      <c r="G10" s="111" t="s">
        <v>24</v>
      </c>
      <c r="H10" s="111" t="s">
        <v>24</v>
      </c>
      <c r="I10" s="111" t="s">
        <v>24</v>
      </c>
      <c r="J10" s="111" t="s">
        <v>24</v>
      </c>
      <c r="K10" s="29" t="s">
        <v>23</v>
      </c>
      <c r="L10" s="29" t="s">
        <v>23</v>
      </c>
      <c r="M10" s="6" t="s">
        <v>22</v>
      </c>
      <c r="N10" s="6" t="s">
        <v>22</v>
      </c>
      <c r="O10" s="6" t="s">
        <v>22</v>
      </c>
      <c r="P10" s="6" t="s">
        <v>22</v>
      </c>
      <c r="Q10" s="29" t="s">
        <v>23</v>
      </c>
      <c r="R10" s="29" t="s">
        <v>23</v>
      </c>
      <c r="S10" s="111" t="s">
        <v>24</v>
      </c>
      <c r="T10" s="111" t="s">
        <v>24</v>
      </c>
      <c r="U10" s="111" t="s">
        <v>24</v>
      </c>
      <c r="V10" s="111" t="s">
        <v>24</v>
      </c>
      <c r="W10" s="29" t="s">
        <v>23</v>
      </c>
      <c r="X10" s="29" t="s">
        <v>23</v>
      </c>
      <c r="Y10" s="6" t="s">
        <v>22</v>
      </c>
      <c r="Z10" s="6" t="s">
        <v>22</v>
      </c>
      <c r="AA10" s="6" t="s">
        <v>22</v>
      </c>
      <c r="AB10" s="6" t="s">
        <v>22</v>
      </c>
      <c r="AC10" s="29" t="s">
        <v>23</v>
      </c>
      <c r="AD10" s="78" t="s">
        <v>23</v>
      </c>
      <c r="AF10" s="44">
        <f>VLOOKUP(B10,'JAN25'!$B:$AO,36,0)</f>
        <v>0</v>
      </c>
      <c r="AG10" s="35">
        <f>COUNTIF(C10:AD10,"UA")</f>
        <v>0</v>
      </c>
      <c r="AH10" s="19">
        <f>AF10-AG10</f>
        <v>0</v>
      </c>
      <c r="AI10" s="66"/>
      <c r="AJ10" s="37">
        <f>VLOOKUP(B10,'JAN25'!$B:$AO,40,0)</f>
        <v>22</v>
      </c>
      <c r="AK10" s="49">
        <f>COUNTIF(C10:AD10,"u")</f>
        <v>0</v>
      </c>
      <c r="AL10" s="50">
        <f>AJ10-AK10</f>
        <v>22</v>
      </c>
    </row>
    <row r="11" spans="1:38" ht="18.95" customHeight="1">
      <c r="A11" s="566" t="s">
        <v>37</v>
      </c>
      <c r="B11" s="582" t="s">
        <v>38</v>
      </c>
      <c r="C11" s="29" t="s">
        <v>23</v>
      </c>
      <c r="D11" s="29" t="s">
        <v>23</v>
      </c>
      <c r="E11" s="6" t="s">
        <v>22</v>
      </c>
      <c r="F11" s="6" t="s">
        <v>22</v>
      </c>
      <c r="G11" s="6" t="s">
        <v>22</v>
      </c>
      <c r="H11" s="6" t="s">
        <v>22</v>
      </c>
      <c r="I11" s="29" t="s">
        <v>23</v>
      </c>
      <c r="J11" s="29" t="s">
        <v>23</v>
      </c>
      <c r="K11" s="111" t="s">
        <v>24</v>
      </c>
      <c r="L11" s="111" t="s">
        <v>24</v>
      </c>
      <c r="M11" s="111" t="s">
        <v>24</v>
      </c>
      <c r="N11" s="111" t="s">
        <v>24</v>
      </c>
      <c r="O11" s="29" t="s">
        <v>23</v>
      </c>
      <c r="P11" s="29" t="s">
        <v>23</v>
      </c>
      <c r="Q11" s="6" t="s">
        <v>22</v>
      </c>
      <c r="R11" s="6" t="s">
        <v>22</v>
      </c>
      <c r="S11" s="6" t="s">
        <v>22</v>
      </c>
      <c r="T11" s="6" t="s">
        <v>22</v>
      </c>
      <c r="U11" s="29" t="s">
        <v>23</v>
      </c>
      <c r="V11" s="29" t="s">
        <v>23</v>
      </c>
      <c r="W11" s="111" t="s">
        <v>24</v>
      </c>
      <c r="X11" s="111" t="s">
        <v>24</v>
      </c>
      <c r="Y11" s="111" t="s">
        <v>24</v>
      </c>
      <c r="Z11" s="111" t="s">
        <v>24</v>
      </c>
      <c r="AA11" s="29" t="s">
        <v>23</v>
      </c>
      <c r="AB11" s="29" t="s">
        <v>23</v>
      </c>
      <c r="AC11" s="6" t="s">
        <v>22</v>
      </c>
      <c r="AD11" s="9" t="s">
        <v>22</v>
      </c>
      <c r="AF11" s="44">
        <f>VLOOKUP(B11,'JAN25'!$B:$AO,36,0)</f>
        <v>0</v>
      </c>
      <c r="AG11" s="35">
        <f>COUNTIF(C11:AD11,"UA")</f>
        <v>0</v>
      </c>
      <c r="AH11" s="19">
        <f>AF11-AG11</f>
        <v>0</v>
      </c>
      <c r="AI11" s="66"/>
      <c r="AJ11" s="37">
        <f>VLOOKUP(B11,'JAN25'!$B:$AO,40,0)</f>
        <v>22</v>
      </c>
      <c r="AK11" s="49">
        <f>COUNTIF(C11:AD11,"u")</f>
        <v>0</v>
      </c>
      <c r="AL11" s="50">
        <f>AJ11-AK11</f>
        <v>22</v>
      </c>
    </row>
    <row r="12" spans="1:38" ht="18.95" customHeight="1" thickBot="1">
      <c r="A12" s="567" t="s">
        <v>43</v>
      </c>
      <c r="B12" s="592" t="s">
        <v>44</v>
      </c>
      <c r="C12" s="15" t="s">
        <v>22</v>
      </c>
      <c r="D12" s="15" t="s">
        <v>22</v>
      </c>
      <c r="E12" s="116" t="s">
        <v>24</v>
      </c>
      <c r="F12" s="116" t="s">
        <v>24</v>
      </c>
      <c r="G12" s="83" t="s">
        <v>23</v>
      </c>
      <c r="H12" s="83" t="s">
        <v>23</v>
      </c>
      <c r="I12" s="15" t="s">
        <v>22</v>
      </c>
      <c r="J12" s="593" t="s">
        <v>39</v>
      </c>
      <c r="K12" s="399" t="s">
        <v>34</v>
      </c>
      <c r="L12" s="594" t="s">
        <v>148</v>
      </c>
      <c r="M12" s="594" t="s">
        <v>53</v>
      </c>
      <c r="N12" s="83" t="s">
        <v>23</v>
      </c>
      <c r="O12" s="399" t="s">
        <v>34</v>
      </c>
      <c r="P12" s="399" t="s">
        <v>34</v>
      </c>
      <c r="Q12" s="399" t="s">
        <v>34</v>
      </c>
      <c r="R12" s="399" t="s">
        <v>34</v>
      </c>
      <c r="S12" s="83" t="s">
        <v>23</v>
      </c>
      <c r="T12" s="83" t="s">
        <v>23</v>
      </c>
      <c r="U12" s="15" t="s">
        <v>22</v>
      </c>
      <c r="V12" s="15" t="s">
        <v>22</v>
      </c>
      <c r="W12" s="15" t="s">
        <v>22</v>
      </c>
      <c r="X12" s="15" t="s">
        <v>22</v>
      </c>
      <c r="Y12" s="83" t="s">
        <v>23</v>
      </c>
      <c r="Z12" s="83" t="s">
        <v>23</v>
      </c>
      <c r="AA12" s="116" t="s">
        <v>24</v>
      </c>
      <c r="AB12" s="116" t="s">
        <v>24</v>
      </c>
      <c r="AC12" s="116" t="s">
        <v>24</v>
      </c>
      <c r="AD12" s="117" t="s">
        <v>24</v>
      </c>
      <c r="AF12" s="45">
        <f>VLOOKUP(B12,'JAN25'!$B:$AO,36,0)</f>
        <v>0</v>
      </c>
      <c r="AG12" s="16">
        <f>COUNTIF(C12:AD12,"UA")</f>
        <v>0</v>
      </c>
      <c r="AH12" s="20">
        <f>AF12-AG12</f>
        <v>0</v>
      </c>
      <c r="AI12" s="66"/>
      <c r="AJ12" s="46">
        <f>VLOOKUP(B12,'JAN25'!$B:$AO,40,0)</f>
        <v>22</v>
      </c>
      <c r="AK12" s="64">
        <f>COUNTIF(C12:AD12,"u")</f>
        <v>5</v>
      </c>
      <c r="AL12" s="65">
        <f>AJ12-AK12</f>
        <v>17</v>
      </c>
    </row>
    <row r="13" spans="1:38" ht="20.100000000000001" customHeight="1" thickBot="1">
      <c r="A13" s="95"/>
      <c r="B13" s="95"/>
      <c r="C13" s="99"/>
      <c r="D13" s="99"/>
      <c r="E13" s="99"/>
      <c r="F13" s="99"/>
      <c r="G13" s="96"/>
      <c r="H13" s="96"/>
      <c r="I13" s="99"/>
      <c r="J13" s="97"/>
      <c r="K13" s="97"/>
      <c r="L13" s="97"/>
      <c r="M13" s="96"/>
      <c r="N13" s="96"/>
      <c r="O13" s="98"/>
      <c r="P13" s="98"/>
      <c r="Q13" s="98"/>
      <c r="R13" s="98"/>
      <c r="S13" s="96"/>
      <c r="T13" s="96"/>
      <c r="U13" s="97"/>
      <c r="V13" s="97"/>
      <c r="W13" s="97"/>
      <c r="X13" s="97"/>
      <c r="Y13" s="96"/>
      <c r="Z13" s="96"/>
      <c r="AA13" s="98"/>
      <c r="AB13" s="98"/>
      <c r="AC13" s="98"/>
      <c r="AD13" s="98"/>
      <c r="AF13" s="106"/>
      <c r="AG13" s="72"/>
      <c r="AH13" s="100"/>
      <c r="AI13" s="66"/>
      <c r="AJ13" s="72"/>
      <c r="AK13" s="72"/>
      <c r="AL13" s="72"/>
    </row>
    <row r="14" spans="1:38" ht="24.95" customHeight="1" thickBot="1">
      <c r="A14" s="581" t="s">
        <v>45</v>
      </c>
      <c r="B14" s="514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539"/>
      <c r="AE14" s="556"/>
      <c r="AF14" s="556"/>
      <c r="AG14" s="72"/>
      <c r="AH14" s="100"/>
      <c r="AI14" s="66"/>
      <c r="AJ14" s="72"/>
      <c r="AK14" s="72"/>
      <c r="AL14" s="72"/>
    </row>
    <row r="15" spans="1:38" ht="18.95" customHeight="1">
      <c r="A15" s="780" t="s">
        <v>46</v>
      </c>
      <c r="B15" s="717" t="s">
        <v>47</v>
      </c>
      <c r="C15" s="558" t="s">
        <v>23</v>
      </c>
      <c r="D15" s="558" t="s">
        <v>23</v>
      </c>
      <c r="E15" s="559" t="s">
        <v>48</v>
      </c>
      <c r="F15" s="559" t="s">
        <v>48</v>
      </c>
      <c r="G15" s="559" t="s">
        <v>48</v>
      </c>
      <c r="H15" s="559" t="s">
        <v>48</v>
      </c>
      <c r="I15" s="559" t="s">
        <v>48</v>
      </c>
      <c r="J15" s="558" t="s">
        <v>23</v>
      </c>
      <c r="K15" s="558" t="s">
        <v>23</v>
      </c>
      <c r="L15" s="559" t="s">
        <v>48</v>
      </c>
      <c r="M15" s="559" t="s">
        <v>48</v>
      </c>
      <c r="N15" s="559" t="s">
        <v>48</v>
      </c>
      <c r="O15" s="559" t="s">
        <v>48</v>
      </c>
      <c r="P15" s="559" t="s">
        <v>48</v>
      </c>
      <c r="Q15" s="558" t="s">
        <v>23</v>
      </c>
      <c r="R15" s="558" t="s">
        <v>23</v>
      </c>
      <c r="S15" s="560" t="s">
        <v>42</v>
      </c>
      <c r="T15" s="560" t="s">
        <v>42</v>
      </c>
      <c r="U15" s="560" t="s">
        <v>42</v>
      </c>
      <c r="V15" s="560" t="s">
        <v>42</v>
      </c>
      <c r="W15" s="559" t="s">
        <v>48</v>
      </c>
      <c r="X15" s="558" t="s">
        <v>23</v>
      </c>
      <c r="Y15" s="558" t="s">
        <v>23</v>
      </c>
      <c r="Z15" s="559" t="s">
        <v>48</v>
      </c>
      <c r="AA15" s="559" t="s">
        <v>149</v>
      </c>
      <c r="AB15" s="559" t="s">
        <v>48</v>
      </c>
      <c r="AC15" s="559" t="s">
        <v>48</v>
      </c>
      <c r="AD15" s="595" t="s">
        <v>48</v>
      </c>
      <c r="AF15" s="43">
        <f>VLOOKUP(B15,'JAN25'!$B:$AO,36,0)</f>
        <v>2</v>
      </c>
      <c r="AG15" s="56">
        <f>COUNTIF(C15:AD15,"UA")</f>
        <v>0</v>
      </c>
      <c r="AH15" s="17">
        <f>AF15-AG15</f>
        <v>2</v>
      </c>
      <c r="AI15" s="66"/>
      <c r="AJ15" s="4">
        <f>VLOOKUP(B15,'JAN25'!$B:$AO,40,0)</f>
        <v>22</v>
      </c>
      <c r="AK15" s="56">
        <f>COUNTIF(C15:AD15,"U")</f>
        <v>0</v>
      </c>
      <c r="AL15" s="57">
        <f>AJ15-AK15</f>
        <v>22</v>
      </c>
    </row>
    <row r="16" spans="1:38" ht="18.95" customHeight="1">
      <c r="A16" s="566" t="s">
        <v>51</v>
      </c>
      <c r="B16" s="582" t="s">
        <v>52</v>
      </c>
      <c r="C16" s="92" t="s">
        <v>34</v>
      </c>
      <c r="D16" s="92" t="s">
        <v>34</v>
      </c>
      <c r="E16" s="92" t="s">
        <v>34</v>
      </c>
      <c r="F16" s="372" t="s">
        <v>23</v>
      </c>
      <c r="G16" s="372" t="s">
        <v>23</v>
      </c>
      <c r="H16" s="92" t="s">
        <v>34</v>
      </c>
      <c r="I16" s="92" t="s">
        <v>34</v>
      </c>
      <c r="J16" s="92" t="s">
        <v>34</v>
      </c>
      <c r="K16" s="92" t="s">
        <v>34</v>
      </c>
      <c r="L16" s="558" t="s">
        <v>23</v>
      </c>
      <c r="M16" s="558" t="s">
        <v>23</v>
      </c>
      <c r="N16" s="92" t="s">
        <v>34</v>
      </c>
      <c r="O16" s="92" t="s">
        <v>34</v>
      </c>
      <c r="P16" s="28" t="s">
        <v>24</v>
      </c>
      <c r="Q16" s="28" t="s">
        <v>24</v>
      </c>
      <c r="R16" s="372" t="s">
        <v>23</v>
      </c>
      <c r="S16" s="372" t="s">
        <v>23</v>
      </c>
      <c r="T16" s="10" t="s">
        <v>150</v>
      </c>
      <c r="U16" s="10" t="s">
        <v>146</v>
      </c>
      <c r="V16" s="28" t="s">
        <v>24</v>
      </c>
      <c r="W16" s="28" t="s">
        <v>24</v>
      </c>
      <c r="X16" s="558" t="s">
        <v>23</v>
      </c>
      <c r="Y16" s="558" t="s">
        <v>23</v>
      </c>
      <c r="Z16" s="6" t="s">
        <v>22</v>
      </c>
      <c r="AA16" s="6" t="s">
        <v>22</v>
      </c>
      <c r="AB16" s="28" t="s">
        <v>24</v>
      </c>
      <c r="AC16" s="28" t="s">
        <v>24</v>
      </c>
      <c r="AD16" s="375" t="s">
        <v>23</v>
      </c>
      <c r="AF16" s="62">
        <f>VLOOKUP(B16,'JAN25'!$B:$AO,36,0)</f>
        <v>0</v>
      </c>
      <c r="AG16" s="49">
        <f>COUNTIF(C16:AD16,"UA")</f>
        <v>0</v>
      </c>
      <c r="AH16" s="18">
        <f>AF16-AG16</f>
        <v>0</v>
      </c>
      <c r="AI16" s="66"/>
      <c r="AJ16" s="34">
        <f>VLOOKUP(B16,'JAN25'!$B:$AO,40,0)</f>
        <v>21</v>
      </c>
      <c r="AK16" s="49">
        <f>COUNTIF(C16:AD16,"U")</f>
        <v>9</v>
      </c>
      <c r="AL16" s="50">
        <f>AJ16-AK16</f>
        <v>12</v>
      </c>
    </row>
    <row r="17" spans="1:38" ht="18.95" customHeight="1">
      <c r="A17" s="566" t="s">
        <v>54</v>
      </c>
      <c r="B17" s="582" t="s">
        <v>55</v>
      </c>
      <c r="C17" s="558" t="s">
        <v>23</v>
      </c>
      <c r="D17" s="28" t="s">
        <v>24</v>
      </c>
      <c r="E17" s="28" t="s">
        <v>24</v>
      </c>
      <c r="F17" s="28" t="s">
        <v>24</v>
      </c>
      <c r="G17" s="28" t="s">
        <v>24</v>
      </c>
      <c r="H17" s="372" t="s">
        <v>23</v>
      </c>
      <c r="I17" s="372" t="s">
        <v>23</v>
      </c>
      <c r="J17" s="6" t="s">
        <v>22</v>
      </c>
      <c r="K17" s="6" t="s">
        <v>22</v>
      </c>
      <c r="L17" s="6" t="s">
        <v>22</v>
      </c>
      <c r="M17" s="6" t="s">
        <v>22</v>
      </c>
      <c r="N17" s="558" t="s">
        <v>23</v>
      </c>
      <c r="O17" s="558" t="s">
        <v>23</v>
      </c>
      <c r="P17" s="6" t="s">
        <v>22</v>
      </c>
      <c r="Q17" s="6" t="s">
        <v>22</v>
      </c>
      <c r="R17" s="28" t="s">
        <v>24</v>
      </c>
      <c r="S17" s="28" t="s">
        <v>24</v>
      </c>
      <c r="T17" s="372" t="s">
        <v>23</v>
      </c>
      <c r="U17" s="372" t="s">
        <v>23</v>
      </c>
      <c r="V17" s="6" t="s">
        <v>22</v>
      </c>
      <c r="W17" s="6" t="s">
        <v>22</v>
      </c>
      <c r="X17" s="6" t="s">
        <v>22</v>
      </c>
      <c r="Y17" s="6" t="s">
        <v>22</v>
      </c>
      <c r="Z17" s="558" t="s">
        <v>23</v>
      </c>
      <c r="AA17" s="558" t="s">
        <v>23</v>
      </c>
      <c r="AB17" s="6" t="s">
        <v>22</v>
      </c>
      <c r="AC17" s="6" t="s">
        <v>22</v>
      </c>
      <c r="AD17" s="80" t="s">
        <v>24</v>
      </c>
      <c r="AF17" s="44">
        <f>VLOOKUP(B17,'JAN25'!$B:$AO,36,0)</f>
        <v>1</v>
      </c>
      <c r="AG17" s="35">
        <f>COUNTIF(C17:AD17,"UA")</f>
        <v>0</v>
      </c>
      <c r="AH17" s="19">
        <f>AF17-AG17</f>
        <v>1</v>
      </c>
      <c r="AI17" s="66"/>
      <c r="AJ17" s="37">
        <f>VLOOKUP(B17,'JAN25'!$B:$AO,40,0)</f>
        <v>23</v>
      </c>
      <c r="AK17" s="35">
        <f>COUNTIF(C17:AD17,"U")</f>
        <v>0</v>
      </c>
      <c r="AL17" s="38">
        <f>AJ17-AK17</f>
        <v>23</v>
      </c>
    </row>
    <row r="18" spans="1:38" ht="18.95" customHeight="1" thickBot="1">
      <c r="A18" s="567" t="s">
        <v>56</v>
      </c>
      <c r="B18" s="592" t="s">
        <v>57</v>
      </c>
      <c r="C18" s="15" t="s">
        <v>58</v>
      </c>
      <c r="D18" s="596" t="s">
        <v>23</v>
      </c>
      <c r="E18" s="596" t="s">
        <v>23</v>
      </c>
      <c r="F18" s="15" t="s">
        <v>58</v>
      </c>
      <c r="G18" s="15" t="s">
        <v>58</v>
      </c>
      <c r="H18" s="15" t="s">
        <v>58</v>
      </c>
      <c r="I18" s="15" t="s">
        <v>58</v>
      </c>
      <c r="J18" s="596" t="s">
        <v>23</v>
      </c>
      <c r="K18" s="596" t="s">
        <v>23</v>
      </c>
      <c r="L18" s="15" t="s">
        <v>58</v>
      </c>
      <c r="M18" s="15" t="s">
        <v>58</v>
      </c>
      <c r="N18" s="597" t="s">
        <v>19</v>
      </c>
      <c r="O18" s="15" t="s">
        <v>58</v>
      </c>
      <c r="P18" s="596" t="s">
        <v>23</v>
      </c>
      <c r="Q18" s="596" t="s">
        <v>23</v>
      </c>
      <c r="R18" s="15" t="s">
        <v>58</v>
      </c>
      <c r="S18" s="15" t="s">
        <v>58</v>
      </c>
      <c r="T18" s="15" t="s">
        <v>58</v>
      </c>
      <c r="U18" s="15" t="s">
        <v>58</v>
      </c>
      <c r="V18" s="15" t="s">
        <v>58</v>
      </c>
      <c r="W18" s="596" t="s">
        <v>23</v>
      </c>
      <c r="X18" s="15" t="s">
        <v>58</v>
      </c>
      <c r="Y18" s="598" t="s">
        <v>23</v>
      </c>
      <c r="Z18" s="594" t="s">
        <v>53</v>
      </c>
      <c r="AA18" s="399" t="s">
        <v>34</v>
      </c>
      <c r="AB18" s="596" t="s">
        <v>23</v>
      </c>
      <c r="AC18" s="596" t="s">
        <v>23</v>
      </c>
      <c r="AD18" s="39" t="s">
        <v>58</v>
      </c>
      <c r="AF18" s="45">
        <f>VLOOKUP(B18,'JAN25'!$B:$AO,36,0)</f>
        <v>0</v>
      </c>
      <c r="AG18" s="16">
        <f>COUNTIF(C18:AD18,"UA")</f>
        <v>0</v>
      </c>
      <c r="AH18" s="20">
        <f>AF18-AG18</f>
        <v>0</v>
      </c>
      <c r="AI18" s="66"/>
      <c r="AJ18" s="46">
        <f>VLOOKUP(B18,'JAN25'!$B:$AO,40,0)</f>
        <v>22</v>
      </c>
      <c r="AK18" s="16">
        <f>COUNTIF(C18:AD18,"U")</f>
        <v>1</v>
      </c>
      <c r="AL18" s="52">
        <f>AJ18-AK18</f>
        <v>21</v>
      </c>
    </row>
    <row r="19" spans="1:38" ht="20.100000000000001" customHeight="1" thickBot="1">
      <c r="A19" s="95"/>
      <c r="B19" s="95"/>
      <c r="C19" s="99"/>
      <c r="D19" s="99"/>
      <c r="E19" s="99"/>
      <c r="F19" s="99"/>
      <c r="G19" s="96"/>
      <c r="H19" s="96"/>
      <c r="I19" s="99"/>
      <c r="J19" s="97"/>
      <c r="K19" s="97"/>
      <c r="L19" s="97"/>
      <c r="M19" s="96"/>
      <c r="N19" s="96"/>
      <c r="O19" s="98"/>
      <c r="P19" s="98"/>
      <c r="Q19" s="98"/>
      <c r="R19" s="98"/>
      <c r="S19" s="96"/>
      <c r="T19" s="96"/>
      <c r="U19" s="97"/>
      <c r="V19" s="97"/>
      <c r="W19" s="97"/>
      <c r="X19" s="97"/>
      <c r="Y19" s="96"/>
      <c r="Z19" s="96"/>
      <c r="AA19" s="98"/>
      <c r="AB19" s="98"/>
      <c r="AC19" s="98"/>
      <c r="AD19" s="98"/>
      <c r="AF19" s="106"/>
      <c r="AG19" s="72"/>
      <c r="AH19" s="100"/>
      <c r="AI19" s="66"/>
      <c r="AJ19" s="72"/>
      <c r="AK19" s="72"/>
      <c r="AL19" s="72"/>
    </row>
    <row r="20" spans="1:38" ht="24.95" customHeight="1" thickBot="1">
      <c r="A20" s="599" t="s">
        <v>60</v>
      </c>
      <c r="B20" s="600"/>
      <c r="C20" s="600"/>
      <c r="D20" s="600"/>
      <c r="E20" s="600"/>
      <c r="F20" s="600"/>
      <c r="G20" s="600"/>
      <c r="H20" s="600"/>
      <c r="I20" s="600"/>
      <c r="J20" s="600"/>
      <c r="K20" s="600"/>
      <c r="L20" s="600"/>
      <c r="M20" s="600"/>
      <c r="N20" s="600"/>
      <c r="O20" s="600"/>
      <c r="P20" s="600"/>
      <c r="Q20" s="600"/>
      <c r="R20" s="600"/>
      <c r="S20" s="600"/>
      <c r="T20" s="600"/>
      <c r="U20" s="600"/>
      <c r="V20" s="600"/>
      <c r="W20" s="600"/>
      <c r="X20" s="600"/>
      <c r="Y20" s="600"/>
      <c r="Z20" s="600"/>
      <c r="AA20" s="600"/>
      <c r="AB20" s="600"/>
      <c r="AC20" s="600"/>
      <c r="AD20" s="601"/>
      <c r="AF20" s="106"/>
      <c r="AG20" s="72"/>
      <c r="AH20" s="100"/>
      <c r="AI20" s="66"/>
      <c r="AJ20" s="72"/>
      <c r="AK20" s="72"/>
      <c r="AL20" s="72"/>
    </row>
    <row r="21" spans="1:38" ht="18.95" customHeight="1">
      <c r="A21" s="566" t="s">
        <v>61</v>
      </c>
      <c r="B21" s="582" t="s">
        <v>62</v>
      </c>
      <c r="C21" s="85" t="s">
        <v>63</v>
      </c>
      <c r="D21" s="85" t="s">
        <v>63</v>
      </c>
      <c r="E21" s="29" t="s">
        <v>23</v>
      </c>
      <c r="F21" s="29" t="s">
        <v>23</v>
      </c>
      <c r="G21" s="111" t="s">
        <v>24</v>
      </c>
      <c r="H21" s="111" t="s">
        <v>24</v>
      </c>
      <c r="I21" s="111" t="s">
        <v>24</v>
      </c>
      <c r="J21" s="111" t="s">
        <v>24</v>
      </c>
      <c r="K21" s="29" t="s">
        <v>23</v>
      </c>
      <c r="L21" s="29" t="s">
        <v>23</v>
      </c>
      <c r="M21" s="6" t="s">
        <v>22</v>
      </c>
      <c r="N21" s="6" t="s">
        <v>22</v>
      </c>
      <c r="O21" s="6" t="s">
        <v>22</v>
      </c>
      <c r="P21" s="6" t="s">
        <v>22</v>
      </c>
      <c r="Q21" s="29" t="s">
        <v>23</v>
      </c>
      <c r="R21" s="29" t="s">
        <v>23</v>
      </c>
      <c r="S21" s="111" t="s">
        <v>24</v>
      </c>
      <c r="T21" s="111" t="s">
        <v>24</v>
      </c>
      <c r="U21" s="111" t="s">
        <v>24</v>
      </c>
      <c r="V21" s="577" t="s">
        <v>39</v>
      </c>
      <c r="W21" s="29" t="s">
        <v>23</v>
      </c>
      <c r="X21" s="29" t="s">
        <v>23</v>
      </c>
      <c r="Y21" s="92" t="s">
        <v>34</v>
      </c>
      <c r="Z21" s="30" t="s">
        <v>53</v>
      </c>
      <c r="AA21" s="92" t="s">
        <v>34</v>
      </c>
      <c r="AB21" s="92" t="s">
        <v>34</v>
      </c>
      <c r="AC21" s="29" t="s">
        <v>23</v>
      </c>
      <c r="AD21" s="78" t="s">
        <v>23</v>
      </c>
      <c r="AF21" s="43">
        <f>VLOOKUP(B21,'JAN25'!$B:$AO,36,0)</f>
        <v>0</v>
      </c>
      <c r="AG21" s="56">
        <f t="shared" ref="AG21:AG49" si="4">COUNTIF(C21:AD21,"UA")</f>
        <v>0</v>
      </c>
      <c r="AH21" s="17">
        <f t="shared" ref="AH21:AH49" si="5">AF21-AG21</f>
        <v>0</v>
      </c>
      <c r="AI21" s="66"/>
      <c r="AJ21" s="4">
        <f>VLOOKUP(B21,'JAN25'!$B:$AO,40,0)</f>
        <v>22</v>
      </c>
      <c r="AK21" s="56">
        <f t="shared" ref="AK21:AK49" si="6">COUNTIF(C21:AD21,"u")</f>
        <v>3</v>
      </c>
      <c r="AL21" s="57">
        <f t="shared" ref="AL21:AL49" si="7">AJ21-AK21</f>
        <v>19</v>
      </c>
    </row>
    <row r="22" spans="1:38" ht="18.95" customHeight="1">
      <c r="A22" s="566" t="s">
        <v>64</v>
      </c>
      <c r="B22" s="582" t="s">
        <v>65</v>
      </c>
      <c r="C22" s="29" t="s">
        <v>23</v>
      </c>
      <c r="D22" s="29" t="s">
        <v>23</v>
      </c>
      <c r="E22" s="85" t="s">
        <v>63</v>
      </c>
      <c r="F22" s="85" t="s">
        <v>63</v>
      </c>
      <c r="G22" s="85" t="s">
        <v>63</v>
      </c>
      <c r="H22" s="85" t="s">
        <v>63</v>
      </c>
      <c r="I22" s="29" t="s">
        <v>23</v>
      </c>
      <c r="J22" s="29" t="s">
        <v>23</v>
      </c>
      <c r="K22" s="111" t="s">
        <v>24</v>
      </c>
      <c r="L22" s="111" t="s">
        <v>24</v>
      </c>
      <c r="M22" s="111" t="s">
        <v>24</v>
      </c>
      <c r="N22" s="111" t="s">
        <v>24</v>
      </c>
      <c r="O22" s="29" t="s">
        <v>23</v>
      </c>
      <c r="P22" s="29" t="s">
        <v>23</v>
      </c>
      <c r="Q22" s="6" t="s">
        <v>22</v>
      </c>
      <c r="R22" s="6" t="s">
        <v>22</v>
      </c>
      <c r="S22" s="6" t="s">
        <v>22</v>
      </c>
      <c r="T22" s="6" t="s">
        <v>22</v>
      </c>
      <c r="U22" s="29" t="s">
        <v>23</v>
      </c>
      <c r="V22" s="29" t="s">
        <v>23</v>
      </c>
      <c r="W22" s="111" t="s">
        <v>24</v>
      </c>
      <c r="X22" s="111" t="s">
        <v>24</v>
      </c>
      <c r="Y22" s="111" t="s">
        <v>24</v>
      </c>
      <c r="Z22" s="111" t="s">
        <v>24</v>
      </c>
      <c r="AA22" s="29" t="s">
        <v>23</v>
      </c>
      <c r="AB22" s="29" t="s">
        <v>23</v>
      </c>
      <c r="AC22" s="6" t="s">
        <v>22</v>
      </c>
      <c r="AD22" s="9" t="s">
        <v>22</v>
      </c>
      <c r="AF22" s="44">
        <f>VLOOKUP(B22,'JAN25'!$B:$AO,36,0)</f>
        <v>2</v>
      </c>
      <c r="AG22" s="35">
        <f t="shared" si="4"/>
        <v>0</v>
      </c>
      <c r="AH22" s="19">
        <f t="shared" si="5"/>
        <v>2</v>
      </c>
      <c r="AI22" s="66"/>
      <c r="AJ22" s="37">
        <f>VLOOKUP(B22,'JAN25'!$B:$AO,40,0)</f>
        <v>22</v>
      </c>
      <c r="AK22" s="35">
        <f t="shared" si="6"/>
        <v>0</v>
      </c>
      <c r="AL22" s="38">
        <f t="shared" si="7"/>
        <v>22</v>
      </c>
    </row>
    <row r="23" spans="1:38" ht="18.95" customHeight="1">
      <c r="A23" s="566" t="s">
        <v>66</v>
      </c>
      <c r="B23" s="582" t="s">
        <v>67</v>
      </c>
      <c r="C23" s="29" t="s">
        <v>23</v>
      </c>
      <c r="D23" s="29" t="s">
        <v>23</v>
      </c>
      <c r="E23" s="6" t="s">
        <v>22</v>
      </c>
      <c r="F23" s="6" t="s">
        <v>22</v>
      </c>
      <c r="G23" s="29" t="s">
        <v>23</v>
      </c>
      <c r="H23" s="29" t="s">
        <v>23</v>
      </c>
      <c r="I23" s="85" t="s">
        <v>63</v>
      </c>
      <c r="J23" s="85" t="s">
        <v>63</v>
      </c>
      <c r="K23" s="85" t="s">
        <v>63</v>
      </c>
      <c r="L23" s="85" t="s">
        <v>63</v>
      </c>
      <c r="M23" s="29" t="s">
        <v>23</v>
      </c>
      <c r="N23" s="29" t="s">
        <v>23</v>
      </c>
      <c r="O23" s="111" t="s">
        <v>24</v>
      </c>
      <c r="P23" s="111" t="s">
        <v>24</v>
      </c>
      <c r="Q23" s="111" t="s">
        <v>24</v>
      </c>
      <c r="R23" s="111" t="s">
        <v>24</v>
      </c>
      <c r="S23" s="29" t="s">
        <v>23</v>
      </c>
      <c r="T23" s="29" t="s">
        <v>23</v>
      </c>
      <c r="U23" s="6" t="s">
        <v>22</v>
      </c>
      <c r="V23" s="6" t="s">
        <v>22</v>
      </c>
      <c r="W23" s="6" t="s">
        <v>22</v>
      </c>
      <c r="X23" s="6" t="s">
        <v>22</v>
      </c>
      <c r="Y23" s="29" t="s">
        <v>23</v>
      </c>
      <c r="Z23" s="29" t="s">
        <v>23</v>
      </c>
      <c r="AA23" s="111" t="s">
        <v>24</v>
      </c>
      <c r="AB23" s="111" t="s">
        <v>24</v>
      </c>
      <c r="AC23" s="111" t="s">
        <v>24</v>
      </c>
      <c r="AD23" s="119" t="s">
        <v>24</v>
      </c>
      <c r="AF23" s="44">
        <f>VLOOKUP(B23,'JAN25'!$B:$AO,36,0)</f>
        <v>0</v>
      </c>
      <c r="AG23" s="35">
        <f t="shared" si="4"/>
        <v>0</v>
      </c>
      <c r="AH23" s="19">
        <f t="shared" si="5"/>
        <v>0</v>
      </c>
      <c r="AI23" s="66"/>
      <c r="AJ23" s="37">
        <f>VLOOKUP(B23,'JAN25'!$B:$AO,40,0)</f>
        <v>22</v>
      </c>
      <c r="AK23" s="35">
        <f t="shared" si="6"/>
        <v>0</v>
      </c>
      <c r="AL23" s="38">
        <f t="shared" si="7"/>
        <v>22</v>
      </c>
    </row>
    <row r="24" spans="1:38" ht="18.95" customHeight="1">
      <c r="A24" s="566" t="s">
        <v>69</v>
      </c>
      <c r="B24" s="582" t="s">
        <v>70</v>
      </c>
      <c r="C24" s="29" t="s">
        <v>23</v>
      </c>
      <c r="D24" s="29" t="s">
        <v>23</v>
      </c>
      <c r="E24" s="29" t="s">
        <v>23</v>
      </c>
      <c r="F24" s="6" t="s">
        <v>22</v>
      </c>
      <c r="G24" s="6" t="s">
        <v>22</v>
      </c>
      <c r="H24" s="6" t="s">
        <v>22</v>
      </c>
      <c r="I24" s="6" t="s">
        <v>22</v>
      </c>
      <c r="J24" s="6" t="s">
        <v>22</v>
      </c>
      <c r="K24" s="29" t="s">
        <v>23</v>
      </c>
      <c r="L24" s="29" t="s">
        <v>23</v>
      </c>
      <c r="M24" s="85" t="s">
        <v>63</v>
      </c>
      <c r="N24" s="85" t="s">
        <v>63</v>
      </c>
      <c r="O24" s="85" t="s">
        <v>63</v>
      </c>
      <c r="P24" s="85" t="s">
        <v>63</v>
      </c>
      <c r="Q24" s="29" t="s">
        <v>23</v>
      </c>
      <c r="R24" s="29" t="s">
        <v>23</v>
      </c>
      <c r="S24" s="111" t="s">
        <v>24</v>
      </c>
      <c r="T24" s="111" t="s">
        <v>24</v>
      </c>
      <c r="U24" s="111" t="s">
        <v>24</v>
      </c>
      <c r="V24" s="111" t="s">
        <v>24</v>
      </c>
      <c r="W24" s="29" t="s">
        <v>23</v>
      </c>
      <c r="X24" s="29" t="s">
        <v>23</v>
      </c>
      <c r="Y24" s="6" t="s">
        <v>22</v>
      </c>
      <c r="Z24" s="6" t="s">
        <v>22</v>
      </c>
      <c r="AA24" s="6" t="s">
        <v>22</v>
      </c>
      <c r="AB24" s="6" t="s">
        <v>22</v>
      </c>
      <c r="AC24" s="29" t="s">
        <v>23</v>
      </c>
      <c r="AD24" s="78" t="s">
        <v>23</v>
      </c>
      <c r="AF24" s="44">
        <f>VLOOKUP(B24,'JAN25'!$B:$AO,36,0)</f>
        <v>7</v>
      </c>
      <c r="AG24" s="35">
        <f t="shared" si="4"/>
        <v>0</v>
      </c>
      <c r="AH24" s="19">
        <f t="shared" si="5"/>
        <v>7</v>
      </c>
      <c r="AI24" s="66"/>
      <c r="AJ24" s="37">
        <f>VLOOKUP(B24,'JAN25'!$B:$AO,40,0)</f>
        <v>11</v>
      </c>
      <c r="AK24" s="35">
        <f t="shared" si="6"/>
        <v>0</v>
      </c>
      <c r="AL24" s="38">
        <f t="shared" si="7"/>
        <v>11</v>
      </c>
    </row>
    <row r="25" spans="1:38" ht="18.95" customHeight="1">
      <c r="A25" s="566" t="s">
        <v>71</v>
      </c>
      <c r="B25" s="582" t="s">
        <v>72</v>
      </c>
      <c r="C25" s="29" t="s">
        <v>23</v>
      </c>
      <c r="D25" s="29" t="s">
        <v>23</v>
      </c>
      <c r="E25" s="111" t="s">
        <v>24</v>
      </c>
      <c r="F25" s="111" t="s">
        <v>24</v>
      </c>
      <c r="G25" s="111" t="s">
        <v>24</v>
      </c>
      <c r="H25" s="111" t="s">
        <v>24</v>
      </c>
      <c r="I25" s="29" t="s">
        <v>23</v>
      </c>
      <c r="J25" s="29" t="s">
        <v>23</v>
      </c>
      <c r="K25" s="6" t="s">
        <v>22</v>
      </c>
      <c r="L25" s="6" t="s">
        <v>22</v>
      </c>
      <c r="M25" s="6" t="s">
        <v>22</v>
      </c>
      <c r="N25" s="6" t="s">
        <v>22</v>
      </c>
      <c r="O25" s="29" t="s">
        <v>23</v>
      </c>
      <c r="P25" s="29" t="s">
        <v>23</v>
      </c>
      <c r="Q25" s="85" t="s">
        <v>63</v>
      </c>
      <c r="R25" s="85" t="s">
        <v>63</v>
      </c>
      <c r="S25" s="85" t="s">
        <v>63</v>
      </c>
      <c r="T25" s="85" t="s">
        <v>63</v>
      </c>
      <c r="U25" s="29" t="s">
        <v>23</v>
      </c>
      <c r="V25" s="29" t="s">
        <v>23</v>
      </c>
      <c r="W25" s="111" t="s">
        <v>24</v>
      </c>
      <c r="X25" s="111" t="s">
        <v>24</v>
      </c>
      <c r="Y25" s="111" t="s">
        <v>24</v>
      </c>
      <c r="Z25" s="111" t="s">
        <v>24</v>
      </c>
      <c r="AA25" s="29" t="s">
        <v>23</v>
      </c>
      <c r="AB25" s="29" t="s">
        <v>23</v>
      </c>
      <c r="AC25" s="6" t="s">
        <v>22</v>
      </c>
      <c r="AD25" s="9" t="s">
        <v>22</v>
      </c>
      <c r="AF25" s="44">
        <f>VLOOKUP(B25,'JAN25'!$B:$AO,36,0)</f>
        <v>0</v>
      </c>
      <c r="AG25" s="35">
        <f t="shared" si="4"/>
        <v>0</v>
      </c>
      <c r="AH25" s="19">
        <f t="shared" si="5"/>
        <v>0</v>
      </c>
      <c r="AI25" s="66"/>
      <c r="AJ25" s="37">
        <f>VLOOKUP(B25,'JAN25'!$B:$AO,40,0)</f>
        <v>12</v>
      </c>
      <c r="AK25" s="35">
        <f t="shared" si="6"/>
        <v>0</v>
      </c>
      <c r="AL25" s="38">
        <f t="shared" si="7"/>
        <v>12</v>
      </c>
    </row>
    <row r="26" spans="1:38" ht="18.95" customHeight="1">
      <c r="A26" s="566" t="s">
        <v>73</v>
      </c>
      <c r="B26" s="582" t="s">
        <v>74</v>
      </c>
      <c r="C26" s="29" t="s">
        <v>23</v>
      </c>
      <c r="D26" s="29" t="s">
        <v>23</v>
      </c>
      <c r="E26" s="6" t="s">
        <v>22</v>
      </c>
      <c r="F26" s="6" t="s">
        <v>22</v>
      </c>
      <c r="G26" s="29" t="s">
        <v>23</v>
      </c>
      <c r="H26" s="29" t="s">
        <v>23</v>
      </c>
      <c r="I26" s="111" t="s">
        <v>24</v>
      </c>
      <c r="J26" s="578" t="s">
        <v>147</v>
      </c>
      <c r="K26" s="111" t="s">
        <v>24</v>
      </c>
      <c r="L26" s="111" t="s">
        <v>24</v>
      </c>
      <c r="M26" s="29" t="s">
        <v>23</v>
      </c>
      <c r="N26" s="29" t="s">
        <v>23</v>
      </c>
      <c r="O26" s="6" t="s">
        <v>22</v>
      </c>
      <c r="P26" s="6" t="s">
        <v>22</v>
      </c>
      <c r="Q26" s="6" t="s">
        <v>22</v>
      </c>
      <c r="R26" s="6" t="s">
        <v>22</v>
      </c>
      <c r="S26" s="29" t="s">
        <v>23</v>
      </c>
      <c r="T26" s="29" t="s">
        <v>23</v>
      </c>
      <c r="U26" s="85" t="s">
        <v>63</v>
      </c>
      <c r="V26" s="85" t="s">
        <v>63</v>
      </c>
      <c r="W26" s="85" t="s">
        <v>63</v>
      </c>
      <c r="X26" s="85" t="s">
        <v>63</v>
      </c>
      <c r="Y26" s="29" t="s">
        <v>23</v>
      </c>
      <c r="Z26" s="29" t="s">
        <v>23</v>
      </c>
      <c r="AA26" s="6" t="s">
        <v>22</v>
      </c>
      <c r="AB26" s="6" t="s">
        <v>22</v>
      </c>
      <c r="AC26" s="6" t="s">
        <v>22</v>
      </c>
      <c r="AD26" s="9" t="s">
        <v>22</v>
      </c>
      <c r="AF26" s="44">
        <f>VLOOKUP(B26,'JAN25'!$B:$AO,36,0)</f>
        <v>5</v>
      </c>
      <c r="AG26" s="35">
        <f t="shared" si="4"/>
        <v>0</v>
      </c>
      <c r="AH26" s="19">
        <f t="shared" si="5"/>
        <v>5</v>
      </c>
      <c r="AI26" s="66"/>
      <c r="AJ26" s="37">
        <f>VLOOKUP(B26,'JAN25'!$B:$AO,40,0)</f>
        <v>10</v>
      </c>
      <c r="AK26" s="35">
        <f t="shared" si="6"/>
        <v>0</v>
      </c>
      <c r="AL26" s="38">
        <f t="shared" si="7"/>
        <v>10</v>
      </c>
    </row>
    <row r="27" spans="1:38" ht="18.95" customHeight="1">
      <c r="A27" s="566" t="s">
        <v>75</v>
      </c>
      <c r="B27" s="582" t="s">
        <v>76</v>
      </c>
      <c r="C27" s="111" t="s">
        <v>24</v>
      </c>
      <c r="D27" s="111" t="s">
        <v>24</v>
      </c>
      <c r="E27" s="29" t="s">
        <v>23</v>
      </c>
      <c r="F27" s="29" t="s">
        <v>23</v>
      </c>
      <c r="G27" s="6" t="s">
        <v>22</v>
      </c>
      <c r="H27" s="6" t="s">
        <v>22</v>
      </c>
      <c r="I27" s="6" t="s">
        <v>22</v>
      </c>
      <c r="J27" s="6" t="s">
        <v>22</v>
      </c>
      <c r="K27" s="6" t="s">
        <v>22</v>
      </c>
      <c r="L27" s="29" t="s">
        <v>23</v>
      </c>
      <c r="M27" s="29" t="s">
        <v>23</v>
      </c>
      <c r="N27" s="111" t="s">
        <v>24</v>
      </c>
      <c r="O27" s="111" t="s">
        <v>24</v>
      </c>
      <c r="P27" s="111" t="s">
        <v>24</v>
      </c>
      <c r="Q27" s="29" t="s">
        <v>23</v>
      </c>
      <c r="R27" s="29" t="s">
        <v>23</v>
      </c>
      <c r="S27" s="6" t="s">
        <v>22</v>
      </c>
      <c r="T27" s="6" t="s">
        <v>22</v>
      </c>
      <c r="U27" s="6" t="s">
        <v>22</v>
      </c>
      <c r="V27" s="6" t="s">
        <v>22</v>
      </c>
      <c r="W27" s="29" t="s">
        <v>23</v>
      </c>
      <c r="X27" s="29" t="s">
        <v>23</v>
      </c>
      <c r="Y27" s="85" t="s">
        <v>63</v>
      </c>
      <c r="Z27" s="85" t="s">
        <v>63</v>
      </c>
      <c r="AA27" s="85" t="s">
        <v>63</v>
      </c>
      <c r="AB27" s="85" t="s">
        <v>63</v>
      </c>
      <c r="AC27" s="29" t="s">
        <v>23</v>
      </c>
      <c r="AD27" s="78" t="s">
        <v>23</v>
      </c>
      <c r="AF27" s="44">
        <f>VLOOKUP(B27,'JAN25'!$B:$AO,36,0)</f>
        <v>2</v>
      </c>
      <c r="AG27" s="35">
        <f t="shared" si="4"/>
        <v>0</v>
      </c>
      <c r="AH27" s="19">
        <f t="shared" si="5"/>
        <v>2</v>
      </c>
      <c r="AI27" s="66"/>
      <c r="AJ27" s="37">
        <f>VLOOKUP(B27,'JAN25'!$B:$AO,40,0)</f>
        <v>22</v>
      </c>
      <c r="AK27" s="35">
        <f t="shared" si="6"/>
        <v>0</v>
      </c>
      <c r="AL27" s="38">
        <f t="shared" si="7"/>
        <v>22</v>
      </c>
    </row>
    <row r="28" spans="1:38" ht="18.95" customHeight="1">
      <c r="A28" s="566" t="s">
        <v>77</v>
      </c>
      <c r="B28" s="582" t="s">
        <v>78</v>
      </c>
      <c r="C28" s="29" t="s">
        <v>23</v>
      </c>
      <c r="D28" s="29" t="s">
        <v>23</v>
      </c>
      <c r="E28" s="111" t="s">
        <v>24</v>
      </c>
      <c r="F28" s="111" t="s">
        <v>24</v>
      </c>
      <c r="G28" s="111" t="s">
        <v>150</v>
      </c>
      <c r="H28" s="111" t="s">
        <v>24</v>
      </c>
      <c r="I28" s="29" t="s">
        <v>23</v>
      </c>
      <c r="J28" s="29" t="s">
        <v>23</v>
      </c>
      <c r="K28" s="6" t="s">
        <v>22</v>
      </c>
      <c r="L28" s="6" t="s">
        <v>22</v>
      </c>
      <c r="M28" s="6" t="s">
        <v>22</v>
      </c>
      <c r="N28" s="6" t="s">
        <v>22</v>
      </c>
      <c r="O28" s="29" t="s">
        <v>23</v>
      </c>
      <c r="P28" s="29" t="s">
        <v>23</v>
      </c>
      <c r="Q28" s="111" t="s">
        <v>24</v>
      </c>
      <c r="R28" s="111" t="s">
        <v>24</v>
      </c>
      <c r="S28" s="111" t="s">
        <v>24</v>
      </c>
      <c r="T28" s="111" t="s">
        <v>24</v>
      </c>
      <c r="U28" s="29" t="s">
        <v>23</v>
      </c>
      <c r="V28" s="29" t="s">
        <v>23</v>
      </c>
      <c r="W28" s="6" t="s">
        <v>22</v>
      </c>
      <c r="X28" s="6" t="s">
        <v>22</v>
      </c>
      <c r="Y28" s="6" t="s">
        <v>22</v>
      </c>
      <c r="Z28" s="6" t="s">
        <v>22</v>
      </c>
      <c r="AA28" s="29" t="s">
        <v>23</v>
      </c>
      <c r="AB28" s="29" t="s">
        <v>23</v>
      </c>
      <c r="AC28" s="85" t="s">
        <v>63</v>
      </c>
      <c r="AD28" s="86" t="s">
        <v>63</v>
      </c>
      <c r="AF28" s="44">
        <f>VLOOKUP(B28,'JAN25'!$B:$AO,36,0)</f>
        <v>0</v>
      </c>
      <c r="AG28" s="35">
        <f t="shared" si="4"/>
        <v>0</v>
      </c>
      <c r="AH28" s="19">
        <f t="shared" si="5"/>
        <v>0</v>
      </c>
      <c r="AI28" s="66"/>
      <c r="AJ28" s="37">
        <f>VLOOKUP(B28,'JAN25'!$B:$AO,40,0)</f>
        <v>22</v>
      </c>
      <c r="AK28" s="35">
        <f t="shared" si="6"/>
        <v>0</v>
      </c>
      <c r="AL28" s="38">
        <f t="shared" si="7"/>
        <v>22</v>
      </c>
    </row>
    <row r="29" spans="1:38" ht="18.95" customHeight="1">
      <c r="A29" s="566" t="s">
        <v>79</v>
      </c>
      <c r="B29" s="582" t="s">
        <v>80</v>
      </c>
      <c r="C29" s="85" t="s">
        <v>63</v>
      </c>
      <c r="D29" s="85" t="s">
        <v>63</v>
      </c>
      <c r="E29" s="85" t="s">
        <v>63</v>
      </c>
      <c r="F29" s="85" t="s">
        <v>63</v>
      </c>
      <c r="G29" s="29" t="s">
        <v>23</v>
      </c>
      <c r="H29" s="29" t="s">
        <v>23</v>
      </c>
      <c r="I29" s="111" t="s">
        <v>24</v>
      </c>
      <c r="J29" s="111" t="s">
        <v>24</v>
      </c>
      <c r="K29" s="111" t="s">
        <v>24</v>
      </c>
      <c r="L29" s="111" t="s">
        <v>24</v>
      </c>
      <c r="M29" s="29" t="s">
        <v>23</v>
      </c>
      <c r="N29" s="29" t="s">
        <v>23</v>
      </c>
      <c r="O29" s="6" t="s">
        <v>22</v>
      </c>
      <c r="P29" s="6" t="s">
        <v>22</v>
      </c>
      <c r="Q29" s="6" t="s">
        <v>22</v>
      </c>
      <c r="R29" s="6" t="s">
        <v>22</v>
      </c>
      <c r="S29" s="29" t="s">
        <v>23</v>
      </c>
      <c r="T29" s="29" t="s">
        <v>23</v>
      </c>
      <c r="U29" s="111" t="s">
        <v>24</v>
      </c>
      <c r="V29" s="111" t="s">
        <v>24</v>
      </c>
      <c r="W29" s="111" t="s">
        <v>24</v>
      </c>
      <c r="X29" s="111" t="s">
        <v>24</v>
      </c>
      <c r="Y29" s="29" t="s">
        <v>23</v>
      </c>
      <c r="Z29" s="29" t="s">
        <v>23</v>
      </c>
      <c r="AA29" s="111" t="s">
        <v>24</v>
      </c>
      <c r="AB29" s="111" t="s">
        <v>24</v>
      </c>
      <c r="AC29" s="111" t="s">
        <v>24</v>
      </c>
      <c r="AD29" s="119" t="s">
        <v>24</v>
      </c>
      <c r="AF29" s="44">
        <f>VLOOKUP(B29,'JAN25'!$B:$AO,36,0)</f>
        <v>10</v>
      </c>
      <c r="AG29" s="35">
        <f t="shared" si="4"/>
        <v>0</v>
      </c>
      <c r="AH29" s="19">
        <f t="shared" si="5"/>
        <v>10</v>
      </c>
      <c r="AI29" s="66"/>
      <c r="AJ29" s="37">
        <f>VLOOKUP(B29,'JAN25'!$B:$AO,40,0)</f>
        <v>22</v>
      </c>
      <c r="AK29" s="35">
        <f t="shared" si="6"/>
        <v>0</v>
      </c>
      <c r="AL29" s="38">
        <f t="shared" si="7"/>
        <v>22</v>
      </c>
    </row>
    <row r="30" spans="1:38" ht="18.95" customHeight="1">
      <c r="A30" s="566" t="s">
        <v>81</v>
      </c>
      <c r="B30" s="582" t="s">
        <v>82</v>
      </c>
      <c r="C30" s="6" t="s">
        <v>22</v>
      </c>
      <c r="D30" s="6" t="s">
        <v>22</v>
      </c>
      <c r="E30" s="29" t="s">
        <v>23</v>
      </c>
      <c r="F30" s="29" t="s">
        <v>23</v>
      </c>
      <c r="G30" s="85" t="s">
        <v>63</v>
      </c>
      <c r="H30" s="85" t="s">
        <v>63</v>
      </c>
      <c r="I30" s="85" t="s">
        <v>63</v>
      </c>
      <c r="J30" s="85" t="s">
        <v>63</v>
      </c>
      <c r="K30" s="29" t="s">
        <v>23</v>
      </c>
      <c r="L30" s="29" t="s">
        <v>23</v>
      </c>
      <c r="M30" s="111" t="s">
        <v>24</v>
      </c>
      <c r="N30" s="111" t="s">
        <v>24</v>
      </c>
      <c r="O30" s="111" t="s">
        <v>24</v>
      </c>
      <c r="P30" s="111" t="s">
        <v>24</v>
      </c>
      <c r="Q30" s="29" t="s">
        <v>23</v>
      </c>
      <c r="R30" s="29" t="s">
        <v>23</v>
      </c>
      <c r="S30" s="6" t="s">
        <v>22</v>
      </c>
      <c r="T30" s="6" t="s">
        <v>22</v>
      </c>
      <c r="U30" s="6" t="s">
        <v>22</v>
      </c>
      <c r="V30" s="6" t="s">
        <v>22</v>
      </c>
      <c r="W30" s="29" t="s">
        <v>23</v>
      </c>
      <c r="X30" s="29" t="s">
        <v>23</v>
      </c>
      <c r="Y30" s="111" t="s">
        <v>24</v>
      </c>
      <c r="Z30" s="111" t="s">
        <v>24</v>
      </c>
      <c r="AA30" s="111" t="s">
        <v>24</v>
      </c>
      <c r="AB30" s="111" t="s">
        <v>24</v>
      </c>
      <c r="AC30" s="29" t="s">
        <v>23</v>
      </c>
      <c r="AD30" s="78" t="s">
        <v>23</v>
      </c>
      <c r="AF30" s="44">
        <f>VLOOKUP(B30,'JAN25'!$B:$AO,36,0)</f>
        <v>4</v>
      </c>
      <c r="AG30" s="35">
        <f t="shared" si="4"/>
        <v>0</v>
      </c>
      <c r="AH30" s="19">
        <f t="shared" si="5"/>
        <v>4</v>
      </c>
      <c r="AI30" s="66"/>
      <c r="AJ30" s="37">
        <f>VLOOKUP(B30,'JAN25'!$B:$AO,40,0)</f>
        <v>22</v>
      </c>
      <c r="AK30" s="35">
        <f t="shared" si="6"/>
        <v>0</v>
      </c>
      <c r="AL30" s="38">
        <f t="shared" si="7"/>
        <v>22</v>
      </c>
    </row>
    <row r="31" spans="1:38" ht="18.95" customHeight="1">
      <c r="A31" s="566" t="s">
        <v>85</v>
      </c>
      <c r="B31" s="582" t="s">
        <v>86</v>
      </c>
      <c r="C31" s="29" t="s">
        <v>23</v>
      </c>
      <c r="D31" s="29" t="s">
        <v>23</v>
      </c>
      <c r="E31" s="111" t="s">
        <v>24</v>
      </c>
      <c r="F31" s="111" t="s">
        <v>24</v>
      </c>
      <c r="G31" s="111" t="s">
        <v>24</v>
      </c>
      <c r="H31" s="111" t="s">
        <v>24</v>
      </c>
      <c r="I31" s="29" t="s">
        <v>23</v>
      </c>
      <c r="J31" s="29" t="s">
        <v>23</v>
      </c>
      <c r="K31" s="85" t="s">
        <v>63</v>
      </c>
      <c r="L31" s="85" t="s">
        <v>63</v>
      </c>
      <c r="M31" s="85" t="s">
        <v>63</v>
      </c>
      <c r="N31" s="85" t="s">
        <v>63</v>
      </c>
      <c r="O31" s="29" t="s">
        <v>23</v>
      </c>
      <c r="P31" s="29" t="s">
        <v>23</v>
      </c>
      <c r="Q31" s="111" t="s">
        <v>24</v>
      </c>
      <c r="R31" s="111" t="s">
        <v>24</v>
      </c>
      <c r="S31" s="111" t="s">
        <v>24</v>
      </c>
      <c r="T31" s="111" t="s">
        <v>24</v>
      </c>
      <c r="U31" s="29" t="s">
        <v>23</v>
      </c>
      <c r="V31" s="29" t="s">
        <v>23</v>
      </c>
      <c r="W31" s="6" t="s">
        <v>22</v>
      </c>
      <c r="X31" s="6" t="s">
        <v>22</v>
      </c>
      <c r="Y31" s="6" t="s">
        <v>22</v>
      </c>
      <c r="Z31" s="6" t="s">
        <v>22</v>
      </c>
      <c r="AA31" s="29" t="s">
        <v>23</v>
      </c>
      <c r="AB31" s="29" t="s">
        <v>23</v>
      </c>
      <c r="AC31" s="111" t="s">
        <v>24</v>
      </c>
      <c r="AD31" s="119" t="s">
        <v>24</v>
      </c>
      <c r="AF31" s="44">
        <f>VLOOKUP(B31,'JAN25'!$B:$AO,36,0)</f>
        <v>0</v>
      </c>
      <c r="AG31" s="35">
        <f t="shared" si="4"/>
        <v>0</v>
      </c>
      <c r="AH31" s="19">
        <f t="shared" si="5"/>
        <v>0</v>
      </c>
      <c r="AI31" s="66"/>
      <c r="AJ31" s="37">
        <f>VLOOKUP(B31,'JAN25'!$B:$AO,40,0)</f>
        <v>22</v>
      </c>
      <c r="AK31" s="35">
        <f t="shared" si="6"/>
        <v>0</v>
      </c>
      <c r="AL31" s="38">
        <f t="shared" si="7"/>
        <v>22</v>
      </c>
    </row>
    <row r="32" spans="1:38" ht="18.95" customHeight="1">
      <c r="A32" s="566" t="s">
        <v>87</v>
      </c>
      <c r="B32" s="582" t="s">
        <v>88</v>
      </c>
      <c r="C32" s="6" t="s">
        <v>22</v>
      </c>
      <c r="D32" s="6" t="s">
        <v>22</v>
      </c>
      <c r="E32" s="6" t="s">
        <v>22</v>
      </c>
      <c r="F32" s="92" t="s">
        <v>34</v>
      </c>
      <c r="G32" s="29" t="s">
        <v>23</v>
      </c>
      <c r="H32" s="29" t="s">
        <v>23</v>
      </c>
      <c r="I32" s="92" t="s">
        <v>31</v>
      </c>
      <c r="J32" s="92" t="s">
        <v>31</v>
      </c>
      <c r="K32" s="92" t="s">
        <v>34</v>
      </c>
      <c r="L32" s="92" t="s">
        <v>34</v>
      </c>
      <c r="M32" s="29" t="s">
        <v>23</v>
      </c>
      <c r="N32" s="29" t="s">
        <v>23</v>
      </c>
      <c r="O32" s="85" t="s">
        <v>63</v>
      </c>
      <c r="P32" s="85" t="s">
        <v>63</v>
      </c>
      <c r="Q32" s="85" t="s">
        <v>63</v>
      </c>
      <c r="R32" s="85" t="s">
        <v>63</v>
      </c>
      <c r="S32" s="29" t="s">
        <v>23</v>
      </c>
      <c r="T32" s="29" t="s">
        <v>23</v>
      </c>
      <c r="U32" s="200" t="s">
        <v>19</v>
      </c>
      <c r="V32" s="200" t="s">
        <v>19</v>
      </c>
      <c r="W32" s="200" t="s">
        <v>19</v>
      </c>
      <c r="X32" s="111" t="s">
        <v>24</v>
      </c>
      <c r="Y32" s="29" t="s">
        <v>23</v>
      </c>
      <c r="Z32" s="29" t="s">
        <v>23</v>
      </c>
      <c r="AA32" s="6" t="s">
        <v>22</v>
      </c>
      <c r="AB32" s="6" t="s">
        <v>22</v>
      </c>
      <c r="AC32" s="6" t="s">
        <v>22</v>
      </c>
      <c r="AD32" s="9" t="s">
        <v>22</v>
      </c>
      <c r="AF32" s="44">
        <f>VLOOKUP(B32,'JAN25'!$B:$AO,36,0)</f>
        <v>2</v>
      </c>
      <c r="AG32" s="35">
        <f t="shared" si="4"/>
        <v>2</v>
      </c>
      <c r="AH32" s="19">
        <f t="shared" si="5"/>
        <v>0</v>
      </c>
      <c r="AI32" s="66"/>
      <c r="AJ32" s="37">
        <f>VLOOKUP(B32,'JAN25'!$B:$AO,40,0)</f>
        <v>22</v>
      </c>
      <c r="AK32" s="35">
        <f t="shared" si="6"/>
        <v>3</v>
      </c>
      <c r="AL32" s="38">
        <f t="shared" si="7"/>
        <v>19</v>
      </c>
    </row>
    <row r="33" spans="1:38" ht="18.95" customHeight="1">
      <c r="A33" s="602" t="s">
        <v>90</v>
      </c>
      <c r="B33" s="582" t="s">
        <v>91</v>
      </c>
      <c r="C33" s="111" t="s">
        <v>24</v>
      </c>
      <c r="D33" s="111" t="s">
        <v>24</v>
      </c>
      <c r="E33" s="29" t="s">
        <v>23</v>
      </c>
      <c r="F33" s="29" t="s">
        <v>23</v>
      </c>
      <c r="G33" s="6" t="s">
        <v>22</v>
      </c>
      <c r="H33" s="6" t="s">
        <v>22</v>
      </c>
      <c r="I33" s="6" t="s">
        <v>22</v>
      </c>
      <c r="J33" s="6" t="s">
        <v>22</v>
      </c>
      <c r="K33" s="29" t="s">
        <v>23</v>
      </c>
      <c r="L33" s="29" t="s">
        <v>23</v>
      </c>
      <c r="M33" s="111" t="s">
        <v>24</v>
      </c>
      <c r="N33" s="111" t="s">
        <v>24</v>
      </c>
      <c r="O33" s="111" t="s">
        <v>24</v>
      </c>
      <c r="P33" s="111" t="s">
        <v>24</v>
      </c>
      <c r="Q33" s="29" t="s">
        <v>23</v>
      </c>
      <c r="R33" s="29" t="s">
        <v>23</v>
      </c>
      <c r="S33" s="85" t="s">
        <v>63</v>
      </c>
      <c r="T33" s="85" t="s">
        <v>63</v>
      </c>
      <c r="U33" s="85" t="s">
        <v>63</v>
      </c>
      <c r="V33" s="85" t="s">
        <v>63</v>
      </c>
      <c r="W33" s="29" t="s">
        <v>23</v>
      </c>
      <c r="X33" s="29" t="s">
        <v>23</v>
      </c>
      <c r="Y33" s="111" t="s">
        <v>24</v>
      </c>
      <c r="Z33" s="111" t="s">
        <v>24</v>
      </c>
      <c r="AA33" s="111" t="s">
        <v>24</v>
      </c>
      <c r="AB33" s="111" t="s">
        <v>24</v>
      </c>
      <c r="AC33" s="29" t="s">
        <v>23</v>
      </c>
      <c r="AD33" s="78" t="s">
        <v>23</v>
      </c>
      <c r="AF33" s="44">
        <f>VLOOKUP(B33,'JAN25'!$B:$AO,36,0)</f>
        <v>10</v>
      </c>
      <c r="AG33" s="35">
        <f t="shared" si="4"/>
        <v>0</v>
      </c>
      <c r="AH33" s="19">
        <f t="shared" si="5"/>
        <v>10</v>
      </c>
      <c r="AI33" s="66"/>
      <c r="AJ33" s="37">
        <f>VLOOKUP(B33,'JAN25'!$B:$AO,40,0)</f>
        <v>11</v>
      </c>
      <c r="AK33" s="35">
        <f t="shared" si="6"/>
        <v>0</v>
      </c>
      <c r="AL33" s="38">
        <f t="shared" si="7"/>
        <v>11</v>
      </c>
    </row>
    <row r="34" spans="1:38" ht="18.95" customHeight="1">
      <c r="A34" s="602" t="s">
        <v>92</v>
      </c>
      <c r="B34" s="582" t="s">
        <v>93</v>
      </c>
      <c r="C34" s="29" t="s">
        <v>23</v>
      </c>
      <c r="D34" s="29" t="s">
        <v>23</v>
      </c>
      <c r="E34" s="111" t="s">
        <v>24</v>
      </c>
      <c r="F34" s="111" t="s">
        <v>24</v>
      </c>
      <c r="G34" s="111" t="s">
        <v>24</v>
      </c>
      <c r="H34" s="111" t="s">
        <v>24</v>
      </c>
      <c r="I34" s="111" t="s">
        <v>24</v>
      </c>
      <c r="J34" s="29" t="s">
        <v>23</v>
      </c>
      <c r="K34" s="29" t="s">
        <v>23</v>
      </c>
      <c r="L34" s="6" t="s">
        <v>22</v>
      </c>
      <c r="M34" s="6" t="s">
        <v>22</v>
      </c>
      <c r="N34" s="6" t="s">
        <v>22</v>
      </c>
      <c r="O34" s="29" t="s">
        <v>23</v>
      </c>
      <c r="P34" s="29" t="s">
        <v>23</v>
      </c>
      <c r="Q34" s="6" t="s">
        <v>22</v>
      </c>
      <c r="R34" s="6" t="s">
        <v>22</v>
      </c>
      <c r="S34" s="6" t="s">
        <v>22</v>
      </c>
      <c r="T34" s="6" t="s">
        <v>22</v>
      </c>
      <c r="U34" s="29" t="s">
        <v>23</v>
      </c>
      <c r="V34" s="29" t="s">
        <v>23</v>
      </c>
      <c r="W34" s="85" t="s">
        <v>63</v>
      </c>
      <c r="X34" s="85" t="s">
        <v>63</v>
      </c>
      <c r="Y34" s="85" t="s">
        <v>63</v>
      </c>
      <c r="Z34" s="85" t="s">
        <v>63</v>
      </c>
      <c r="AA34" s="29" t="s">
        <v>23</v>
      </c>
      <c r="AB34" s="29" t="s">
        <v>23</v>
      </c>
      <c r="AC34" s="111" t="s">
        <v>24</v>
      </c>
      <c r="AD34" s="119" t="s">
        <v>24</v>
      </c>
      <c r="AF34" s="44">
        <f>VLOOKUP(B34,'JAN25'!$B:$AO,36,0)</f>
        <v>2</v>
      </c>
      <c r="AG34" s="35">
        <f t="shared" si="4"/>
        <v>0</v>
      </c>
      <c r="AH34" s="19">
        <f t="shared" si="5"/>
        <v>2</v>
      </c>
      <c r="AI34" s="66"/>
      <c r="AJ34" s="37">
        <f>VLOOKUP(B34,'JAN25'!$B:$AO,40,0)</f>
        <v>22</v>
      </c>
      <c r="AK34" s="35">
        <f t="shared" si="6"/>
        <v>0</v>
      </c>
      <c r="AL34" s="38">
        <f t="shared" si="7"/>
        <v>22</v>
      </c>
    </row>
    <row r="35" spans="1:38" ht="18.95" customHeight="1" thickBot="1">
      <c r="A35" s="567" t="s">
        <v>94</v>
      </c>
      <c r="B35" s="592" t="s">
        <v>95</v>
      </c>
      <c r="C35" s="83" t="s">
        <v>23</v>
      </c>
      <c r="D35" s="83" t="s">
        <v>23</v>
      </c>
      <c r="E35" s="15" t="s">
        <v>22</v>
      </c>
      <c r="F35" s="15" t="s">
        <v>22</v>
      </c>
      <c r="G35" s="15" t="s">
        <v>22</v>
      </c>
      <c r="H35" s="83" t="s">
        <v>23</v>
      </c>
      <c r="I35" s="116" t="s">
        <v>24</v>
      </c>
      <c r="J35" s="116" t="s">
        <v>24</v>
      </c>
      <c r="K35" s="116" t="s">
        <v>24</v>
      </c>
      <c r="L35" s="116" t="s">
        <v>24</v>
      </c>
      <c r="M35" s="83" t="s">
        <v>23</v>
      </c>
      <c r="N35" s="83" t="s">
        <v>23</v>
      </c>
      <c r="O35" s="15" t="s">
        <v>22</v>
      </c>
      <c r="P35" s="15" t="s">
        <v>22</v>
      </c>
      <c r="Q35" s="15" t="s">
        <v>22</v>
      </c>
      <c r="R35" s="15" t="s">
        <v>22</v>
      </c>
      <c r="S35" s="83" t="s">
        <v>23</v>
      </c>
      <c r="T35" s="83" t="s">
        <v>23</v>
      </c>
      <c r="U35" s="116" t="s">
        <v>24</v>
      </c>
      <c r="V35" s="116" t="s">
        <v>24</v>
      </c>
      <c r="W35" s="116" t="s">
        <v>24</v>
      </c>
      <c r="X35" s="116" t="s">
        <v>24</v>
      </c>
      <c r="Y35" s="83" t="s">
        <v>23</v>
      </c>
      <c r="Z35" s="83" t="s">
        <v>23</v>
      </c>
      <c r="AA35" s="383" t="s">
        <v>63</v>
      </c>
      <c r="AB35" s="383" t="s">
        <v>63</v>
      </c>
      <c r="AC35" s="383" t="s">
        <v>63</v>
      </c>
      <c r="AD35" s="390" t="s">
        <v>63</v>
      </c>
      <c r="AF35" s="45">
        <f>VLOOKUP(B35,'JAN25'!$B:$AO,36,0)</f>
        <v>3</v>
      </c>
      <c r="AG35" s="16">
        <f t="shared" si="4"/>
        <v>0</v>
      </c>
      <c r="AH35" s="20">
        <f t="shared" si="5"/>
        <v>3</v>
      </c>
      <c r="AI35" s="66"/>
      <c r="AJ35" s="46">
        <f>VLOOKUP(B35,'JAN25'!$B:$AO,40,0)</f>
        <v>22</v>
      </c>
      <c r="AK35" s="16">
        <f t="shared" si="6"/>
        <v>0</v>
      </c>
      <c r="AL35" s="52">
        <f t="shared" si="7"/>
        <v>22</v>
      </c>
    </row>
    <row r="36" spans="1:38" ht="19.5" thickBot="1">
      <c r="A36" s="426"/>
      <c r="B36" s="426"/>
      <c r="C36" s="98"/>
      <c r="D36" s="98"/>
      <c r="E36" s="98"/>
      <c r="F36" s="98"/>
      <c r="G36" s="98"/>
      <c r="H36" s="98"/>
      <c r="I36" s="167"/>
      <c r="J36" s="167"/>
      <c r="K36" s="167"/>
      <c r="L36" s="167"/>
      <c r="M36" s="98"/>
      <c r="N36" s="98"/>
      <c r="O36" s="98"/>
      <c r="P36" s="98"/>
      <c r="Q36" s="98"/>
      <c r="R36" s="98"/>
      <c r="S36" s="98"/>
      <c r="T36" s="98"/>
      <c r="U36" s="167"/>
      <c r="V36" s="167"/>
      <c r="W36" s="167"/>
      <c r="X36" s="167"/>
      <c r="Y36" s="98"/>
      <c r="Z36" s="98"/>
      <c r="AA36" s="423"/>
      <c r="AB36" s="423"/>
      <c r="AC36" s="423"/>
      <c r="AD36" s="423"/>
      <c r="AF36" s="106"/>
      <c r="AG36" s="72"/>
      <c r="AH36" s="100"/>
      <c r="AI36" s="66"/>
      <c r="AJ36" s="72"/>
      <c r="AK36" s="72"/>
      <c r="AL36" s="72"/>
    </row>
    <row r="37" spans="1:38" ht="24.95" customHeight="1" thickBot="1">
      <c r="A37" s="599" t="s">
        <v>97</v>
      </c>
      <c r="B37" s="600"/>
      <c r="C37" s="514"/>
      <c r="D37" s="514"/>
      <c r="E37" s="514"/>
      <c r="F37" s="514"/>
      <c r="G37" s="514"/>
      <c r="H37" s="51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Y37" s="514"/>
      <c r="Z37" s="514"/>
      <c r="AA37" s="514"/>
      <c r="AB37" s="514"/>
      <c r="AC37" s="514"/>
      <c r="AD37" s="539"/>
      <c r="AF37" s="106"/>
      <c r="AG37" s="72"/>
      <c r="AH37" s="100"/>
      <c r="AI37" s="66"/>
      <c r="AJ37" s="72"/>
      <c r="AK37" s="72"/>
      <c r="AL37" s="72"/>
    </row>
    <row r="38" spans="1:38" ht="18.95" customHeight="1">
      <c r="A38" s="566" t="s">
        <v>98</v>
      </c>
      <c r="B38" s="582" t="s">
        <v>99</v>
      </c>
      <c r="C38" s="10" t="s">
        <v>83</v>
      </c>
      <c r="D38" s="29" t="s">
        <v>23</v>
      </c>
      <c r="E38" s="29" t="s">
        <v>23</v>
      </c>
      <c r="F38" s="7" t="s">
        <v>103</v>
      </c>
      <c r="G38" s="7" t="s">
        <v>103</v>
      </c>
      <c r="H38" s="7" t="s">
        <v>103</v>
      </c>
      <c r="I38" s="7" t="s">
        <v>103</v>
      </c>
      <c r="J38" s="29" t="s">
        <v>23</v>
      </c>
      <c r="K38" s="29" t="s">
        <v>23</v>
      </c>
      <c r="L38" s="114" t="s">
        <v>100</v>
      </c>
      <c r="M38" s="114" t="s">
        <v>100</v>
      </c>
      <c r="N38" s="114" t="s">
        <v>100</v>
      </c>
      <c r="O38" s="577" t="s">
        <v>39</v>
      </c>
      <c r="P38" s="29" t="s">
        <v>23</v>
      </c>
      <c r="Q38" s="29" t="s">
        <v>23</v>
      </c>
      <c r="R38" s="7" t="s">
        <v>103</v>
      </c>
      <c r="S38" s="7" t="s">
        <v>103</v>
      </c>
      <c r="T38" s="7" t="s">
        <v>103</v>
      </c>
      <c r="U38" s="7" t="s">
        <v>103</v>
      </c>
      <c r="V38" s="29" t="s">
        <v>23</v>
      </c>
      <c r="W38" s="29" t="s">
        <v>23</v>
      </c>
      <c r="X38" s="10" t="s">
        <v>83</v>
      </c>
      <c r="Y38" s="10" t="s">
        <v>83</v>
      </c>
      <c r="Z38" s="10" t="s">
        <v>83</v>
      </c>
      <c r="AA38" s="10" t="s">
        <v>83</v>
      </c>
      <c r="AB38" s="10" t="s">
        <v>83</v>
      </c>
      <c r="AC38" s="29" t="s">
        <v>23</v>
      </c>
      <c r="AD38" s="113" t="s">
        <v>100</v>
      </c>
      <c r="AF38" s="43">
        <f>VLOOKUP(B38,'JAN25'!$B:$AO,36,0)</f>
        <v>3</v>
      </c>
      <c r="AG38" s="56">
        <f t="shared" si="4"/>
        <v>0</v>
      </c>
      <c r="AH38" s="17">
        <f t="shared" si="5"/>
        <v>3</v>
      </c>
      <c r="AI38" s="66"/>
      <c r="AJ38" s="4">
        <f>VLOOKUP(B38,'JAN25'!$B:$AO,40,0)</f>
        <v>22</v>
      </c>
      <c r="AK38" s="56">
        <f t="shared" si="6"/>
        <v>0</v>
      </c>
      <c r="AL38" s="57">
        <f t="shared" si="7"/>
        <v>22</v>
      </c>
    </row>
    <row r="39" spans="1:38" ht="18.95" customHeight="1">
      <c r="A39" s="566" t="s">
        <v>106</v>
      </c>
      <c r="B39" s="582" t="s">
        <v>107</v>
      </c>
      <c r="C39" s="92" t="s">
        <v>34</v>
      </c>
      <c r="D39" s="92" t="s">
        <v>34</v>
      </c>
      <c r="E39" s="92" t="s">
        <v>34</v>
      </c>
      <c r="F39" s="29" t="s">
        <v>23</v>
      </c>
      <c r="G39" s="29" t="s">
        <v>23</v>
      </c>
      <c r="H39" s="92" t="s">
        <v>34</v>
      </c>
      <c r="I39" s="92" t="s">
        <v>34</v>
      </c>
      <c r="J39" s="92" t="s">
        <v>34</v>
      </c>
      <c r="K39" s="92" t="s">
        <v>34</v>
      </c>
      <c r="L39" s="29" t="s">
        <v>23</v>
      </c>
      <c r="M39" s="29" t="s">
        <v>23</v>
      </c>
      <c r="N39" s="92" t="s">
        <v>34</v>
      </c>
      <c r="O39" s="92" t="s">
        <v>34</v>
      </c>
      <c r="P39" s="92" t="s">
        <v>34</v>
      </c>
      <c r="Q39" s="92" t="s">
        <v>34</v>
      </c>
      <c r="R39" s="29" t="s">
        <v>23</v>
      </c>
      <c r="S39" s="29" t="s">
        <v>23</v>
      </c>
      <c r="T39" s="92" t="s">
        <v>34</v>
      </c>
      <c r="U39" s="92" t="s">
        <v>34</v>
      </c>
      <c r="V39" s="92" t="s">
        <v>34</v>
      </c>
      <c r="W39" s="92" t="s">
        <v>34</v>
      </c>
      <c r="X39" s="29" t="s">
        <v>23</v>
      </c>
      <c r="Y39" s="29" t="s">
        <v>23</v>
      </c>
      <c r="Z39" s="200" t="s">
        <v>39</v>
      </c>
      <c r="AA39" s="200" t="s">
        <v>39</v>
      </c>
      <c r="AB39" s="29" t="s">
        <v>42</v>
      </c>
      <c r="AC39" s="29" t="s">
        <v>144</v>
      </c>
      <c r="AD39" s="78" t="s">
        <v>144</v>
      </c>
      <c r="AF39" s="44">
        <f>VLOOKUP(B39,'JAN25'!$B:$AO,36,0)</f>
        <v>0</v>
      </c>
      <c r="AG39" s="35">
        <f t="shared" ref="AG39" si="8">COUNTIF(C39:AD39,"UA")</f>
        <v>0</v>
      </c>
      <c r="AH39" s="19">
        <f t="shared" ref="AH39" si="9">AF39-AG39</f>
        <v>0</v>
      </c>
      <c r="AI39" s="66"/>
      <c r="AJ39" s="37">
        <f>VLOOKUP(B39,'JAN25'!$B:$AO,40,0)</f>
        <v>11</v>
      </c>
      <c r="AK39" s="35"/>
      <c r="AL39" s="38"/>
    </row>
    <row r="40" spans="1:38" ht="18.95" customHeight="1">
      <c r="A40" s="566" t="s">
        <v>115</v>
      </c>
      <c r="B40" s="582" t="s">
        <v>116</v>
      </c>
      <c r="C40" s="29" t="s">
        <v>23</v>
      </c>
      <c r="D40" s="10" t="s">
        <v>83</v>
      </c>
      <c r="E40" s="10" t="s">
        <v>83</v>
      </c>
      <c r="F40" s="10" t="s">
        <v>83</v>
      </c>
      <c r="G40" s="10" t="s">
        <v>150</v>
      </c>
      <c r="H40" s="29" t="s">
        <v>23</v>
      </c>
      <c r="I40" s="29" t="s">
        <v>23</v>
      </c>
      <c r="J40" s="7" t="s">
        <v>103</v>
      </c>
      <c r="K40" s="29" t="s">
        <v>23</v>
      </c>
      <c r="L40" s="163"/>
      <c r="M40" s="163"/>
      <c r="N40" s="164"/>
      <c r="O40" s="164"/>
      <c r="P40" s="166"/>
      <c r="Q40" s="166"/>
      <c r="R40" s="166"/>
      <c r="S40" s="166"/>
      <c r="T40" s="164"/>
      <c r="U40" s="164"/>
      <c r="V40" s="165"/>
      <c r="W40" s="165"/>
      <c r="X40" s="165"/>
      <c r="Y40" s="165"/>
      <c r="Z40" s="164" t="s">
        <v>23</v>
      </c>
      <c r="AA40" s="164" t="s">
        <v>23</v>
      </c>
      <c r="AB40" s="157" t="s">
        <v>31</v>
      </c>
      <c r="AC40" s="157" t="s">
        <v>31</v>
      </c>
      <c r="AD40" s="135" t="s">
        <v>31</v>
      </c>
      <c r="AF40" s="44">
        <f>VLOOKUP(B40,'JAN25'!$B:$AO,36,0)</f>
        <v>10</v>
      </c>
      <c r="AG40" s="35">
        <f>COUNTIF(C40:AD40,"UA")</f>
        <v>3</v>
      </c>
      <c r="AH40" s="19">
        <f>AF40-AG40</f>
        <v>7</v>
      </c>
      <c r="AI40" s="66"/>
      <c r="AJ40" s="37">
        <f>VLOOKUP(B40,'JAN25'!$B:$AO,40,0)</f>
        <v>11</v>
      </c>
      <c r="AK40" s="35">
        <f>COUNTIF(C40:AD40,"u")</f>
        <v>0</v>
      </c>
      <c r="AL40" s="38">
        <f>AJ40-AK40</f>
        <v>11</v>
      </c>
    </row>
    <row r="41" spans="1:38" ht="18.95" customHeight="1">
      <c r="A41" s="566" t="s">
        <v>104</v>
      </c>
      <c r="B41" s="582" t="s">
        <v>105</v>
      </c>
      <c r="C41" s="92" t="s">
        <v>31</v>
      </c>
      <c r="D41" s="92" t="s">
        <v>31</v>
      </c>
      <c r="E41" s="92" t="s">
        <v>31</v>
      </c>
      <c r="F41" s="29" t="s">
        <v>23</v>
      </c>
      <c r="G41" s="29" t="s">
        <v>23</v>
      </c>
      <c r="H41" s="10" t="s">
        <v>83</v>
      </c>
      <c r="I41" s="10" t="s">
        <v>83</v>
      </c>
      <c r="J41" s="158" t="s">
        <v>49</v>
      </c>
      <c r="K41" s="158" t="s">
        <v>49</v>
      </c>
      <c r="L41" s="158" t="s">
        <v>49</v>
      </c>
      <c r="M41" s="29" t="s">
        <v>23</v>
      </c>
      <c r="N41" s="7" t="s">
        <v>103</v>
      </c>
      <c r="O41" s="7" t="s">
        <v>103</v>
      </c>
      <c r="P41" s="7" t="s">
        <v>103</v>
      </c>
      <c r="Q41" s="7" t="s">
        <v>103</v>
      </c>
      <c r="R41" s="29" t="s">
        <v>23</v>
      </c>
      <c r="S41" s="29" t="s">
        <v>23</v>
      </c>
      <c r="T41" s="114" t="s">
        <v>100</v>
      </c>
      <c r="U41" s="114" t="s">
        <v>100</v>
      </c>
      <c r="V41" s="114" t="s">
        <v>100</v>
      </c>
      <c r="W41" s="114" t="s">
        <v>100</v>
      </c>
      <c r="X41" s="29" t="s">
        <v>23</v>
      </c>
      <c r="Y41" s="85" t="s">
        <v>63</v>
      </c>
      <c r="Z41" s="85" t="s">
        <v>63</v>
      </c>
      <c r="AA41" s="158" t="s">
        <v>19</v>
      </c>
      <c r="AB41" s="158" t="s">
        <v>19</v>
      </c>
      <c r="AC41" s="158" t="s">
        <v>19</v>
      </c>
      <c r="AD41" s="136" t="s">
        <v>19</v>
      </c>
      <c r="AF41" s="44">
        <f>VLOOKUP(B41,'JAN25'!$B:$AO,36,0)</f>
        <v>9</v>
      </c>
      <c r="AG41" s="35">
        <f t="shared" si="4"/>
        <v>3</v>
      </c>
      <c r="AH41" s="19">
        <f t="shared" si="5"/>
        <v>6</v>
      </c>
      <c r="AI41" s="66"/>
      <c r="AJ41" s="37">
        <f>VLOOKUP(B41,'JAN25'!$B:$AO,40,0)</f>
        <v>8</v>
      </c>
      <c r="AK41" s="35">
        <f t="shared" si="6"/>
        <v>0</v>
      </c>
      <c r="AL41" s="38">
        <f t="shared" si="7"/>
        <v>8</v>
      </c>
    </row>
    <row r="42" spans="1:38" ht="18.95" customHeight="1">
      <c r="A42" s="566" t="s">
        <v>109</v>
      </c>
      <c r="B42" s="582" t="s">
        <v>110</v>
      </c>
      <c r="C42" s="29" t="s">
        <v>23</v>
      </c>
      <c r="D42" s="29" t="s">
        <v>23</v>
      </c>
      <c r="E42" s="29" t="s">
        <v>23</v>
      </c>
      <c r="F42" s="92" t="s">
        <v>39</v>
      </c>
      <c r="G42" s="92" t="s">
        <v>31</v>
      </c>
      <c r="H42" s="92" t="s">
        <v>31</v>
      </c>
      <c r="I42" s="577" t="s">
        <v>39</v>
      </c>
      <c r="J42" s="29" t="s">
        <v>23</v>
      </c>
      <c r="K42" s="29" t="s">
        <v>23</v>
      </c>
      <c r="L42" s="10" t="s">
        <v>83</v>
      </c>
      <c r="M42" s="10" t="s">
        <v>83</v>
      </c>
      <c r="N42" s="10" t="s">
        <v>83</v>
      </c>
      <c r="O42" s="10" t="s">
        <v>83</v>
      </c>
      <c r="P42" s="29" t="s">
        <v>23</v>
      </c>
      <c r="Q42" s="29" t="s">
        <v>23</v>
      </c>
      <c r="R42" s="85" t="s">
        <v>63</v>
      </c>
      <c r="S42" s="85" t="s">
        <v>63</v>
      </c>
      <c r="T42" s="85" t="s">
        <v>63</v>
      </c>
      <c r="U42" s="85" t="s">
        <v>63</v>
      </c>
      <c r="V42" s="29" t="s">
        <v>23</v>
      </c>
      <c r="W42" s="29" t="s">
        <v>23</v>
      </c>
      <c r="X42" s="114" t="s">
        <v>100</v>
      </c>
      <c r="Y42" s="114" t="s">
        <v>100</v>
      </c>
      <c r="Z42" s="114" t="s">
        <v>100</v>
      </c>
      <c r="AA42" s="114" t="s">
        <v>100</v>
      </c>
      <c r="AB42" s="29" t="s">
        <v>23</v>
      </c>
      <c r="AC42" s="29" t="s">
        <v>23</v>
      </c>
      <c r="AD42" s="86" t="s">
        <v>63</v>
      </c>
      <c r="AF42" s="44">
        <f>VLOOKUP(B42,'JAN25'!$B:$AO,36,0)</f>
        <v>3</v>
      </c>
      <c r="AG42" s="35">
        <f t="shared" si="4"/>
        <v>2</v>
      </c>
      <c r="AH42" s="19">
        <f t="shared" si="5"/>
        <v>1</v>
      </c>
      <c r="AI42" s="66"/>
      <c r="AJ42" s="37">
        <f>VLOOKUP(B42,'JAN25'!$B:$AO,40,0)</f>
        <v>22</v>
      </c>
      <c r="AK42" s="35">
        <f t="shared" si="6"/>
        <v>0</v>
      </c>
      <c r="AL42" s="38">
        <f t="shared" si="7"/>
        <v>22</v>
      </c>
    </row>
    <row r="43" spans="1:38" ht="18.95" customHeight="1">
      <c r="A43" s="566" t="s">
        <v>111</v>
      </c>
      <c r="B43" s="582" t="s">
        <v>112</v>
      </c>
      <c r="C43" s="29" t="s">
        <v>23</v>
      </c>
      <c r="D43" s="10" t="s">
        <v>83</v>
      </c>
      <c r="E43" s="10" t="s">
        <v>83</v>
      </c>
      <c r="F43" s="10" t="s">
        <v>83</v>
      </c>
      <c r="G43" s="10" t="s">
        <v>83</v>
      </c>
      <c r="H43" s="29" t="s">
        <v>23</v>
      </c>
      <c r="I43" s="29" t="s">
        <v>23</v>
      </c>
      <c r="J43" s="114" t="s">
        <v>100</v>
      </c>
      <c r="K43" s="114" t="s">
        <v>100</v>
      </c>
      <c r="L43" s="114" t="s">
        <v>100</v>
      </c>
      <c r="M43" s="114" t="s">
        <v>100</v>
      </c>
      <c r="N43" s="29" t="s">
        <v>23</v>
      </c>
      <c r="O43" s="29" t="s">
        <v>23</v>
      </c>
      <c r="P43" s="10" t="s">
        <v>83</v>
      </c>
      <c r="Q43" s="10" t="s">
        <v>83</v>
      </c>
      <c r="R43" s="10" t="s">
        <v>83</v>
      </c>
      <c r="S43" s="577" t="s">
        <v>39</v>
      </c>
      <c r="T43" s="29" t="s">
        <v>23</v>
      </c>
      <c r="U43" s="29" t="s">
        <v>23</v>
      </c>
      <c r="V43" s="7" t="s">
        <v>103</v>
      </c>
      <c r="W43" s="7" t="s">
        <v>103</v>
      </c>
      <c r="X43" s="7" t="s">
        <v>103</v>
      </c>
      <c r="Y43" s="7" t="s">
        <v>103</v>
      </c>
      <c r="Z43" s="29" t="s">
        <v>23</v>
      </c>
      <c r="AA43" s="29" t="s">
        <v>23</v>
      </c>
      <c r="AB43" s="114" t="s">
        <v>100</v>
      </c>
      <c r="AC43" s="114" t="s">
        <v>100</v>
      </c>
      <c r="AD43" s="113" t="s">
        <v>100</v>
      </c>
      <c r="AF43" s="44">
        <f>VLOOKUP(B43,'JAN25'!$B:$AO,36,0)</f>
        <v>11</v>
      </c>
      <c r="AG43" s="35">
        <f>COUNTIF(C43:AD43,"UA")</f>
        <v>0</v>
      </c>
      <c r="AH43" s="19">
        <f>AF43-AG43</f>
        <v>11</v>
      </c>
      <c r="AI43" s="66"/>
      <c r="AJ43" s="37">
        <f>VLOOKUP(B43,'JAN25'!$B:$AO,40,0)</f>
        <v>22</v>
      </c>
      <c r="AK43" s="35">
        <f>COUNTIF(C43:AD43,"u")</f>
        <v>0</v>
      </c>
      <c r="AL43" s="38">
        <f>AJ43-AK43</f>
        <v>22</v>
      </c>
    </row>
    <row r="44" spans="1:38" ht="18.95" customHeight="1">
      <c r="A44" s="566" t="s">
        <v>113</v>
      </c>
      <c r="B44" s="582" t="s">
        <v>114</v>
      </c>
      <c r="C44" s="85" t="s">
        <v>63</v>
      </c>
      <c r="D44" s="85" t="s">
        <v>63</v>
      </c>
      <c r="E44" s="85" t="s">
        <v>63</v>
      </c>
      <c r="F44" s="29" t="s">
        <v>23</v>
      </c>
      <c r="G44" s="29" t="s">
        <v>23</v>
      </c>
      <c r="H44" s="10" t="s">
        <v>83</v>
      </c>
      <c r="I44" s="10" t="s">
        <v>83</v>
      </c>
      <c r="J44" s="10" t="s">
        <v>83</v>
      </c>
      <c r="K44" s="10" t="s">
        <v>83</v>
      </c>
      <c r="L44" s="29" t="s">
        <v>23</v>
      </c>
      <c r="M44" s="29" t="s">
        <v>23</v>
      </c>
      <c r="N44" s="30" t="s">
        <v>53</v>
      </c>
      <c r="O44" s="92" t="s">
        <v>31</v>
      </c>
      <c r="P44" s="92" t="s">
        <v>31</v>
      </c>
      <c r="Q44" s="92" t="s">
        <v>31</v>
      </c>
      <c r="R44" s="29" t="s">
        <v>23</v>
      </c>
      <c r="S44" s="29" t="s">
        <v>23</v>
      </c>
      <c r="T44" s="92" t="s">
        <v>31</v>
      </c>
      <c r="U44" s="92" t="s">
        <v>31</v>
      </c>
      <c r="V44" s="92" t="s">
        <v>31</v>
      </c>
      <c r="W44" s="92" t="s">
        <v>31</v>
      </c>
      <c r="X44" s="29" t="s">
        <v>23</v>
      </c>
      <c r="Y44" s="29" t="s">
        <v>23</v>
      </c>
      <c r="Z44" s="92" t="s">
        <v>31</v>
      </c>
      <c r="AA44" s="92" t="s">
        <v>31</v>
      </c>
      <c r="AB44" s="92" t="s">
        <v>31</v>
      </c>
      <c r="AC44" s="92" t="s">
        <v>31</v>
      </c>
      <c r="AD44" s="78" t="s">
        <v>23</v>
      </c>
      <c r="AF44" s="44">
        <f>VLOOKUP(B44,'JAN25'!$B:$AO,36,0)</f>
        <v>11</v>
      </c>
      <c r="AG44" s="35">
        <f t="shared" si="4"/>
        <v>11</v>
      </c>
      <c r="AH44" s="19">
        <f t="shared" si="5"/>
        <v>0</v>
      </c>
      <c r="AI44" s="66"/>
      <c r="AJ44" s="37">
        <f>VLOOKUP(B44,'JAN25'!$B:$AO,40,0)</f>
        <v>11</v>
      </c>
      <c r="AK44" s="35">
        <f t="shared" si="6"/>
        <v>0</v>
      </c>
      <c r="AL44" s="38">
        <f t="shared" si="7"/>
        <v>11</v>
      </c>
    </row>
    <row r="45" spans="1:38" ht="18.95" customHeight="1">
      <c r="A45" s="566" t="s">
        <v>101</v>
      </c>
      <c r="B45" s="582" t="s">
        <v>102</v>
      </c>
      <c r="C45" s="114" t="s">
        <v>100</v>
      </c>
      <c r="D45" s="114" t="s">
        <v>100</v>
      </c>
      <c r="E45" s="29" t="s">
        <v>23</v>
      </c>
      <c r="F45" s="29" t="s">
        <v>23</v>
      </c>
      <c r="G45" s="114" t="s">
        <v>100</v>
      </c>
      <c r="H45" s="114" t="s">
        <v>100</v>
      </c>
      <c r="I45" s="114" t="s">
        <v>100</v>
      </c>
      <c r="J45" s="29" t="s">
        <v>23</v>
      </c>
      <c r="K45" s="29" t="s">
        <v>23</v>
      </c>
      <c r="L45" s="603"/>
      <c r="M45" s="164"/>
      <c r="N45" s="164"/>
      <c r="O45" s="164"/>
      <c r="P45" s="164"/>
      <c r="Q45" s="164"/>
      <c r="R45" s="166"/>
      <c r="S45" s="166"/>
      <c r="T45" s="166"/>
      <c r="U45" s="166"/>
      <c r="V45" s="164"/>
      <c r="W45" s="164"/>
      <c r="X45" s="164"/>
      <c r="Y45" s="164"/>
      <c r="Z45" s="164"/>
      <c r="AA45" s="164"/>
      <c r="AB45" s="164"/>
      <c r="AC45" s="164"/>
      <c r="AD45" s="604"/>
      <c r="AF45" s="44">
        <f>VLOOKUP(B45,'JAN25'!$B:$AO,36,0)</f>
        <v>0</v>
      </c>
      <c r="AG45" s="35">
        <f t="shared" si="4"/>
        <v>0</v>
      </c>
      <c r="AH45" s="19">
        <f t="shared" si="5"/>
        <v>0</v>
      </c>
      <c r="AI45" s="66"/>
      <c r="AJ45" s="37">
        <f>VLOOKUP(B45,'JAN25'!$B:$AO,40,0)</f>
        <v>12</v>
      </c>
      <c r="AK45" s="35">
        <f t="shared" si="6"/>
        <v>0</v>
      </c>
      <c r="AL45" s="38">
        <f t="shared" si="7"/>
        <v>12</v>
      </c>
    </row>
    <row r="46" spans="1:38" ht="18.95" customHeight="1">
      <c r="A46" s="566" t="s">
        <v>117</v>
      </c>
      <c r="B46" s="582" t="s">
        <v>118</v>
      </c>
      <c r="C46" s="29" t="s">
        <v>23</v>
      </c>
      <c r="D46" s="114" t="s">
        <v>100</v>
      </c>
      <c r="E46" s="114" t="s">
        <v>100</v>
      </c>
      <c r="F46" s="114" t="s">
        <v>100</v>
      </c>
      <c r="G46" s="114" t="s">
        <v>100</v>
      </c>
      <c r="H46" s="29" t="s">
        <v>23</v>
      </c>
      <c r="I46" s="29" t="s">
        <v>23</v>
      </c>
      <c r="J46" s="85" t="s">
        <v>63</v>
      </c>
      <c r="K46" s="85" t="s">
        <v>63</v>
      </c>
      <c r="L46" s="85" t="s">
        <v>63</v>
      </c>
      <c r="M46" s="85" t="s">
        <v>63</v>
      </c>
      <c r="N46" s="29" t="s">
        <v>23</v>
      </c>
      <c r="O46" s="29" t="s">
        <v>23</v>
      </c>
      <c r="P46" s="10" t="s">
        <v>83</v>
      </c>
      <c r="Q46" s="10" t="s">
        <v>83</v>
      </c>
      <c r="R46" s="10" t="s">
        <v>83</v>
      </c>
      <c r="S46" s="10" t="s">
        <v>83</v>
      </c>
      <c r="T46" s="29" t="s">
        <v>23</v>
      </c>
      <c r="U46" s="29" t="s">
        <v>23</v>
      </c>
      <c r="V46" s="114" t="s">
        <v>100</v>
      </c>
      <c r="W46" s="114" t="s">
        <v>100</v>
      </c>
      <c r="X46" s="114" t="s">
        <v>100</v>
      </c>
      <c r="Y46" s="6" t="s">
        <v>22</v>
      </c>
      <c r="Z46" s="29" t="s">
        <v>23</v>
      </c>
      <c r="AA46" s="29" t="s">
        <v>23</v>
      </c>
      <c r="AB46" s="10" t="s">
        <v>83</v>
      </c>
      <c r="AC46" s="92" t="s">
        <v>31</v>
      </c>
      <c r="AD46" s="93" t="s">
        <v>31</v>
      </c>
      <c r="AF46" s="44">
        <f>VLOOKUP(B46,'JAN25'!$B:$AO,36,0)</f>
        <v>11</v>
      </c>
      <c r="AG46" s="35">
        <f t="shared" si="4"/>
        <v>2</v>
      </c>
      <c r="AH46" s="19">
        <f t="shared" si="5"/>
        <v>9</v>
      </c>
      <c r="AI46" s="66"/>
      <c r="AJ46" s="37">
        <f>VLOOKUP(B46,'JAN25'!$B:$AO,40,0)</f>
        <v>11</v>
      </c>
      <c r="AK46" s="35">
        <f t="shared" si="6"/>
        <v>0</v>
      </c>
      <c r="AL46" s="38">
        <f t="shared" si="7"/>
        <v>11</v>
      </c>
    </row>
    <row r="47" spans="1:38" ht="18.95" customHeight="1">
      <c r="A47" s="566" t="s">
        <v>119</v>
      </c>
      <c r="B47" s="582" t="s">
        <v>120</v>
      </c>
      <c r="C47" s="111" t="s">
        <v>24</v>
      </c>
      <c r="D47" s="29" t="s">
        <v>23</v>
      </c>
      <c r="E47" s="7" t="s">
        <v>103</v>
      </c>
      <c r="F47" s="29" t="s">
        <v>23</v>
      </c>
      <c r="G47" s="29" t="s">
        <v>23</v>
      </c>
      <c r="H47" s="114" t="s">
        <v>100</v>
      </c>
      <c r="I47" s="114" t="s">
        <v>100</v>
      </c>
      <c r="J47" s="114" t="s">
        <v>100</v>
      </c>
      <c r="K47" s="7" t="s">
        <v>103</v>
      </c>
      <c r="L47" s="29" t="s">
        <v>23</v>
      </c>
      <c r="M47" s="29" t="s">
        <v>23</v>
      </c>
      <c r="N47" s="85" t="s">
        <v>63</v>
      </c>
      <c r="O47" s="85" t="s">
        <v>63</v>
      </c>
      <c r="P47" s="85" t="s">
        <v>63</v>
      </c>
      <c r="Q47" s="85" t="s">
        <v>63</v>
      </c>
      <c r="R47" s="29" t="s">
        <v>23</v>
      </c>
      <c r="S47" s="29" t="s">
        <v>23</v>
      </c>
      <c r="T47" s="10" t="s">
        <v>83</v>
      </c>
      <c r="U47" s="10" t="s">
        <v>83</v>
      </c>
      <c r="V47" s="10" t="s">
        <v>83</v>
      </c>
      <c r="W47" s="10" t="s">
        <v>83</v>
      </c>
      <c r="X47" s="29" t="s">
        <v>23</v>
      </c>
      <c r="Y47" s="29" t="s">
        <v>23</v>
      </c>
      <c r="Z47" s="7" t="s">
        <v>103</v>
      </c>
      <c r="AA47" s="7" t="s">
        <v>103</v>
      </c>
      <c r="AB47" s="7" t="s">
        <v>103</v>
      </c>
      <c r="AC47" s="7" t="s">
        <v>103</v>
      </c>
      <c r="AD47" s="605" t="s">
        <v>39</v>
      </c>
      <c r="AF47" s="44">
        <f>VLOOKUP(B47,'JAN25'!$B:$AO,36,0)</f>
        <v>13</v>
      </c>
      <c r="AG47" s="35">
        <f t="shared" si="4"/>
        <v>0</v>
      </c>
      <c r="AH47" s="19">
        <f t="shared" si="5"/>
        <v>13</v>
      </c>
      <c r="AI47" s="66"/>
      <c r="AJ47" s="37">
        <f>VLOOKUP(B47,'JAN25'!$B:$AO,40,0)</f>
        <v>22</v>
      </c>
      <c r="AK47" s="35">
        <f t="shared" si="6"/>
        <v>0</v>
      </c>
      <c r="AL47" s="38">
        <f t="shared" si="7"/>
        <v>22</v>
      </c>
    </row>
    <row r="48" spans="1:38" ht="18.95" customHeight="1">
      <c r="A48" s="606" t="s">
        <v>121</v>
      </c>
      <c r="B48" s="583" t="s">
        <v>122</v>
      </c>
      <c r="C48" s="6" t="s">
        <v>22</v>
      </c>
      <c r="D48" s="6" t="s">
        <v>22</v>
      </c>
      <c r="E48" s="6" t="s">
        <v>22</v>
      </c>
      <c r="F48" s="29" t="s">
        <v>23</v>
      </c>
      <c r="G48" s="29" t="s">
        <v>23</v>
      </c>
      <c r="H48" s="28" t="s">
        <v>24</v>
      </c>
      <c r="I48" s="28" t="s">
        <v>24</v>
      </c>
      <c r="J48" s="28" t="s">
        <v>24</v>
      </c>
      <c r="K48" s="28" t="s">
        <v>24</v>
      </c>
      <c r="L48" s="29" t="s">
        <v>23</v>
      </c>
      <c r="M48" s="29" t="s">
        <v>23</v>
      </c>
      <c r="N48" s="6" t="s">
        <v>22</v>
      </c>
      <c r="O48" s="6" t="s">
        <v>22</v>
      </c>
      <c r="P48" s="6" t="s">
        <v>22</v>
      </c>
      <c r="Q48" s="25" t="s">
        <v>23</v>
      </c>
      <c r="R48" s="7" t="s">
        <v>125</v>
      </c>
      <c r="S48" s="7" t="s">
        <v>125</v>
      </c>
      <c r="T48" s="7" t="s">
        <v>125</v>
      </c>
      <c r="U48" s="7" t="s">
        <v>125</v>
      </c>
      <c r="V48" s="25" t="s">
        <v>23</v>
      </c>
      <c r="W48" s="25" t="s">
        <v>23</v>
      </c>
      <c r="X48" s="8" t="s">
        <v>83</v>
      </c>
      <c r="Y48" s="8" t="s">
        <v>83</v>
      </c>
      <c r="Z48" s="8" t="s">
        <v>83</v>
      </c>
      <c r="AA48" s="8" t="s">
        <v>83</v>
      </c>
      <c r="AB48" s="25" t="s">
        <v>23</v>
      </c>
      <c r="AC48" s="25" t="s">
        <v>23</v>
      </c>
      <c r="AD48" s="12" t="s">
        <v>125</v>
      </c>
      <c r="AF48" s="44">
        <f>VLOOKUP(B48,'JAN25'!$B:$AO,36,0)</f>
        <v>0</v>
      </c>
      <c r="AG48" s="35">
        <f t="shared" si="4"/>
        <v>0</v>
      </c>
      <c r="AH48" s="19">
        <f t="shared" si="5"/>
        <v>0</v>
      </c>
      <c r="AI48" s="66"/>
      <c r="AJ48" s="37">
        <f>VLOOKUP(B48,'JAN25'!$B:$AO,40,0)</f>
        <v>22</v>
      </c>
      <c r="AK48" s="35">
        <f t="shared" si="6"/>
        <v>0</v>
      </c>
      <c r="AL48" s="38">
        <f t="shared" si="7"/>
        <v>22</v>
      </c>
    </row>
    <row r="49" spans="1:38" ht="18.95" customHeight="1" thickBot="1">
      <c r="A49" s="607" t="s">
        <v>123</v>
      </c>
      <c r="B49" s="608" t="s">
        <v>124</v>
      </c>
      <c r="C49" s="83" t="s">
        <v>23</v>
      </c>
      <c r="D49" s="76" t="s">
        <v>24</v>
      </c>
      <c r="E49" s="76" t="s">
        <v>24</v>
      </c>
      <c r="F49" s="76" t="s">
        <v>24</v>
      </c>
      <c r="G49" s="76" t="s">
        <v>24</v>
      </c>
      <c r="H49" s="83" t="s">
        <v>23</v>
      </c>
      <c r="I49" s="83" t="s">
        <v>23</v>
      </c>
      <c r="J49" s="15" t="s">
        <v>22</v>
      </c>
      <c r="K49" s="15" t="s">
        <v>22</v>
      </c>
      <c r="L49" s="26" t="s">
        <v>103</v>
      </c>
      <c r="M49" s="26" t="s">
        <v>103</v>
      </c>
      <c r="N49" s="83" t="s">
        <v>23</v>
      </c>
      <c r="O49" s="83" t="s">
        <v>23</v>
      </c>
      <c r="P49" s="76" t="s">
        <v>24</v>
      </c>
      <c r="Q49" s="76" t="s">
        <v>24</v>
      </c>
      <c r="R49" s="76" t="s">
        <v>24</v>
      </c>
      <c r="S49" s="76" t="s">
        <v>24</v>
      </c>
      <c r="T49" s="83" t="s">
        <v>23</v>
      </c>
      <c r="U49" s="83" t="s">
        <v>23</v>
      </c>
      <c r="V49" s="147" t="s">
        <v>34</v>
      </c>
      <c r="W49" s="147" t="s">
        <v>34</v>
      </c>
      <c r="X49" s="147" t="s">
        <v>34</v>
      </c>
      <c r="Y49" s="609" t="s">
        <v>39</v>
      </c>
      <c r="Z49" s="83" t="s">
        <v>23</v>
      </c>
      <c r="AA49" s="83" t="s">
        <v>23</v>
      </c>
      <c r="AB49" s="76" t="s">
        <v>24</v>
      </c>
      <c r="AC49" s="76" t="s">
        <v>24</v>
      </c>
      <c r="AD49" s="75" t="s">
        <v>24</v>
      </c>
      <c r="AF49" s="45">
        <f>VLOOKUP(B49,'JAN25'!$B:$AO,36,0)</f>
        <v>0</v>
      </c>
      <c r="AG49" s="16">
        <f t="shared" si="4"/>
        <v>0</v>
      </c>
      <c r="AH49" s="20">
        <f t="shared" si="5"/>
        <v>0</v>
      </c>
      <c r="AI49" s="66"/>
      <c r="AJ49" s="46">
        <f>VLOOKUP(B49,'JAN25'!$B:$AO,40,0)</f>
        <v>22</v>
      </c>
      <c r="AK49" s="16">
        <f t="shared" si="6"/>
        <v>3</v>
      </c>
      <c r="AL49" s="52">
        <f t="shared" si="7"/>
        <v>19</v>
      </c>
    </row>
    <row r="50" spans="1:38" ht="9.9499999999999993" customHeight="1" thickBot="1">
      <c r="A50" s="1"/>
      <c r="B50" s="1"/>
      <c r="AF50" s="66"/>
      <c r="AG50" s="66"/>
      <c r="AH50" s="66"/>
      <c r="AI50" s="66"/>
      <c r="AJ50" s="66"/>
      <c r="AK50" s="66"/>
      <c r="AL50" s="66"/>
    </row>
    <row r="51" spans="1:38" ht="17.100000000000001" customHeight="1">
      <c r="A51" s="621" t="s">
        <v>103</v>
      </c>
      <c r="B51" s="622"/>
      <c r="C51" s="4">
        <f t="shared" ref="C51:AD51" si="10">COUNTIF(C21:C49,$A$51)</f>
        <v>0</v>
      </c>
      <c r="D51" s="56">
        <f t="shared" si="10"/>
        <v>0</v>
      </c>
      <c r="E51" s="56">
        <f t="shared" si="10"/>
        <v>1</v>
      </c>
      <c r="F51" s="56">
        <f t="shared" si="10"/>
        <v>1</v>
      </c>
      <c r="G51" s="56">
        <f t="shared" si="10"/>
        <v>1</v>
      </c>
      <c r="H51" s="56">
        <f t="shared" si="10"/>
        <v>1</v>
      </c>
      <c r="I51" s="56">
        <f t="shared" si="10"/>
        <v>1</v>
      </c>
      <c r="J51" s="56">
        <f t="shared" si="10"/>
        <v>1</v>
      </c>
      <c r="K51" s="56">
        <f t="shared" si="10"/>
        <v>1</v>
      </c>
      <c r="L51" s="56">
        <f t="shared" si="10"/>
        <v>1</v>
      </c>
      <c r="M51" s="56">
        <f t="shared" si="10"/>
        <v>1</v>
      </c>
      <c r="N51" s="56">
        <f t="shared" si="10"/>
        <v>1</v>
      </c>
      <c r="O51" s="56">
        <f t="shared" si="10"/>
        <v>1</v>
      </c>
      <c r="P51" s="56">
        <f t="shared" si="10"/>
        <v>1</v>
      </c>
      <c r="Q51" s="56">
        <f t="shared" si="10"/>
        <v>1</v>
      </c>
      <c r="R51" s="56">
        <f t="shared" si="10"/>
        <v>1</v>
      </c>
      <c r="S51" s="56">
        <f t="shared" si="10"/>
        <v>1</v>
      </c>
      <c r="T51" s="56">
        <f t="shared" si="10"/>
        <v>1</v>
      </c>
      <c r="U51" s="56">
        <f t="shared" si="10"/>
        <v>1</v>
      </c>
      <c r="V51" s="56">
        <f t="shared" si="10"/>
        <v>1</v>
      </c>
      <c r="W51" s="56">
        <f t="shared" si="10"/>
        <v>1</v>
      </c>
      <c r="X51" s="56">
        <f t="shared" si="10"/>
        <v>1</v>
      </c>
      <c r="Y51" s="56">
        <f t="shared" si="10"/>
        <v>1</v>
      </c>
      <c r="Z51" s="56">
        <f t="shared" si="10"/>
        <v>1</v>
      </c>
      <c r="AA51" s="56">
        <f t="shared" si="10"/>
        <v>1</v>
      </c>
      <c r="AB51" s="56">
        <f t="shared" si="10"/>
        <v>1</v>
      </c>
      <c r="AC51" s="56">
        <f t="shared" si="10"/>
        <v>1</v>
      </c>
      <c r="AD51" s="57">
        <f t="shared" si="10"/>
        <v>0</v>
      </c>
      <c r="AF51" s="66"/>
      <c r="AG51" s="66"/>
      <c r="AH51" s="66"/>
      <c r="AI51" s="66"/>
      <c r="AJ51" s="66"/>
      <c r="AK51" s="66"/>
      <c r="AL51" s="66"/>
    </row>
    <row r="52" spans="1:38" ht="17.100000000000001" customHeight="1">
      <c r="A52" s="623" t="s">
        <v>22</v>
      </c>
      <c r="B52" s="498"/>
      <c r="C52" s="37">
        <f t="shared" ref="C52:AD52" si="11">COUNTIF(C21:C49,$A$52)</f>
        <v>3</v>
      </c>
      <c r="D52" s="35">
        <f t="shared" si="11"/>
        <v>3</v>
      </c>
      <c r="E52" s="35">
        <f t="shared" si="11"/>
        <v>5</v>
      </c>
      <c r="F52" s="35">
        <f t="shared" si="11"/>
        <v>4</v>
      </c>
      <c r="G52" s="35">
        <f t="shared" si="11"/>
        <v>4</v>
      </c>
      <c r="H52" s="35">
        <f t="shared" si="11"/>
        <v>3</v>
      </c>
      <c r="I52" s="35">
        <f t="shared" si="11"/>
        <v>3</v>
      </c>
      <c r="J52" s="35">
        <f t="shared" si="11"/>
        <v>4</v>
      </c>
      <c r="K52" s="35">
        <f t="shared" si="11"/>
        <v>4</v>
      </c>
      <c r="L52" s="35">
        <f t="shared" si="11"/>
        <v>3</v>
      </c>
      <c r="M52" s="35">
        <f t="shared" si="11"/>
        <v>4</v>
      </c>
      <c r="N52" s="35">
        <f t="shared" si="11"/>
        <v>5</v>
      </c>
      <c r="O52" s="35">
        <f t="shared" si="11"/>
        <v>5</v>
      </c>
      <c r="P52" s="35">
        <f t="shared" si="11"/>
        <v>5</v>
      </c>
      <c r="Q52" s="35">
        <f t="shared" si="11"/>
        <v>5</v>
      </c>
      <c r="R52" s="35">
        <f t="shared" si="11"/>
        <v>5</v>
      </c>
      <c r="S52" s="35">
        <f t="shared" si="11"/>
        <v>4</v>
      </c>
      <c r="T52" s="35">
        <f t="shared" si="11"/>
        <v>4</v>
      </c>
      <c r="U52" s="35">
        <f t="shared" si="11"/>
        <v>3</v>
      </c>
      <c r="V52" s="35">
        <f t="shared" si="11"/>
        <v>3</v>
      </c>
      <c r="W52" s="35">
        <f t="shared" si="11"/>
        <v>3</v>
      </c>
      <c r="X52" s="35">
        <f t="shared" si="11"/>
        <v>3</v>
      </c>
      <c r="Y52" s="35">
        <f t="shared" si="11"/>
        <v>4</v>
      </c>
      <c r="Z52" s="35">
        <f t="shared" si="11"/>
        <v>3</v>
      </c>
      <c r="AA52" s="35">
        <f t="shared" si="11"/>
        <v>3</v>
      </c>
      <c r="AB52" s="35">
        <f t="shared" si="11"/>
        <v>3</v>
      </c>
      <c r="AC52" s="35">
        <f t="shared" si="11"/>
        <v>4</v>
      </c>
      <c r="AD52" s="38">
        <f t="shared" si="11"/>
        <v>4</v>
      </c>
      <c r="AF52" s="66"/>
      <c r="AG52" s="66"/>
      <c r="AH52" s="66"/>
      <c r="AI52" s="66"/>
      <c r="AJ52" s="66"/>
      <c r="AK52" s="66"/>
      <c r="AL52" s="66"/>
    </row>
    <row r="53" spans="1:38" ht="17.100000000000001" customHeight="1">
      <c r="A53" s="624" t="s">
        <v>83</v>
      </c>
      <c r="B53" s="500"/>
      <c r="C53" s="37">
        <f t="shared" ref="C53:AD53" si="12">COUNTIF(C21:C49,$A$53)</f>
        <v>1</v>
      </c>
      <c r="D53" s="35">
        <f t="shared" si="12"/>
        <v>2</v>
      </c>
      <c r="E53" s="35">
        <f t="shared" si="12"/>
        <v>2</v>
      </c>
      <c r="F53" s="35">
        <f t="shared" si="12"/>
        <v>2</v>
      </c>
      <c r="G53" s="35">
        <f t="shared" si="12"/>
        <v>1</v>
      </c>
      <c r="H53" s="35">
        <f t="shared" si="12"/>
        <v>2</v>
      </c>
      <c r="I53" s="35">
        <f t="shared" si="12"/>
        <v>2</v>
      </c>
      <c r="J53" s="35">
        <f t="shared" si="12"/>
        <v>1</v>
      </c>
      <c r="K53" s="35">
        <f t="shared" si="12"/>
        <v>1</v>
      </c>
      <c r="L53" s="35">
        <f t="shared" si="12"/>
        <v>1</v>
      </c>
      <c r="M53" s="35">
        <f t="shared" si="12"/>
        <v>1</v>
      </c>
      <c r="N53" s="35">
        <f t="shared" si="12"/>
        <v>1</v>
      </c>
      <c r="O53" s="35">
        <f t="shared" si="12"/>
        <v>1</v>
      </c>
      <c r="P53" s="35">
        <f t="shared" si="12"/>
        <v>2</v>
      </c>
      <c r="Q53" s="35">
        <f t="shared" si="12"/>
        <v>2</v>
      </c>
      <c r="R53" s="35">
        <f t="shared" si="12"/>
        <v>2</v>
      </c>
      <c r="S53" s="35">
        <f t="shared" si="12"/>
        <v>1</v>
      </c>
      <c r="T53" s="35">
        <f t="shared" si="12"/>
        <v>1</v>
      </c>
      <c r="U53" s="35">
        <f t="shared" si="12"/>
        <v>1</v>
      </c>
      <c r="V53" s="35">
        <f t="shared" si="12"/>
        <v>1</v>
      </c>
      <c r="W53" s="35">
        <f t="shared" si="12"/>
        <v>1</v>
      </c>
      <c r="X53" s="35">
        <f t="shared" si="12"/>
        <v>2</v>
      </c>
      <c r="Y53" s="35">
        <f t="shared" si="12"/>
        <v>2</v>
      </c>
      <c r="Z53" s="35">
        <f t="shared" si="12"/>
        <v>2</v>
      </c>
      <c r="AA53" s="35">
        <f t="shared" si="12"/>
        <v>2</v>
      </c>
      <c r="AB53" s="35">
        <f t="shared" si="12"/>
        <v>2</v>
      </c>
      <c r="AC53" s="35">
        <f t="shared" si="12"/>
        <v>0</v>
      </c>
      <c r="AD53" s="38">
        <f t="shared" si="12"/>
        <v>0</v>
      </c>
      <c r="AF53" s="66"/>
      <c r="AG53" s="66"/>
      <c r="AH53" s="66"/>
      <c r="AI53" s="66"/>
      <c r="AJ53" s="66"/>
      <c r="AK53" s="66"/>
      <c r="AL53" s="66"/>
    </row>
    <row r="54" spans="1:38" ht="17.100000000000001" customHeight="1">
      <c r="A54" s="625" t="s">
        <v>24</v>
      </c>
      <c r="B54" s="502"/>
      <c r="C54" s="37">
        <f t="shared" ref="C54:AD54" si="13">COUNTIF(C21:C49,$A$54)</f>
        <v>3</v>
      </c>
      <c r="D54" s="35">
        <f t="shared" si="13"/>
        <v>3</v>
      </c>
      <c r="E54" s="35">
        <f t="shared" si="13"/>
        <v>5</v>
      </c>
      <c r="F54" s="35">
        <f t="shared" si="13"/>
        <v>5</v>
      </c>
      <c r="G54" s="35">
        <f t="shared" si="13"/>
        <v>5</v>
      </c>
      <c r="H54" s="35">
        <f t="shared" si="13"/>
        <v>6</v>
      </c>
      <c r="I54" s="35">
        <f t="shared" si="13"/>
        <v>6</v>
      </c>
      <c r="J54" s="35">
        <f t="shared" si="13"/>
        <v>4</v>
      </c>
      <c r="K54" s="35">
        <f t="shared" si="13"/>
        <v>5</v>
      </c>
      <c r="L54" s="35">
        <f t="shared" si="13"/>
        <v>4</v>
      </c>
      <c r="M54" s="35">
        <f t="shared" si="13"/>
        <v>3</v>
      </c>
      <c r="N54" s="35">
        <f t="shared" si="13"/>
        <v>4</v>
      </c>
      <c r="O54" s="35">
        <f t="shared" si="13"/>
        <v>4</v>
      </c>
      <c r="P54" s="35">
        <f t="shared" si="13"/>
        <v>5</v>
      </c>
      <c r="Q54" s="35">
        <f t="shared" si="13"/>
        <v>4</v>
      </c>
      <c r="R54" s="35">
        <f t="shared" si="13"/>
        <v>4</v>
      </c>
      <c r="S54" s="35">
        <f t="shared" si="13"/>
        <v>5</v>
      </c>
      <c r="T54" s="35">
        <f t="shared" si="13"/>
        <v>4</v>
      </c>
      <c r="U54" s="35">
        <f t="shared" si="13"/>
        <v>4</v>
      </c>
      <c r="V54" s="35">
        <f t="shared" si="13"/>
        <v>3</v>
      </c>
      <c r="W54" s="35">
        <f t="shared" si="13"/>
        <v>4</v>
      </c>
      <c r="X54" s="35">
        <f t="shared" si="13"/>
        <v>5</v>
      </c>
      <c r="Y54" s="35">
        <f t="shared" si="13"/>
        <v>4</v>
      </c>
      <c r="Z54" s="35">
        <f t="shared" si="13"/>
        <v>4</v>
      </c>
      <c r="AA54" s="35">
        <f t="shared" si="13"/>
        <v>4</v>
      </c>
      <c r="AB54" s="35">
        <f t="shared" si="13"/>
        <v>5</v>
      </c>
      <c r="AC54" s="35">
        <f t="shared" si="13"/>
        <v>5</v>
      </c>
      <c r="AD54" s="38">
        <f t="shared" si="13"/>
        <v>5</v>
      </c>
      <c r="AF54" s="66"/>
      <c r="AG54" s="66"/>
      <c r="AH54" s="66"/>
      <c r="AI54" s="66"/>
      <c r="AJ54" s="66"/>
      <c r="AK54" s="66"/>
      <c r="AL54" s="66"/>
    </row>
    <row r="55" spans="1:38" ht="17.100000000000001" customHeight="1" thickBot="1">
      <c r="A55" s="626" t="s">
        <v>63</v>
      </c>
      <c r="B55" s="627"/>
      <c r="C55" s="46">
        <f t="shared" ref="C55:AD55" si="14">COUNTIF(C21:C49,$A$55)</f>
        <v>3</v>
      </c>
      <c r="D55" s="16">
        <f t="shared" si="14"/>
        <v>3</v>
      </c>
      <c r="E55" s="16">
        <f t="shared" si="14"/>
        <v>3</v>
      </c>
      <c r="F55" s="16">
        <f t="shared" si="14"/>
        <v>2</v>
      </c>
      <c r="G55" s="16">
        <f t="shared" si="14"/>
        <v>2</v>
      </c>
      <c r="H55" s="16">
        <f t="shared" si="14"/>
        <v>2</v>
      </c>
      <c r="I55" s="16">
        <f t="shared" si="14"/>
        <v>2</v>
      </c>
      <c r="J55" s="16">
        <f t="shared" si="14"/>
        <v>3</v>
      </c>
      <c r="K55" s="16">
        <f t="shared" si="14"/>
        <v>3</v>
      </c>
      <c r="L55" s="16">
        <f t="shared" si="14"/>
        <v>3</v>
      </c>
      <c r="M55" s="16">
        <f t="shared" si="14"/>
        <v>3</v>
      </c>
      <c r="N55" s="16">
        <f t="shared" si="14"/>
        <v>3</v>
      </c>
      <c r="O55" s="16">
        <f t="shared" si="14"/>
        <v>3</v>
      </c>
      <c r="P55" s="16">
        <f t="shared" si="14"/>
        <v>3</v>
      </c>
      <c r="Q55" s="16">
        <f t="shared" si="14"/>
        <v>3</v>
      </c>
      <c r="R55" s="16">
        <f t="shared" si="14"/>
        <v>3</v>
      </c>
      <c r="S55" s="16">
        <f t="shared" si="14"/>
        <v>3</v>
      </c>
      <c r="T55" s="16">
        <f t="shared" si="14"/>
        <v>3</v>
      </c>
      <c r="U55" s="16">
        <f t="shared" si="14"/>
        <v>3</v>
      </c>
      <c r="V55" s="16">
        <f t="shared" si="14"/>
        <v>2</v>
      </c>
      <c r="W55" s="16">
        <f t="shared" si="14"/>
        <v>2</v>
      </c>
      <c r="X55" s="16">
        <f t="shared" si="14"/>
        <v>2</v>
      </c>
      <c r="Y55" s="16">
        <f t="shared" si="14"/>
        <v>3</v>
      </c>
      <c r="Z55" s="16">
        <f t="shared" si="14"/>
        <v>3</v>
      </c>
      <c r="AA55" s="16">
        <f t="shared" si="14"/>
        <v>2</v>
      </c>
      <c r="AB55" s="16">
        <f t="shared" si="14"/>
        <v>2</v>
      </c>
      <c r="AC55" s="16">
        <f t="shared" si="14"/>
        <v>2</v>
      </c>
      <c r="AD55" s="52">
        <f t="shared" si="14"/>
        <v>3</v>
      </c>
      <c r="AF55" s="66"/>
      <c r="AG55" s="66"/>
      <c r="AH55" s="66"/>
      <c r="AI55" s="66"/>
      <c r="AJ55" s="66"/>
      <c r="AK55" s="66"/>
      <c r="AL55" s="66"/>
    </row>
    <row r="56" spans="1:38" ht="20.100000000000001" customHeight="1" thickBot="1">
      <c r="AF56" s="66"/>
      <c r="AG56" s="66"/>
      <c r="AH56" s="66"/>
      <c r="AI56" s="66"/>
      <c r="AJ56" s="66"/>
      <c r="AK56" s="66"/>
      <c r="AL56" s="66"/>
    </row>
    <row r="57" spans="1:38" ht="24.95" customHeight="1" thickBot="1">
      <c r="A57" s="581" t="s">
        <v>126</v>
      </c>
      <c r="B57" s="579"/>
      <c r="C57" s="579"/>
      <c r="D57" s="579"/>
      <c r="E57" s="579"/>
      <c r="F57" s="579"/>
      <c r="G57" s="579"/>
      <c r="H57" s="579"/>
      <c r="I57" s="579"/>
      <c r="J57" s="579"/>
      <c r="K57" s="579"/>
      <c r="L57" s="579"/>
      <c r="M57" s="579"/>
      <c r="N57" s="579"/>
      <c r="O57" s="579"/>
      <c r="P57" s="579"/>
      <c r="Q57" s="579"/>
      <c r="R57" s="579"/>
      <c r="S57" s="579"/>
      <c r="T57" s="579"/>
      <c r="U57" s="579"/>
      <c r="V57" s="579"/>
      <c r="W57" s="579"/>
      <c r="X57" s="579"/>
      <c r="Y57" s="579"/>
      <c r="Z57" s="579"/>
      <c r="AA57" s="579"/>
      <c r="AB57" s="579"/>
      <c r="AC57" s="579"/>
      <c r="AD57" s="580"/>
      <c r="AF57" s="66"/>
      <c r="AG57" s="66"/>
      <c r="AH57" s="66"/>
      <c r="AI57" s="66"/>
      <c r="AJ57" s="66"/>
      <c r="AK57" s="66"/>
      <c r="AL57" s="66"/>
    </row>
    <row r="58" spans="1:38" ht="18.95" customHeight="1">
      <c r="A58" s="566" t="s">
        <v>127</v>
      </c>
      <c r="B58" s="582" t="s">
        <v>128</v>
      </c>
      <c r="C58" s="7" t="s">
        <v>125</v>
      </c>
      <c r="D58" s="7" t="s">
        <v>125</v>
      </c>
      <c r="E58" s="7" t="s">
        <v>125</v>
      </c>
      <c r="F58" s="29" t="s">
        <v>23</v>
      </c>
      <c r="G58" s="29" t="s">
        <v>23</v>
      </c>
      <c r="H58" s="8" t="s">
        <v>83</v>
      </c>
      <c r="I58" s="8" t="s">
        <v>83</v>
      </c>
      <c r="J58" s="8" t="s">
        <v>83</v>
      </c>
      <c r="K58" s="8" t="s">
        <v>83</v>
      </c>
      <c r="L58" s="29" t="s">
        <v>23</v>
      </c>
      <c r="M58" s="29" t="s">
        <v>23</v>
      </c>
      <c r="N58" s="7" t="s">
        <v>125</v>
      </c>
      <c r="O58" s="7" t="s">
        <v>125</v>
      </c>
      <c r="P58" s="7" t="s">
        <v>125</v>
      </c>
      <c r="Q58" s="7" t="s">
        <v>125</v>
      </c>
      <c r="R58" s="29" t="s">
        <v>23</v>
      </c>
      <c r="S58" s="29" t="s">
        <v>23</v>
      </c>
      <c r="T58" s="8" t="s">
        <v>83</v>
      </c>
      <c r="U58" s="8" t="s">
        <v>83</v>
      </c>
      <c r="V58" s="8" t="s">
        <v>83</v>
      </c>
      <c r="W58" s="8" t="s">
        <v>83</v>
      </c>
      <c r="X58" s="29" t="s">
        <v>23</v>
      </c>
      <c r="Y58" s="29" t="s">
        <v>23</v>
      </c>
      <c r="Z58" s="7" t="s">
        <v>125</v>
      </c>
      <c r="AA58" s="7" t="s">
        <v>125</v>
      </c>
      <c r="AB58" s="7" t="s">
        <v>125</v>
      </c>
      <c r="AC58" s="7" t="s">
        <v>125</v>
      </c>
      <c r="AD58" s="78" t="s">
        <v>23</v>
      </c>
      <c r="AF58" s="43">
        <f>VLOOKUP(B58,'JAN25'!$B:$AO,36,0)</f>
        <v>0</v>
      </c>
      <c r="AG58" s="56">
        <f t="shared" ref="AG58:AG64" si="15">COUNTIF(C58:AD58,"UA")</f>
        <v>0</v>
      </c>
      <c r="AH58" s="17">
        <f t="shared" ref="AH58:AH64" si="16">AF58-AG58</f>
        <v>0</v>
      </c>
      <c r="AI58" s="66"/>
      <c r="AJ58" s="4">
        <f>VLOOKUP(B58,'JAN25'!$B:$AO,40,0)</f>
        <v>23</v>
      </c>
      <c r="AK58" s="56">
        <f t="shared" ref="AK58:AK64" si="17">COUNTIF(C58:AD58,"u")</f>
        <v>0</v>
      </c>
      <c r="AL58" s="57">
        <f t="shared" ref="AL58:AL64" si="18">AJ58-AK58</f>
        <v>23</v>
      </c>
    </row>
    <row r="59" spans="1:38" ht="18.95" customHeight="1">
      <c r="A59" s="566" t="s">
        <v>129</v>
      </c>
      <c r="B59" s="582" t="s">
        <v>130</v>
      </c>
      <c r="C59" s="29" t="s">
        <v>23</v>
      </c>
      <c r="D59" s="8" t="s">
        <v>83</v>
      </c>
      <c r="E59" s="8" t="s">
        <v>83</v>
      </c>
      <c r="F59" s="8" t="s">
        <v>83</v>
      </c>
      <c r="G59" s="8" t="s">
        <v>83</v>
      </c>
      <c r="H59" s="29" t="s">
        <v>23</v>
      </c>
      <c r="I59" s="29" t="s">
        <v>23</v>
      </c>
      <c r="J59" s="7" t="s">
        <v>125</v>
      </c>
      <c r="K59" s="7" t="s">
        <v>125</v>
      </c>
      <c r="L59" s="7" t="s">
        <v>125</v>
      </c>
      <c r="M59" s="7" t="s">
        <v>125</v>
      </c>
      <c r="N59" s="29" t="s">
        <v>23</v>
      </c>
      <c r="O59" s="29" t="s">
        <v>23</v>
      </c>
      <c r="P59" s="8" t="s">
        <v>83</v>
      </c>
      <c r="Q59" s="8" t="s">
        <v>83</v>
      </c>
      <c r="R59" s="8" t="s">
        <v>83</v>
      </c>
      <c r="S59" s="8" t="s">
        <v>83</v>
      </c>
      <c r="T59" s="29" t="s">
        <v>23</v>
      </c>
      <c r="U59" s="29" t="s">
        <v>23</v>
      </c>
      <c r="V59" s="7" t="s">
        <v>125</v>
      </c>
      <c r="W59" s="7" t="s">
        <v>125</v>
      </c>
      <c r="X59" s="7" t="s">
        <v>125</v>
      </c>
      <c r="Y59" s="7" t="s">
        <v>125</v>
      </c>
      <c r="Z59" s="29" t="s">
        <v>23</v>
      </c>
      <c r="AA59" s="29" t="s">
        <v>23</v>
      </c>
      <c r="AB59" s="8" t="s">
        <v>83</v>
      </c>
      <c r="AC59" s="8" t="s">
        <v>83</v>
      </c>
      <c r="AD59" s="11" t="s">
        <v>83</v>
      </c>
      <c r="AF59" s="44">
        <f>VLOOKUP(B59,'JAN25'!$B:$AO,36,0)</f>
        <v>0</v>
      </c>
      <c r="AG59" s="35">
        <f t="shared" si="15"/>
        <v>0</v>
      </c>
      <c r="AH59" s="19">
        <f t="shared" si="16"/>
        <v>0</v>
      </c>
      <c r="AI59" s="66"/>
      <c r="AJ59" s="34">
        <f>VLOOKUP(B59,'JAN25'!$B:$AO,40,0)</f>
        <v>22</v>
      </c>
      <c r="AK59" s="49">
        <f t="shared" si="17"/>
        <v>0</v>
      </c>
      <c r="AL59" s="50">
        <f t="shared" si="18"/>
        <v>22</v>
      </c>
    </row>
    <row r="60" spans="1:38" ht="18.95" customHeight="1">
      <c r="A60" s="566" t="s">
        <v>131</v>
      </c>
      <c r="B60" s="582" t="s">
        <v>132</v>
      </c>
      <c r="C60" s="8" t="s">
        <v>83</v>
      </c>
      <c r="D60" s="29" t="s">
        <v>23</v>
      </c>
      <c r="E60" s="29" t="s">
        <v>23</v>
      </c>
      <c r="F60" s="7" t="s">
        <v>125</v>
      </c>
      <c r="G60" s="7" t="s">
        <v>125</v>
      </c>
      <c r="H60" s="7" t="s">
        <v>125</v>
      </c>
      <c r="I60" s="7" t="s">
        <v>125</v>
      </c>
      <c r="J60" s="29" t="s">
        <v>23</v>
      </c>
      <c r="K60" s="29" t="s">
        <v>23</v>
      </c>
      <c r="L60" s="92" t="s">
        <v>31</v>
      </c>
      <c r="M60" s="92" t="s">
        <v>31</v>
      </c>
      <c r="N60" s="92" t="s">
        <v>31</v>
      </c>
      <c r="O60" s="92" t="s">
        <v>31</v>
      </c>
      <c r="P60" s="29" t="s">
        <v>23</v>
      </c>
      <c r="Q60" s="29" t="s">
        <v>23</v>
      </c>
      <c r="R60" s="108" t="s">
        <v>108</v>
      </c>
      <c r="S60" s="108" t="s">
        <v>108</v>
      </c>
      <c r="T60" s="108" t="s">
        <v>108</v>
      </c>
      <c r="U60" s="108" t="s">
        <v>108</v>
      </c>
      <c r="V60" s="108" t="s">
        <v>108</v>
      </c>
      <c r="W60" s="108" t="s">
        <v>108</v>
      </c>
      <c r="X60" s="108" t="s">
        <v>108</v>
      </c>
      <c r="Y60" s="108" t="s">
        <v>108</v>
      </c>
      <c r="Z60" s="108" t="s">
        <v>108</v>
      </c>
      <c r="AA60" s="108" t="s">
        <v>108</v>
      </c>
      <c r="AB60" s="108" t="s">
        <v>108</v>
      </c>
      <c r="AC60" s="108" t="s">
        <v>108</v>
      </c>
      <c r="AD60" s="109" t="s">
        <v>108</v>
      </c>
      <c r="AF60" s="44">
        <f>VLOOKUP(B60,'JAN25'!$B:$AO,36,0)</f>
        <v>4</v>
      </c>
      <c r="AG60" s="35">
        <f t="shared" si="15"/>
        <v>4</v>
      </c>
      <c r="AH60" s="19">
        <f t="shared" si="16"/>
        <v>0</v>
      </c>
      <c r="AI60" s="66"/>
      <c r="AJ60" s="34">
        <f>VLOOKUP(B60,'JAN25'!$B:$AO,40,0)</f>
        <v>22</v>
      </c>
      <c r="AK60" s="49">
        <f t="shared" si="17"/>
        <v>0</v>
      </c>
      <c r="AL60" s="50">
        <f t="shared" si="18"/>
        <v>22</v>
      </c>
    </row>
    <row r="61" spans="1:38" ht="18.95" customHeight="1">
      <c r="A61" s="566" t="s">
        <v>137</v>
      </c>
      <c r="B61" s="582" t="s">
        <v>138</v>
      </c>
      <c r="C61" s="111" t="s">
        <v>24</v>
      </c>
      <c r="D61" s="25" t="s">
        <v>23</v>
      </c>
      <c r="E61" s="25" t="s">
        <v>23</v>
      </c>
      <c r="F61" s="92" t="s">
        <v>31</v>
      </c>
      <c r="G61" s="577" t="s">
        <v>39</v>
      </c>
      <c r="H61" s="92" t="s">
        <v>31</v>
      </c>
      <c r="I61" s="30" t="s">
        <v>148</v>
      </c>
      <c r="J61" s="30" t="s">
        <v>53</v>
      </c>
      <c r="K61" s="25" t="s">
        <v>23</v>
      </c>
      <c r="L61" s="111" t="s">
        <v>24</v>
      </c>
      <c r="M61" s="8" t="s">
        <v>83</v>
      </c>
      <c r="N61" s="111" t="s">
        <v>24</v>
      </c>
      <c r="O61" s="111" t="s">
        <v>24</v>
      </c>
      <c r="P61" s="25" t="s">
        <v>23</v>
      </c>
      <c r="Q61" s="25" t="s">
        <v>23</v>
      </c>
      <c r="R61" s="6" t="s">
        <v>22</v>
      </c>
      <c r="S61" s="6" t="s">
        <v>22</v>
      </c>
      <c r="T61" s="6" t="s">
        <v>22</v>
      </c>
      <c r="U61" s="6" t="s">
        <v>22</v>
      </c>
      <c r="V61" s="25" t="s">
        <v>23</v>
      </c>
      <c r="W61" s="25" t="s">
        <v>23</v>
      </c>
      <c r="X61" s="111" t="s">
        <v>24</v>
      </c>
      <c r="Y61" s="111" t="s">
        <v>24</v>
      </c>
      <c r="Z61" s="111" t="s">
        <v>24</v>
      </c>
      <c r="AA61" s="111" t="s">
        <v>24</v>
      </c>
      <c r="AB61" s="25" t="s">
        <v>23</v>
      </c>
      <c r="AC61" s="25" t="s">
        <v>23</v>
      </c>
      <c r="AD61" s="9" t="s">
        <v>22</v>
      </c>
      <c r="AF61" s="44">
        <f>VLOOKUP(B61,'JAN25'!$B:$AO,36,0)</f>
        <v>10</v>
      </c>
      <c r="AG61" s="35">
        <f>COUNTIF(C61:AD61,"UA")</f>
        <v>2</v>
      </c>
      <c r="AH61" s="19">
        <f>AF61-AG61</f>
        <v>8</v>
      </c>
      <c r="AI61" s="66"/>
      <c r="AJ61" s="34">
        <f>VLOOKUP(B61,'JAN25'!$B:$AO,40,0)</f>
        <v>22</v>
      </c>
      <c r="AK61" s="49">
        <f>COUNTIF(C61:AD61,"u")</f>
        <v>0</v>
      </c>
      <c r="AL61" s="50">
        <f>AJ61-AK61</f>
        <v>22</v>
      </c>
    </row>
    <row r="62" spans="1:38" ht="18.95" customHeight="1">
      <c r="A62" s="566" t="s">
        <v>133</v>
      </c>
      <c r="B62" s="582" t="s">
        <v>134</v>
      </c>
      <c r="C62" s="6" t="s">
        <v>22</v>
      </c>
      <c r="D62" s="6" t="s">
        <v>22</v>
      </c>
      <c r="E62" s="6" t="s">
        <v>22</v>
      </c>
      <c r="F62" s="25" t="s">
        <v>23</v>
      </c>
      <c r="G62" s="25" t="s">
        <v>23</v>
      </c>
      <c r="H62" s="111" t="s">
        <v>24</v>
      </c>
      <c r="I62" s="111" t="s">
        <v>24</v>
      </c>
      <c r="J62" s="111" t="s">
        <v>24</v>
      </c>
      <c r="K62" s="111" t="s">
        <v>24</v>
      </c>
      <c r="L62" s="25" t="s">
        <v>23</v>
      </c>
      <c r="M62" s="25" t="s">
        <v>23</v>
      </c>
      <c r="N62" s="6" t="s">
        <v>22</v>
      </c>
      <c r="O62" s="200" t="s">
        <v>19</v>
      </c>
      <c r="P62" s="157" t="s">
        <v>19</v>
      </c>
      <c r="Q62" s="157" t="s">
        <v>19</v>
      </c>
      <c r="R62" s="25" t="s">
        <v>23</v>
      </c>
      <c r="S62" s="25" t="s">
        <v>23</v>
      </c>
      <c r="T62" s="111" t="s">
        <v>24</v>
      </c>
      <c r="U62" s="111" t="s">
        <v>24</v>
      </c>
      <c r="V62" s="111" t="s">
        <v>24</v>
      </c>
      <c r="W62" s="111" t="s">
        <v>24</v>
      </c>
      <c r="X62" s="25" t="s">
        <v>23</v>
      </c>
      <c r="Y62" s="25" t="s">
        <v>23</v>
      </c>
      <c r="Z62" s="6" t="s">
        <v>22</v>
      </c>
      <c r="AA62" s="6" t="s">
        <v>22</v>
      </c>
      <c r="AB62" s="6" t="s">
        <v>22</v>
      </c>
      <c r="AC62" s="6" t="s">
        <v>22</v>
      </c>
      <c r="AD62" s="36" t="s">
        <v>23</v>
      </c>
      <c r="AF62" s="44">
        <f>VLOOKUP(B62,'JAN25'!$B:$AO,36,0)</f>
        <v>8</v>
      </c>
      <c r="AG62" s="35">
        <f>COUNTIF(C62:AD62,"UA")</f>
        <v>0</v>
      </c>
      <c r="AH62" s="19">
        <f>AF62-AG62</f>
        <v>8</v>
      </c>
      <c r="AI62" s="66"/>
      <c r="AJ62" s="34">
        <f>VLOOKUP(B62,'JAN25'!$B:$AO,40,0)</f>
        <v>22</v>
      </c>
      <c r="AK62" s="49">
        <f>COUNTIF(C62:AD62,"u")</f>
        <v>0</v>
      </c>
      <c r="AL62" s="50">
        <f>AJ62-AK62</f>
        <v>22</v>
      </c>
    </row>
    <row r="63" spans="1:38" ht="18.95" customHeight="1">
      <c r="A63" s="566" t="s">
        <v>151</v>
      </c>
      <c r="B63" s="582" t="s">
        <v>152</v>
      </c>
      <c r="C63" s="6" t="s">
        <v>22</v>
      </c>
      <c r="D63" s="6" t="s">
        <v>22</v>
      </c>
      <c r="E63" s="6" t="s">
        <v>22</v>
      </c>
      <c r="F63" s="25" t="s">
        <v>23</v>
      </c>
      <c r="G63" s="25" t="s">
        <v>23</v>
      </c>
      <c r="H63" s="111" t="s">
        <v>24</v>
      </c>
      <c r="I63" s="111" t="s">
        <v>24</v>
      </c>
      <c r="J63" s="111" t="s">
        <v>24</v>
      </c>
      <c r="K63" s="25" t="s">
        <v>23</v>
      </c>
      <c r="L63" s="111" t="s">
        <v>24</v>
      </c>
      <c r="M63" s="111" t="s">
        <v>24</v>
      </c>
      <c r="N63" s="111" t="s">
        <v>24</v>
      </c>
      <c r="O63" s="111" t="s">
        <v>24</v>
      </c>
      <c r="P63" s="25" t="s">
        <v>23</v>
      </c>
      <c r="Q63" s="25" t="s">
        <v>23</v>
      </c>
      <c r="R63" s="6" t="s">
        <v>22</v>
      </c>
      <c r="S63" s="6" t="s">
        <v>22</v>
      </c>
      <c r="T63" s="6" t="s">
        <v>22</v>
      </c>
      <c r="U63" s="6" t="s">
        <v>22</v>
      </c>
      <c r="V63" s="29" t="s">
        <v>23</v>
      </c>
      <c r="W63" s="29" t="s">
        <v>23</v>
      </c>
      <c r="X63" s="111" t="s">
        <v>24</v>
      </c>
      <c r="Y63" s="111" t="s">
        <v>24</v>
      </c>
      <c r="Z63" s="111" t="s">
        <v>24</v>
      </c>
      <c r="AA63" s="111" t="s">
        <v>24</v>
      </c>
      <c r="AB63" s="29" t="s">
        <v>23</v>
      </c>
      <c r="AC63" s="29" t="s">
        <v>23</v>
      </c>
      <c r="AD63" s="9" t="s">
        <v>22</v>
      </c>
      <c r="AF63" s="102">
        <v>0</v>
      </c>
      <c r="AG63" s="35">
        <f>COUNTIF(C63:AD63,"UA")</f>
        <v>0</v>
      </c>
      <c r="AH63" s="104">
        <f>AF63-AG63</f>
        <v>0</v>
      </c>
      <c r="AI63" s="66"/>
      <c r="AJ63" s="927">
        <v>13</v>
      </c>
      <c r="AK63" s="49">
        <f>COUNTIF(C63:AD63,"u")</f>
        <v>0</v>
      </c>
      <c r="AL63" s="50">
        <f>AJ63-AK63</f>
        <v>13</v>
      </c>
    </row>
    <row r="64" spans="1:38" ht="18.95" customHeight="1" thickBot="1">
      <c r="A64" s="567" t="s">
        <v>140</v>
      </c>
      <c r="B64" s="592" t="s">
        <v>141</v>
      </c>
      <c r="C64" s="83" t="s">
        <v>23</v>
      </c>
      <c r="D64" s="83" t="s">
        <v>23</v>
      </c>
      <c r="E64" s="610" t="s">
        <v>68</v>
      </c>
      <c r="F64" s="361" t="s">
        <v>19</v>
      </c>
      <c r="G64" s="361" t="s">
        <v>19</v>
      </c>
      <c r="H64" s="361" t="s">
        <v>19</v>
      </c>
      <c r="I64" s="361" t="s">
        <v>19</v>
      </c>
      <c r="J64" s="361" t="s">
        <v>19</v>
      </c>
      <c r="K64" s="83" t="s">
        <v>23</v>
      </c>
      <c r="L64" s="611" t="s">
        <v>24</v>
      </c>
      <c r="M64" s="611" t="s">
        <v>24</v>
      </c>
      <c r="N64" s="611" t="s">
        <v>24</v>
      </c>
      <c r="O64" s="611" t="s">
        <v>24</v>
      </c>
      <c r="P64" s="83" t="s">
        <v>23</v>
      </c>
      <c r="Q64" s="83" t="s">
        <v>23</v>
      </c>
      <c r="R64" s="15" t="s">
        <v>22</v>
      </c>
      <c r="S64" s="15" t="s">
        <v>22</v>
      </c>
      <c r="T64" s="15" t="s">
        <v>22</v>
      </c>
      <c r="U64" s="15" t="s">
        <v>22</v>
      </c>
      <c r="V64" s="83" t="s">
        <v>23</v>
      </c>
      <c r="W64" s="83" t="s">
        <v>23</v>
      </c>
      <c r="X64" s="116" t="s">
        <v>24</v>
      </c>
      <c r="Y64" s="116" t="s">
        <v>24</v>
      </c>
      <c r="Z64" s="116" t="s">
        <v>24</v>
      </c>
      <c r="AA64" s="116" t="s">
        <v>24</v>
      </c>
      <c r="AB64" s="83" t="s">
        <v>23</v>
      </c>
      <c r="AC64" s="83" t="s">
        <v>23</v>
      </c>
      <c r="AD64" s="39" t="s">
        <v>22</v>
      </c>
      <c r="AF64" s="45">
        <f>VLOOKUP(B64,'JAN25'!$B:$AO,36,0)</f>
        <v>2</v>
      </c>
      <c r="AG64" s="16">
        <f t="shared" si="15"/>
        <v>0</v>
      </c>
      <c r="AH64" s="20">
        <f t="shared" si="16"/>
        <v>2</v>
      </c>
      <c r="AI64" s="66"/>
      <c r="AJ64" s="63">
        <f>VLOOKUP(B64,'JAN25'!$B:$AO,40,0)</f>
        <v>22</v>
      </c>
      <c r="AK64" s="64">
        <f t="shared" si="17"/>
        <v>0</v>
      </c>
      <c r="AL64" s="65">
        <f t="shared" si="18"/>
        <v>22</v>
      </c>
    </row>
    <row r="65" spans="1:38" ht="9.9499999999999993" customHeight="1" thickBot="1">
      <c r="A65" s="1"/>
      <c r="B65" s="1"/>
    </row>
    <row r="66" spans="1:38" ht="17.100000000000001" customHeight="1">
      <c r="A66" s="495" t="s">
        <v>125</v>
      </c>
      <c r="B66" s="496"/>
      <c r="C66" s="207">
        <f t="shared" ref="C66:AD66" si="19">COUNTIF(C48:C49,$A$66)+COUNTIF(C58:C60,$A$66)</f>
        <v>1</v>
      </c>
      <c r="D66" s="56">
        <f t="shared" si="19"/>
        <v>1</v>
      </c>
      <c r="E66" s="56">
        <f t="shared" si="19"/>
        <v>1</v>
      </c>
      <c r="F66" s="56">
        <f t="shared" si="19"/>
        <v>1</v>
      </c>
      <c r="G66" s="56">
        <f t="shared" si="19"/>
        <v>1</v>
      </c>
      <c r="H66" s="56">
        <f t="shared" si="19"/>
        <v>1</v>
      </c>
      <c r="I66" s="56">
        <f t="shared" si="19"/>
        <v>1</v>
      </c>
      <c r="J66" s="56">
        <f t="shared" si="19"/>
        <v>1</v>
      </c>
      <c r="K66" s="56">
        <f t="shared" si="19"/>
        <v>1</v>
      </c>
      <c r="L66" s="56">
        <f t="shared" si="19"/>
        <v>1</v>
      </c>
      <c r="M66" s="56">
        <f t="shared" si="19"/>
        <v>1</v>
      </c>
      <c r="N66" s="56">
        <f t="shared" si="19"/>
        <v>1</v>
      </c>
      <c r="O66" s="56">
        <f t="shared" si="19"/>
        <v>1</v>
      </c>
      <c r="P66" s="56">
        <f t="shared" si="19"/>
        <v>1</v>
      </c>
      <c r="Q66" s="56">
        <f t="shared" si="19"/>
        <v>1</v>
      </c>
      <c r="R66" s="56">
        <f t="shared" si="19"/>
        <v>1</v>
      </c>
      <c r="S66" s="56">
        <f t="shared" si="19"/>
        <v>1</v>
      </c>
      <c r="T66" s="56">
        <f t="shared" si="19"/>
        <v>1</v>
      </c>
      <c r="U66" s="56">
        <f t="shared" si="19"/>
        <v>1</v>
      </c>
      <c r="V66" s="56">
        <f t="shared" si="19"/>
        <v>1</v>
      </c>
      <c r="W66" s="56">
        <f t="shared" si="19"/>
        <v>1</v>
      </c>
      <c r="X66" s="56">
        <f t="shared" si="19"/>
        <v>1</v>
      </c>
      <c r="Y66" s="56">
        <f t="shared" si="19"/>
        <v>1</v>
      </c>
      <c r="Z66" s="56">
        <f t="shared" si="19"/>
        <v>1</v>
      </c>
      <c r="AA66" s="56">
        <f t="shared" si="19"/>
        <v>1</v>
      </c>
      <c r="AB66" s="56">
        <f t="shared" si="19"/>
        <v>1</v>
      </c>
      <c r="AC66" s="56">
        <f t="shared" si="19"/>
        <v>1</v>
      </c>
      <c r="AD66" s="57">
        <f t="shared" si="19"/>
        <v>1</v>
      </c>
    </row>
    <row r="67" spans="1:38" ht="17.100000000000001" customHeight="1">
      <c r="A67" s="612" t="s">
        <v>22</v>
      </c>
      <c r="B67" s="613"/>
      <c r="C67" s="208">
        <f t="shared" ref="C67:AD67" si="20">COUNTIF(C62:C64,"P04/")+COUNTIF(C62:C64,"H04/")</f>
        <v>0</v>
      </c>
      <c r="D67" s="35">
        <f t="shared" si="20"/>
        <v>0</v>
      </c>
      <c r="E67" s="35">
        <f t="shared" si="20"/>
        <v>0</v>
      </c>
      <c r="F67" s="35">
        <f t="shared" si="20"/>
        <v>0</v>
      </c>
      <c r="G67" s="35">
        <f t="shared" si="20"/>
        <v>0</v>
      </c>
      <c r="H67" s="35">
        <f t="shared" si="20"/>
        <v>0</v>
      </c>
      <c r="I67" s="35">
        <f t="shared" si="20"/>
        <v>0</v>
      </c>
      <c r="J67" s="35">
        <f t="shared" si="20"/>
        <v>0</v>
      </c>
      <c r="K67" s="35">
        <f t="shared" si="20"/>
        <v>0</v>
      </c>
      <c r="L67" s="35">
        <f t="shared" si="20"/>
        <v>0</v>
      </c>
      <c r="M67" s="35">
        <f t="shared" si="20"/>
        <v>0</v>
      </c>
      <c r="N67" s="35">
        <f t="shared" si="20"/>
        <v>0</v>
      </c>
      <c r="O67" s="35">
        <f t="shared" si="20"/>
        <v>0</v>
      </c>
      <c r="P67" s="35">
        <f t="shared" si="20"/>
        <v>0</v>
      </c>
      <c r="Q67" s="35">
        <f t="shared" si="20"/>
        <v>0</v>
      </c>
      <c r="R67" s="35">
        <f t="shared" si="20"/>
        <v>0</v>
      </c>
      <c r="S67" s="35">
        <f t="shared" si="20"/>
        <v>0</v>
      </c>
      <c r="T67" s="35">
        <f t="shared" si="20"/>
        <v>0</v>
      </c>
      <c r="U67" s="35">
        <f t="shared" si="20"/>
        <v>0</v>
      </c>
      <c r="V67" s="35">
        <f t="shared" si="20"/>
        <v>0</v>
      </c>
      <c r="W67" s="35">
        <f t="shared" si="20"/>
        <v>0</v>
      </c>
      <c r="X67" s="35">
        <f t="shared" si="20"/>
        <v>0</v>
      </c>
      <c r="Y67" s="35">
        <f t="shared" si="20"/>
        <v>0</v>
      </c>
      <c r="Z67" s="35">
        <f t="shared" si="20"/>
        <v>0</v>
      </c>
      <c r="AA67" s="35">
        <f t="shared" si="20"/>
        <v>0</v>
      </c>
      <c r="AB67" s="35">
        <f t="shared" si="20"/>
        <v>0</v>
      </c>
      <c r="AC67" s="35">
        <f t="shared" si="20"/>
        <v>0</v>
      </c>
      <c r="AD67" s="38">
        <f t="shared" si="20"/>
        <v>0</v>
      </c>
    </row>
    <row r="68" spans="1:38" ht="17.100000000000001" customHeight="1">
      <c r="A68" s="614" t="s">
        <v>24</v>
      </c>
      <c r="B68" s="615"/>
      <c r="C68" s="208">
        <f t="shared" ref="C68:AD68" si="21">COUNTIF(C62:C64,$A$68)</f>
        <v>0</v>
      </c>
      <c r="D68" s="35">
        <f t="shared" si="21"/>
        <v>0</v>
      </c>
      <c r="E68" s="35">
        <f t="shared" si="21"/>
        <v>0</v>
      </c>
      <c r="F68" s="35">
        <f t="shared" si="21"/>
        <v>0</v>
      </c>
      <c r="G68" s="35">
        <f t="shared" si="21"/>
        <v>0</v>
      </c>
      <c r="H68" s="35">
        <f t="shared" si="21"/>
        <v>2</v>
      </c>
      <c r="I68" s="35">
        <f t="shared" si="21"/>
        <v>2</v>
      </c>
      <c r="J68" s="35">
        <f t="shared" si="21"/>
        <v>2</v>
      </c>
      <c r="K68" s="35">
        <f t="shared" si="21"/>
        <v>1</v>
      </c>
      <c r="L68" s="35">
        <f t="shared" si="21"/>
        <v>2</v>
      </c>
      <c r="M68" s="35">
        <f t="shared" si="21"/>
        <v>2</v>
      </c>
      <c r="N68" s="35">
        <f t="shared" si="21"/>
        <v>2</v>
      </c>
      <c r="O68" s="35">
        <f t="shared" si="21"/>
        <v>2</v>
      </c>
      <c r="P68" s="35">
        <f t="shared" si="21"/>
        <v>0</v>
      </c>
      <c r="Q68" s="35">
        <f t="shared" si="21"/>
        <v>0</v>
      </c>
      <c r="R68" s="35">
        <f t="shared" si="21"/>
        <v>0</v>
      </c>
      <c r="S68" s="35">
        <f t="shared" si="21"/>
        <v>0</v>
      </c>
      <c r="T68" s="35">
        <f t="shared" si="21"/>
        <v>1</v>
      </c>
      <c r="U68" s="35">
        <f t="shared" si="21"/>
        <v>1</v>
      </c>
      <c r="V68" s="35">
        <f t="shared" si="21"/>
        <v>1</v>
      </c>
      <c r="W68" s="35">
        <f t="shared" si="21"/>
        <v>1</v>
      </c>
      <c r="X68" s="35">
        <f t="shared" si="21"/>
        <v>2</v>
      </c>
      <c r="Y68" s="35">
        <f t="shared" si="21"/>
        <v>2</v>
      </c>
      <c r="Z68" s="35">
        <f t="shared" si="21"/>
        <v>2</v>
      </c>
      <c r="AA68" s="35">
        <f t="shared" si="21"/>
        <v>2</v>
      </c>
      <c r="AB68" s="35">
        <f t="shared" si="21"/>
        <v>0</v>
      </c>
      <c r="AC68" s="35">
        <f t="shared" si="21"/>
        <v>0</v>
      </c>
      <c r="AD68" s="38">
        <f t="shared" si="21"/>
        <v>0</v>
      </c>
    </row>
    <row r="69" spans="1:38" ht="17.100000000000001" customHeight="1" thickBot="1">
      <c r="A69" s="616" t="s">
        <v>83</v>
      </c>
      <c r="B69" s="617"/>
      <c r="C69" s="149">
        <f t="shared" ref="C69:AD69" si="22">COUNTIF(C48:C49,$A$69)+COUNTIF(C58:C60,$A$69)</f>
        <v>1</v>
      </c>
      <c r="D69" s="16">
        <f t="shared" si="22"/>
        <v>1</v>
      </c>
      <c r="E69" s="16">
        <f t="shared" si="22"/>
        <v>1</v>
      </c>
      <c r="F69" s="16">
        <f t="shared" si="22"/>
        <v>1</v>
      </c>
      <c r="G69" s="16">
        <f t="shared" si="22"/>
        <v>1</v>
      </c>
      <c r="H69" s="16">
        <f t="shared" si="22"/>
        <v>1</v>
      </c>
      <c r="I69" s="16">
        <f t="shared" si="22"/>
        <v>1</v>
      </c>
      <c r="J69" s="16">
        <f t="shared" si="22"/>
        <v>1</v>
      </c>
      <c r="K69" s="16">
        <f t="shared" si="22"/>
        <v>1</v>
      </c>
      <c r="L69" s="16">
        <f t="shared" si="22"/>
        <v>0</v>
      </c>
      <c r="M69" s="16">
        <f t="shared" si="22"/>
        <v>0</v>
      </c>
      <c r="N69" s="16">
        <f t="shared" si="22"/>
        <v>0</v>
      </c>
      <c r="O69" s="16">
        <f t="shared" si="22"/>
        <v>0</v>
      </c>
      <c r="P69" s="16">
        <f t="shared" si="22"/>
        <v>1</v>
      </c>
      <c r="Q69" s="16">
        <f t="shared" si="22"/>
        <v>1</v>
      </c>
      <c r="R69" s="16">
        <f t="shared" si="22"/>
        <v>1</v>
      </c>
      <c r="S69" s="16">
        <f t="shared" si="22"/>
        <v>1</v>
      </c>
      <c r="T69" s="16">
        <f t="shared" si="22"/>
        <v>1</v>
      </c>
      <c r="U69" s="16">
        <f t="shared" si="22"/>
        <v>1</v>
      </c>
      <c r="V69" s="16">
        <f t="shared" si="22"/>
        <v>1</v>
      </c>
      <c r="W69" s="16">
        <f t="shared" si="22"/>
        <v>1</v>
      </c>
      <c r="X69" s="16">
        <f t="shared" si="22"/>
        <v>1</v>
      </c>
      <c r="Y69" s="16">
        <f t="shared" si="22"/>
        <v>1</v>
      </c>
      <c r="Z69" s="16">
        <f t="shared" si="22"/>
        <v>1</v>
      </c>
      <c r="AA69" s="16">
        <f t="shared" si="22"/>
        <v>1</v>
      </c>
      <c r="AB69" s="16">
        <f t="shared" si="22"/>
        <v>1</v>
      </c>
      <c r="AC69" s="16">
        <f t="shared" si="22"/>
        <v>1</v>
      </c>
      <c r="AD69" s="52">
        <f t="shared" si="22"/>
        <v>1</v>
      </c>
    </row>
    <row r="71" spans="1:38">
      <c r="B71" s="922"/>
      <c r="C71" s="922"/>
      <c r="D71" s="922"/>
      <c r="E71" s="922"/>
      <c r="F71" s="922"/>
      <c r="G71" s="922"/>
      <c r="H71" s="922"/>
      <c r="I71" s="922"/>
      <c r="J71" s="922"/>
      <c r="K71" s="922"/>
      <c r="L71" s="922"/>
      <c r="M71" s="922"/>
      <c r="N71" s="922"/>
      <c r="O71" s="922"/>
      <c r="P71" s="922"/>
      <c r="Q71" s="922"/>
      <c r="R71" s="922"/>
      <c r="S71" s="922"/>
      <c r="T71" s="922"/>
      <c r="U71" s="922"/>
      <c r="V71" s="922"/>
      <c r="W71" s="922"/>
      <c r="X71" s="922"/>
      <c r="Y71" s="922"/>
      <c r="Z71" s="922"/>
      <c r="AA71" s="922"/>
      <c r="AB71" s="922"/>
      <c r="AC71" s="922"/>
      <c r="AD71" s="922"/>
      <c r="AE71" s="922"/>
      <c r="AF71" s="922"/>
      <c r="AG71" s="922"/>
      <c r="AH71" s="922"/>
      <c r="AI71" s="922"/>
      <c r="AJ71" s="922"/>
      <c r="AK71" s="922"/>
      <c r="AL71" s="922"/>
    </row>
  </sheetData>
  <mergeCells count="6">
    <mergeCell ref="AK3:AK4"/>
    <mergeCell ref="AL3:AL4"/>
    <mergeCell ref="AF3:AF4"/>
    <mergeCell ref="AG3:AG4"/>
    <mergeCell ref="AH3:AH4"/>
    <mergeCell ref="AJ3:AJ4"/>
  </mergeCells>
  <conditionalFormatting sqref="C55:AD55">
    <cfRule type="cellIs" dxfId="44" priority="1" operator="lessThan">
      <formula>1.5</formula>
    </cfRule>
    <cfRule type="cellIs" dxfId="43" priority="2" operator="lessThan">
      <formula>2.5</formula>
    </cfRule>
  </conditionalFormatting>
  <conditionalFormatting sqref="AH5:AH49 AH58:AH64">
    <cfRule type="cellIs" dxfId="42" priority="4" operator="equal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6F57-2751-4EA5-8CBE-F8A58295452B}">
  <dimension ref="A1:AO77"/>
  <sheetViews>
    <sheetView showGridLines="0" zoomScale="70" zoomScaleNormal="70" workbookViewId="0">
      <pane xSplit="2" ySplit="4" topLeftCell="J43" activePane="bottomRight" state="frozen"/>
      <selection pane="bottomRight" activeCell="C5" sqref="C5"/>
      <selection pane="bottomLeft" activeCell="C5" sqref="C5"/>
      <selection pane="topRight" activeCell="C5" sqref="C5"/>
    </sheetView>
  </sheetViews>
  <sheetFormatPr defaultColWidth="9.140625" defaultRowHeight="15"/>
  <cols>
    <col min="1" max="2" width="42.5703125" customWidth="1"/>
  </cols>
  <sheetData>
    <row r="1" spans="1:41" ht="20.100000000000001" customHeight="1" thickBot="1">
      <c r="A1" s="940" t="s">
        <v>0</v>
      </c>
      <c r="B1" s="584" t="s">
        <v>0</v>
      </c>
      <c r="C1" s="635" t="s">
        <v>1</v>
      </c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82"/>
    </row>
    <row r="2" spans="1:41" ht="30" customHeight="1" thickBot="1">
      <c r="A2" s="588" t="s">
        <v>2</v>
      </c>
      <c r="B2" s="552"/>
      <c r="C2" s="574" t="s">
        <v>153</v>
      </c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83"/>
      <c r="AI2" s="618" t="s">
        <v>4</v>
      </c>
      <c r="AJ2" s="619"/>
      <c r="AK2" s="620"/>
      <c r="AL2" s="1"/>
      <c r="AM2" s="618" t="s">
        <v>5</v>
      </c>
      <c r="AN2" s="619"/>
      <c r="AO2" s="620"/>
    </row>
    <row r="3" spans="1:41" ht="24.95" customHeight="1">
      <c r="A3" s="590" t="s">
        <v>0</v>
      </c>
      <c r="B3" s="464" t="s">
        <v>0</v>
      </c>
      <c r="C3" s="628" t="s">
        <v>9</v>
      </c>
      <c r="D3" s="628" t="s">
        <v>10</v>
      </c>
      <c r="E3" s="629" t="s">
        <v>11</v>
      </c>
      <c r="F3" s="664" t="s">
        <v>12</v>
      </c>
      <c r="G3" s="629" t="s">
        <v>6</v>
      </c>
      <c r="H3" s="629" t="s">
        <v>7</v>
      </c>
      <c r="I3" s="629" t="s">
        <v>8</v>
      </c>
      <c r="J3" s="628" t="s">
        <v>9</v>
      </c>
      <c r="K3" s="628" t="s">
        <v>10</v>
      </c>
      <c r="L3" s="629" t="s">
        <v>11</v>
      </c>
      <c r="M3" s="629" t="s">
        <v>12</v>
      </c>
      <c r="N3" s="629" t="s">
        <v>6</v>
      </c>
      <c r="O3" s="629" t="s">
        <v>7</v>
      </c>
      <c r="P3" s="629" t="s">
        <v>8</v>
      </c>
      <c r="Q3" s="628" t="s">
        <v>9</v>
      </c>
      <c r="R3" s="628" t="s">
        <v>10</v>
      </c>
      <c r="S3" s="629" t="s">
        <v>11</v>
      </c>
      <c r="T3" s="629" t="s">
        <v>12</v>
      </c>
      <c r="U3" s="629" t="s">
        <v>6</v>
      </c>
      <c r="V3" s="629" t="s">
        <v>7</v>
      </c>
      <c r="W3" s="629" t="s">
        <v>8</v>
      </c>
      <c r="X3" s="628" t="s">
        <v>9</v>
      </c>
      <c r="Y3" s="628" t="s">
        <v>10</v>
      </c>
      <c r="Z3" s="629" t="s">
        <v>11</v>
      </c>
      <c r="AA3" s="629" t="s">
        <v>12</v>
      </c>
      <c r="AB3" s="629" t="s">
        <v>6</v>
      </c>
      <c r="AC3" s="629" t="s">
        <v>7</v>
      </c>
      <c r="AD3" s="629" t="s">
        <v>8</v>
      </c>
      <c r="AE3" s="628" t="s">
        <v>9</v>
      </c>
      <c r="AF3" s="628" t="s">
        <v>10</v>
      </c>
      <c r="AG3" s="684" t="s">
        <v>11</v>
      </c>
      <c r="AI3" s="1393">
        <v>2024</v>
      </c>
      <c r="AJ3" s="1395" t="s">
        <v>13</v>
      </c>
      <c r="AK3" s="1391" t="s">
        <v>14</v>
      </c>
      <c r="AL3" s="1"/>
      <c r="AM3" s="1393">
        <v>2025</v>
      </c>
      <c r="AN3" s="1389" t="s">
        <v>13</v>
      </c>
      <c r="AO3" s="1391" t="s">
        <v>14</v>
      </c>
    </row>
    <row r="4" spans="1:41" ht="24.95" customHeight="1" thickBot="1">
      <c r="A4" s="591" t="s">
        <v>15</v>
      </c>
      <c r="B4" s="466" t="s">
        <v>16</v>
      </c>
      <c r="C4" s="628">
        <v>1</v>
      </c>
      <c r="D4" s="628">
        <v>2</v>
      </c>
      <c r="E4" s="630">
        <v>3</v>
      </c>
      <c r="F4" s="664">
        <v>4</v>
      </c>
      <c r="G4" s="630">
        <v>5</v>
      </c>
      <c r="H4" s="630">
        <v>6</v>
      </c>
      <c r="I4" s="630">
        <v>7</v>
      </c>
      <c r="J4" s="628">
        <v>8</v>
      </c>
      <c r="K4" s="628">
        <v>9</v>
      </c>
      <c r="L4" s="630">
        <v>10</v>
      </c>
      <c r="M4" s="630">
        <v>11</v>
      </c>
      <c r="N4" s="630">
        <v>12</v>
      </c>
      <c r="O4" s="630">
        <v>13</v>
      </c>
      <c r="P4" s="630">
        <v>14</v>
      </c>
      <c r="Q4" s="628">
        <v>15</v>
      </c>
      <c r="R4" s="628">
        <v>16</v>
      </c>
      <c r="S4" s="630">
        <v>17</v>
      </c>
      <c r="T4" s="630">
        <v>18</v>
      </c>
      <c r="U4" s="630">
        <v>19</v>
      </c>
      <c r="V4" s="630">
        <v>20</v>
      </c>
      <c r="W4" s="630">
        <v>21</v>
      </c>
      <c r="X4" s="628">
        <v>22</v>
      </c>
      <c r="Y4" s="628">
        <v>23</v>
      </c>
      <c r="Z4" s="630">
        <v>24</v>
      </c>
      <c r="AA4" s="630">
        <v>25</v>
      </c>
      <c r="AB4" s="630">
        <v>26</v>
      </c>
      <c r="AC4" s="630">
        <v>27</v>
      </c>
      <c r="AD4" s="630">
        <v>28</v>
      </c>
      <c r="AE4" s="628">
        <v>29</v>
      </c>
      <c r="AF4" s="628">
        <v>30</v>
      </c>
      <c r="AG4" s="685">
        <v>31</v>
      </c>
      <c r="AI4" s="1394"/>
      <c r="AJ4" s="1396"/>
      <c r="AK4" s="1392"/>
      <c r="AL4" s="1"/>
      <c r="AM4" s="1394"/>
      <c r="AN4" s="1390"/>
      <c r="AO4" s="1392"/>
    </row>
    <row r="5" spans="1:41" ht="18.95" customHeight="1">
      <c r="A5" s="718" t="s">
        <v>17</v>
      </c>
      <c r="B5" s="717" t="s">
        <v>18</v>
      </c>
      <c r="C5" s="158" t="s">
        <v>19</v>
      </c>
      <c r="D5" s="158" t="s">
        <v>19</v>
      </c>
      <c r="E5" s="158" t="s">
        <v>19</v>
      </c>
      <c r="F5" s="158" t="s">
        <v>19</v>
      </c>
      <c r="G5" s="158" t="s">
        <v>19</v>
      </c>
      <c r="H5" s="158" t="s">
        <v>19</v>
      </c>
      <c r="I5" s="158" t="s">
        <v>19</v>
      </c>
      <c r="J5" s="158" t="s">
        <v>19</v>
      </c>
      <c r="K5" s="158" t="s">
        <v>19</v>
      </c>
      <c r="L5" s="158" t="s">
        <v>19</v>
      </c>
      <c r="M5" s="158" t="s">
        <v>19</v>
      </c>
      <c r="N5" s="158" t="s">
        <v>19</v>
      </c>
      <c r="O5" s="158" t="s">
        <v>19</v>
      </c>
      <c r="P5" s="158" t="s">
        <v>19</v>
      </c>
      <c r="Q5" s="158" t="s">
        <v>19</v>
      </c>
      <c r="R5" s="158" t="s">
        <v>19</v>
      </c>
      <c r="S5" s="158" t="s">
        <v>19</v>
      </c>
      <c r="T5" s="158" t="s">
        <v>19</v>
      </c>
      <c r="U5" s="158" t="s">
        <v>19</v>
      </c>
      <c r="V5" s="158" t="s">
        <v>19</v>
      </c>
      <c r="W5" s="158" t="s">
        <v>19</v>
      </c>
      <c r="X5" s="158" t="s">
        <v>19</v>
      </c>
      <c r="Y5" s="158" t="s">
        <v>19</v>
      </c>
      <c r="Z5" s="158" t="s">
        <v>19</v>
      </c>
      <c r="AA5" s="158" t="s">
        <v>19</v>
      </c>
      <c r="AB5" s="158" t="s">
        <v>19</v>
      </c>
      <c r="AC5" s="158" t="s">
        <v>19</v>
      </c>
      <c r="AD5" s="158" t="s">
        <v>19</v>
      </c>
      <c r="AE5" s="158" t="s">
        <v>19</v>
      </c>
      <c r="AF5" s="158" t="s">
        <v>19</v>
      </c>
      <c r="AG5" s="136" t="s">
        <v>19</v>
      </c>
      <c r="AI5" s="121">
        <f>VLOOKUP($B5,'FEB25'!$B:$AL,33,0)</f>
        <v>3</v>
      </c>
      <c r="AJ5" s="179">
        <f>COUNTIF(C5:AG5,"UA")</f>
        <v>0</v>
      </c>
      <c r="AK5" s="122">
        <f>AI5-AJ5</f>
        <v>3</v>
      </c>
      <c r="AL5" s="66"/>
      <c r="AM5" s="4">
        <f>'FEB25'!AL5</f>
        <v>22</v>
      </c>
      <c r="AN5" s="56">
        <f>COUNTIF(C5:AG5,"u")</f>
        <v>0</v>
      </c>
      <c r="AO5" s="57">
        <f>AM5-AN5</f>
        <v>22</v>
      </c>
    </row>
    <row r="6" spans="1:41" ht="18.95" customHeight="1">
      <c r="A6" s="718" t="s">
        <v>20</v>
      </c>
      <c r="B6" s="717" t="s">
        <v>21</v>
      </c>
      <c r="C6" s="6" t="s">
        <v>22</v>
      </c>
      <c r="D6" s="6" t="s">
        <v>22</v>
      </c>
      <c r="E6" s="562" t="s">
        <v>23</v>
      </c>
      <c r="F6" s="562" t="s">
        <v>23</v>
      </c>
      <c r="G6" s="28" t="s">
        <v>24</v>
      </c>
      <c r="H6" s="28" t="s">
        <v>24</v>
      </c>
      <c r="I6" s="28" t="s">
        <v>24</v>
      </c>
      <c r="J6" s="28" t="s">
        <v>24</v>
      </c>
      <c r="K6" s="562" t="s">
        <v>23</v>
      </c>
      <c r="L6" s="562" t="s">
        <v>23</v>
      </c>
      <c r="M6" s="6" t="s">
        <v>22</v>
      </c>
      <c r="N6" s="6" t="s">
        <v>22</v>
      </c>
      <c r="O6" s="6" t="s">
        <v>22</v>
      </c>
      <c r="P6" s="6" t="s">
        <v>22</v>
      </c>
      <c r="Q6" s="562" t="s">
        <v>23</v>
      </c>
      <c r="R6" s="562" t="s">
        <v>23</v>
      </c>
      <c r="S6" s="28" t="s">
        <v>24</v>
      </c>
      <c r="T6" s="28" t="s">
        <v>24</v>
      </c>
      <c r="U6" s="28" t="s">
        <v>24</v>
      </c>
      <c r="V6" s="28" t="s">
        <v>24</v>
      </c>
      <c r="W6" s="562" t="s">
        <v>23</v>
      </c>
      <c r="X6" s="562" t="s">
        <v>23</v>
      </c>
      <c r="Y6" s="6" t="s">
        <v>22</v>
      </c>
      <c r="Z6" s="6" t="s">
        <v>22</v>
      </c>
      <c r="AA6" s="6" t="s">
        <v>22</v>
      </c>
      <c r="AB6" s="6" t="s">
        <v>22</v>
      </c>
      <c r="AC6" s="562" t="s">
        <v>23</v>
      </c>
      <c r="AD6" s="562" t="s">
        <v>23</v>
      </c>
      <c r="AE6" s="6" t="s">
        <v>22</v>
      </c>
      <c r="AF6" s="6" t="s">
        <v>22</v>
      </c>
      <c r="AG6" s="9" t="s">
        <v>22</v>
      </c>
      <c r="AI6" s="201">
        <f>VLOOKUP($B6,'FEB25'!$B:$AL,33,0)</f>
        <v>0</v>
      </c>
      <c r="AJ6" s="49">
        <f>COUNTIF(C6:AG6,"UA")</f>
        <v>0</v>
      </c>
      <c r="AK6" s="202">
        <f>AI6-AJ6</f>
        <v>0</v>
      </c>
      <c r="AL6" s="66"/>
      <c r="AM6" s="37">
        <f>'FEB25'!AL6</f>
        <v>19</v>
      </c>
      <c r="AN6" s="49">
        <f>COUNTIF(C6:AG6,"u")</f>
        <v>0</v>
      </c>
      <c r="AO6" s="50">
        <f>AM6-AN6</f>
        <v>19</v>
      </c>
    </row>
    <row r="7" spans="1:41" ht="18.95" customHeight="1">
      <c r="A7" s="681" t="s">
        <v>26</v>
      </c>
      <c r="B7" s="633" t="s">
        <v>27</v>
      </c>
      <c r="C7" s="92" t="s">
        <v>34</v>
      </c>
      <c r="D7" s="92" t="s">
        <v>34</v>
      </c>
      <c r="E7" s="92" t="s">
        <v>34</v>
      </c>
      <c r="F7" s="110" t="s">
        <v>30</v>
      </c>
      <c r="G7" s="29" t="s">
        <v>23</v>
      </c>
      <c r="H7" s="29" t="s">
        <v>23</v>
      </c>
      <c r="I7" s="92" t="s">
        <v>34</v>
      </c>
      <c r="J7" s="92" t="s">
        <v>34</v>
      </c>
      <c r="K7" s="92" t="s">
        <v>34</v>
      </c>
      <c r="L7" s="92" t="s">
        <v>34</v>
      </c>
      <c r="M7" s="29" t="s">
        <v>23</v>
      </c>
      <c r="N7" s="29" t="s">
        <v>23</v>
      </c>
      <c r="O7" s="92" t="s">
        <v>34</v>
      </c>
      <c r="P7" s="92" t="s">
        <v>34</v>
      </c>
      <c r="Q7" s="92" t="s">
        <v>34</v>
      </c>
      <c r="R7" s="29" t="s">
        <v>23</v>
      </c>
      <c r="S7" s="29" t="s">
        <v>23</v>
      </c>
      <c r="T7" s="6" t="s">
        <v>22</v>
      </c>
      <c r="U7" s="6" t="s">
        <v>22</v>
      </c>
      <c r="V7" s="6" t="s">
        <v>22</v>
      </c>
      <c r="W7" s="6" t="s">
        <v>22</v>
      </c>
      <c r="X7" s="6" t="s">
        <v>22</v>
      </c>
      <c r="Y7" s="29" t="s">
        <v>23</v>
      </c>
      <c r="Z7" s="29" t="s">
        <v>23</v>
      </c>
      <c r="AA7" s="111" t="s">
        <v>24</v>
      </c>
      <c r="AB7" s="111" t="s">
        <v>24</v>
      </c>
      <c r="AC7" s="111" t="s">
        <v>24</v>
      </c>
      <c r="AD7" s="111" t="s">
        <v>24</v>
      </c>
      <c r="AE7" s="29" t="s">
        <v>23</v>
      </c>
      <c r="AF7" s="29" t="s">
        <v>23</v>
      </c>
      <c r="AG7" s="9" t="s">
        <v>22</v>
      </c>
      <c r="AI7" s="201">
        <f>VLOOKUP($B7,'FEB25'!$B:$AL,33,0)</f>
        <v>0</v>
      </c>
      <c r="AJ7" s="49">
        <f>COUNTIF(C7:AG7,"UA")</f>
        <v>0</v>
      </c>
      <c r="AK7" s="202">
        <f>AI7-AJ7</f>
        <v>0</v>
      </c>
      <c r="AL7" s="66"/>
      <c r="AM7" s="37">
        <f>'FEB25'!AL7</f>
        <v>22</v>
      </c>
      <c r="AN7" s="49">
        <f>COUNTIF(C7:AG7,"u")</f>
        <v>10</v>
      </c>
      <c r="AO7" s="50">
        <f>AM7-AN7</f>
        <v>12</v>
      </c>
    </row>
    <row r="8" spans="1:41" ht="18.95" customHeight="1">
      <c r="A8" s="602" t="s">
        <v>28</v>
      </c>
      <c r="B8" s="582" t="s">
        <v>29</v>
      </c>
      <c r="C8" s="6" t="s">
        <v>22</v>
      </c>
      <c r="D8" s="6" t="s">
        <v>22</v>
      </c>
      <c r="E8" s="29" t="s">
        <v>23</v>
      </c>
      <c r="F8" s="29" t="s">
        <v>23</v>
      </c>
      <c r="G8" s="111" t="s">
        <v>24</v>
      </c>
      <c r="H8" s="111" t="s">
        <v>24</v>
      </c>
      <c r="I8" s="111" t="s">
        <v>24</v>
      </c>
      <c r="J8" s="111" t="s">
        <v>24</v>
      </c>
      <c r="K8" s="29" t="s">
        <v>23</v>
      </c>
      <c r="L8" s="29" t="s">
        <v>23</v>
      </c>
      <c r="M8" s="6" t="s">
        <v>22</v>
      </c>
      <c r="N8" s="6" t="s">
        <v>22</v>
      </c>
      <c r="O8" s="6" t="s">
        <v>22</v>
      </c>
      <c r="P8" s="6" t="s">
        <v>22</v>
      </c>
      <c r="Q8" s="29" t="s">
        <v>23</v>
      </c>
      <c r="R8" s="29" t="s">
        <v>23</v>
      </c>
      <c r="S8" s="111" t="s">
        <v>24</v>
      </c>
      <c r="T8" s="111" t="s">
        <v>24</v>
      </c>
      <c r="U8" s="111" t="s">
        <v>24</v>
      </c>
      <c r="V8" s="111" t="s">
        <v>24</v>
      </c>
      <c r="W8" s="29" t="s">
        <v>23</v>
      </c>
      <c r="X8" s="29" t="s">
        <v>23</v>
      </c>
      <c r="Y8" s="6" t="s">
        <v>22</v>
      </c>
      <c r="Z8" s="6" t="s">
        <v>22</v>
      </c>
      <c r="AA8" s="6" t="s">
        <v>22</v>
      </c>
      <c r="AB8" s="6" t="s">
        <v>22</v>
      </c>
      <c r="AC8" s="29" t="s">
        <v>23</v>
      </c>
      <c r="AD8" s="29" t="s">
        <v>23</v>
      </c>
      <c r="AE8" s="111" t="s">
        <v>24</v>
      </c>
      <c r="AF8" s="111" t="s">
        <v>24</v>
      </c>
      <c r="AG8" s="119" t="s">
        <v>24</v>
      </c>
      <c r="AI8" s="201">
        <f>VLOOKUP($B8,'FEB25'!$B:$AL,33,0)</f>
        <v>0</v>
      </c>
      <c r="AJ8" s="49">
        <f t="shared" ref="AJ8:AJ9" si="0">COUNTIF(C8:AG8,"UA")</f>
        <v>0</v>
      </c>
      <c r="AK8" s="202">
        <f t="shared" ref="AK8:AK9" si="1">AI8-AJ8</f>
        <v>0</v>
      </c>
      <c r="AL8" s="66"/>
      <c r="AM8" s="37">
        <f>'FEB25'!AL8</f>
        <v>23</v>
      </c>
      <c r="AN8" s="49">
        <f t="shared" ref="AN8:AN9" si="2">COUNTIF(C8:AG8,"u")</f>
        <v>0</v>
      </c>
      <c r="AO8" s="50">
        <f t="shared" ref="AO8:AO9" si="3">AM8-AN8</f>
        <v>23</v>
      </c>
    </row>
    <row r="9" spans="1:41" ht="18.95" customHeight="1">
      <c r="A9" s="602" t="s">
        <v>32</v>
      </c>
      <c r="B9" s="582" t="s">
        <v>33</v>
      </c>
      <c r="C9" s="29" t="s">
        <v>23</v>
      </c>
      <c r="D9" s="29" t="s">
        <v>23</v>
      </c>
      <c r="E9" s="6" t="s">
        <v>22</v>
      </c>
      <c r="F9" s="6" t="s">
        <v>22</v>
      </c>
      <c r="G9" s="6" t="s">
        <v>22</v>
      </c>
      <c r="H9" s="6" t="s">
        <v>22</v>
      </c>
      <c r="I9" s="29" t="s">
        <v>23</v>
      </c>
      <c r="J9" s="29" t="s">
        <v>23</v>
      </c>
      <c r="K9" s="111" t="s">
        <v>24</v>
      </c>
      <c r="L9" s="111" t="s">
        <v>24</v>
      </c>
      <c r="M9" s="111" t="s">
        <v>24</v>
      </c>
      <c r="N9" s="111" t="s">
        <v>24</v>
      </c>
      <c r="O9" s="29" t="s">
        <v>23</v>
      </c>
      <c r="P9" s="29" t="s">
        <v>23</v>
      </c>
      <c r="Q9" s="6" t="s">
        <v>22</v>
      </c>
      <c r="R9" s="6" t="s">
        <v>22</v>
      </c>
      <c r="S9" s="6" t="s">
        <v>22</v>
      </c>
      <c r="T9" s="6" t="s">
        <v>22</v>
      </c>
      <c r="U9" s="29" t="s">
        <v>23</v>
      </c>
      <c r="V9" s="29" t="s">
        <v>23</v>
      </c>
      <c r="W9" s="111" t="s">
        <v>24</v>
      </c>
      <c r="X9" s="92" t="s">
        <v>34</v>
      </c>
      <c r="Y9" s="111" t="s">
        <v>24</v>
      </c>
      <c r="Z9" s="111" t="s">
        <v>24</v>
      </c>
      <c r="AA9" s="29" t="s">
        <v>23</v>
      </c>
      <c r="AB9" s="29" t="s">
        <v>23</v>
      </c>
      <c r="AC9" s="6" t="s">
        <v>22</v>
      </c>
      <c r="AD9" s="6" t="s">
        <v>22</v>
      </c>
      <c r="AE9" s="6" t="s">
        <v>22</v>
      </c>
      <c r="AF9" s="6" t="s">
        <v>22</v>
      </c>
      <c r="AG9" s="78" t="s">
        <v>23</v>
      </c>
      <c r="AI9" s="201">
        <f>VLOOKUP($B9,'FEB25'!$B:$AL,33,0)</f>
        <v>0</v>
      </c>
      <c r="AJ9" s="49">
        <f t="shared" si="0"/>
        <v>0</v>
      </c>
      <c r="AK9" s="202">
        <f t="shared" si="1"/>
        <v>0</v>
      </c>
      <c r="AL9" s="66"/>
      <c r="AM9" s="37">
        <f>'FEB25'!AL9</f>
        <v>12</v>
      </c>
      <c r="AN9" s="49">
        <f t="shared" si="2"/>
        <v>1</v>
      </c>
      <c r="AO9" s="50">
        <f t="shared" si="3"/>
        <v>11</v>
      </c>
    </row>
    <row r="10" spans="1:41" ht="18.95" customHeight="1">
      <c r="A10" s="602" t="s">
        <v>35</v>
      </c>
      <c r="B10" s="582" t="s">
        <v>36</v>
      </c>
      <c r="C10" s="111" t="s">
        <v>24</v>
      </c>
      <c r="D10" s="111" t="s">
        <v>24</v>
      </c>
      <c r="E10" s="111" t="s">
        <v>24</v>
      </c>
      <c r="F10" s="111" t="s">
        <v>24</v>
      </c>
      <c r="G10" s="29" t="s">
        <v>23</v>
      </c>
      <c r="H10" s="29" t="s">
        <v>23</v>
      </c>
      <c r="I10" s="6" t="s">
        <v>22</v>
      </c>
      <c r="J10" s="6" t="s">
        <v>22</v>
      </c>
      <c r="K10" s="6" t="s">
        <v>22</v>
      </c>
      <c r="L10" s="6" t="s">
        <v>22</v>
      </c>
      <c r="M10" s="29" t="s">
        <v>23</v>
      </c>
      <c r="N10" s="29" t="s">
        <v>23</v>
      </c>
      <c r="O10" s="6" t="s">
        <v>22</v>
      </c>
      <c r="P10" s="10" t="s">
        <v>146</v>
      </c>
      <c r="Q10" s="111" t="s">
        <v>24</v>
      </c>
      <c r="R10" s="111" t="s">
        <v>24</v>
      </c>
      <c r="S10" s="29" t="s">
        <v>23</v>
      </c>
      <c r="T10" s="29" t="s">
        <v>23</v>
      </c>
      <c r="U10" s="6" t="s">
        <v>22</v>
      </c>
      <c r="V10" s="6" t="s">
        <v>22</v>
      </c>
      <c r="W10" s="6" t="s">
        <v>22</v>
      </c>
      <c r="X10" s="111" t="s">
        <v>24</v>
      </c>
      <c r="Y10" s="29" t="s">
        <v>23</v>
      </c>
      <c r="Z10" s="29" t="s">
        <v>23</v>
      </c>
      <c r="AA10" s="111" t="s">
        <v>24</v>
      </c>
      <c r="AB10" s="111" t="s">
        <v>24</v>
      </c>
      <c r="AC10" s="111" t="s">
        <v>24</v>
      </c>
      <c r="AD10" s="111" t="s">
        <v>24</v>
      </c>
      <c r="AE10" s="29" t="s">
        <v>23</v>
      </c>
      <c r="AF10" s="29" t="s">
        <v>23</v>
      </c>
      <c r="AG10" s="93" t="s">
        <v>34</v>
      </c>
      <c r="AI10" s="201">
        <f>VLOOKUP($B10,'FEB25'!$B:$AL,33,0)</f>
        <v>0</v>
      </c>
      <c r="AJ10" s="49">
        <f>COUNTIF(C10:AG10,"UA")</f>
        <v>0</v>
      </c>
      <c r="AK10" s="202">
        <f>AI10-AJ10</f>
        <v>0</v>
      </c>
      <c r="AL10" s="66"/>
      <c r="AM10" s="37">
        <f>'FEB25'!AL10</f>
        <v>22</v>
      </c>
      <c r="AN10" s="49">
        <f>COUNTIF(C10:AG10,"u")</f>
        <v>1</v>
      </c>
      <c r="AO10" s="50">
        <f>AM10-AN10</f>
        <v>21</v>
      </c>
    </row>
    <row r="11" spans="1:41" ht="18.95" customHeight="1">
      <c r="A11" s="602" t="s">
        <v>37</v>
      </c>
      <c r="B11" s="582" t="s">
        <v>38</v>
      </c>
      <c r="C11" s="6" t="s">
        <v>22</v>
      </c>
      <c r="D11" s="6" t="s">
        <v>22</v>
      </c>
      <c r="E11" s="29" t="s">
        <v>23</v>
      </c>
      <c r="F11" s="29" t="s">
        <v>23</v>
      </c>
      <c r="G11" s="111" t="s">
        <v>24</v>
      </c>
      <c r="H11" s="111" t="s">
        <v>24</v>
      </c>
      <c r="I11" s="111" t="s">
        <v>24</v>
      </c>
      <c r="J11" s="559" t="s">
        <v>42</v>
      </c>
      <c r="K11" s="29" t="s">
        <v>23</v>
      </c>
      <c r="L11" s="29" t="s">
        <v>23</v>
      </c>
      <c r="M11" s="111" t="s">
        <v>24</v>
      </c>
      <c r="N11" s="111" t="s">
        <v>24</v>
      </c>
      <c r="O11" s="111" t="s">
        <v>24</v>
      </c>
      <c r="P11" s="111" t="s">
        <v>24</v>
      </c>
      <c r="Q11" s="29" t="s">
        <v>23</v>
      </c>
      <c r="R11" s="29" t="s">
        <v>23</v>
      </c>
      <c r="S11" s="111" t="s">
        <v>24</v>
      </c>
      <c r="T11" s="111" t="s">
        <v>24</v>
      </c>
      <c r="U11" s="111" t="s">
        <v>24</v>
      </c>
      <c r="V11" s="111" t="s">
        <v>24</v>
      </c>
      <c r="W11" s="29" t="s">
        <v>23</v>
      </c>
      <c r="X11" s="29" t="s">
        <v>23</v>
      </c>
      <c r="Y11" s="6" t="s">
        <v>22</v>
      </c>
      <c r="Z11" s="6" t="s">
        <v>22</v>
      </c>
      <c r="AA11" s="6" t="s">
        <v>22</v>
      </c>
      <c r="AB11" s="6" t="s">
        <v>22</v>
      </c>
      <c r="AC11" s="29" t="s">
        <v>23</v>
      </c>
      <c r="AD11" s="29" t="s">
        <v>23</v>
      </c>
      <c r="AE11" s="111" t="s">
        <v>24</v>
      </c>
      <c r="AF11" s="111" t="s">
        <v>146</v>
      </c>
      <c r="AG11" s="9" t="s">
        <v>22</v>
      </c>
      <c r="AI11" s="201">
        <f>VLOOKUP($B11,'FEB25'!$B:$AL,33,0)</f>
        <v>0</v>
      </c>
      <c r="AJ11" s="49">
        <f>COUNTIF(C11:AG11,"UA")</f>
        <v>0</v>
      </c>
      <c r="AK11" s="202">
        <f>AI11-AJ11</f>
        <v>0</v>
      </c>
      <c r="AL11" s="66"/>
      <c r="AM11" s="37">
        <f>'FEB25'!AL11</f>
        <v>22</v>
      </c>
      <c r="AN11" s="49">
        <f>COUNTIF(C11:AG11,"u")</f>
        <v>0</v>
      </c>
      <c r="AO11" s="50">
        <f>AM11-AN11</f>
        <v>22</v>
      </c>
    </row>
    <row r="12" spans="1:41" ht="18.95" customHeight="1" thickBot="1">
      <c r="A12" s="680" t="s">
        <v>43</v>
      </c>
      <c r="B12" s="592" t="s">
        <v>44</v>
      </c>
      <c r="C12" s="83" t="s">
        <v>23</v>
      </c>
      <c r="D12" s="83" t="s">
        <v>23</v>
      </c>
      <c r="E12" s="15" t="s">
        <v>22</v>
      </c>
      <c r="F12" s="15" t="s">
        <v>22</v>
      </c>
      <c r="G12" s="15" t="s">
        <v>22</v>
      </c>
      <c r="H12" s="15" t="s">
        <v>22</v>
      </c>
      <c r="I12" s="83" t="s">
        <v>23</v>
      </c>
      <c r="J12" s="83" t="s">
        <v>23</v>
      </c>
      <c r="K12" s="116" t="s">
        <v>24</v>
      </c>
      <c r="L12" s="116" t="s">
        <v>24</v>
      </c>
      <c r="M12" s="116" t="s">
        <v>24</v>
      </c>
      <c r="N12" s="116" t="s">
        <v>24</v>
      </c>
      <c r="O12" s="83" t="s">
        <v>23</v>
      </c>
      <c r="P12" s="83" t="s">
        <v>23</v>
      </c>
      <c r="Q12" s="15" t="s">
        <v>22</v>
      </c>
      <c r="R12" s="15" t="s">
        <v>22</v>
      </c>
      <c r="S12" s="15" t="s">
        <v>22</v>
      </c>
      <c r="T12" s="686" t="s">
        <v>146</v>
      </c>
      <c r="U12" s="83" t="s">
        <v>23</v>
      </c>
      <c r="V12" s="83" t="s">
        <v>23</v>
      </c>
      <c r="W12" s="383" t="s">
        <v>63</v>
      </c>
      <c r="X12" s="383" t="s">
        <v>63</v>
      </c>
      <c r="Y12" s="383" t="s">
        <v>63</v>
      </c>
      <c r="Z12" s="383" t="s">
        <v>63</v>
      </c>
      <c r="AA12" s="83" t="s">
        <v>23</v>
      </c>
      <c r="AB12" s="83" t="s">
        <v>23</v>
      </c>
      <c r="AC12" s="116" t="s">
        <v>24</v>
      </c>
      <c r="AD12" s="116" t="s">
        <v>24</v>
      </c>
      <c r="AE12" s="116" t="s">
        <v>24</v>
      </c>
      <c r="AF12" s="116" t="s">
        <v>24</v>
      </c>
      <c r="AG12" s="84" t="s">
        <v>23</v>
      </c>
      <c r="AI12" s="203">
        <f>VLOOKUP($B12,'FEB25'!$B:$AL,33,0)</f>
        <v>0</v>
      </c>
      <c r="AJ12" s="184">
        <f>COUNTIF(C12:AG12,"UA")</f>
        <v>0</v>
      </c>
      <c r="AK12" s="204">
        <f>AI12-AJ12</f>
        <v>0</v>
      </c>
      <c r="AL12" s="66"/>
      <c r="AM12" s="46">
        <f>'FEB25'!AL12</f>
        <v>17</v>
      </c>
      <c r="AN12" s="64">
        <f>COUNTIF(C12:AG12,"u")</f>
        <v>0</v>
      </c>
      <c r="AO12" s="65">
        <f>AM12-AN12</f>
        <v>17</v>
      </c>
    </row>
    <row r="13" spans="1:41" ht="20.100000000000001" customHeight="1" thickBot="1">
      <c r="A13" s="95"/>
      <c r="B13" s="95"/>
      <c r="C13" s="98"/>
      <c r="D13" s="98"/>
      <c r="E13" s="98"/>
      <c r="F13" s="98"/>
      <c r="G13" s="98"/>
      <c r="H13" s="98"/>
      <c r="I13" s="98"/>
      <c r="J13" s="98"/>
      <c r="K13" s="167"/>
      <c r="L13" s="167"/>
      <c r="M13" s="167"/>
      <c r="N13" s="167"/>
      <c r="O13" s="98"/>
      <c r="P13" s="98"/>
      <c r="Q13" s="98"/>
      <c r="R13" s="98"/>
      <c r="S13" s="98"/>
      <c r="T13" s="98"/>
      <c r="U13" s="98"/>
      <c r="V13" s="98"/>
      <c r="W13" s="167"/>
      <c r="X13" s="167"/>
      <c r="Y13" s="167"/>
      <c r="Z13" s="167"/>
      <c r="AA13" s="98"/>
      <c r="AB13" s="98"/>
      <c r="AC13" s="98"/>
      <c r="AD13" s="98"/>
      <c r="AE13" s="98"/>
      <c r="AF13" s="98"/>
      <c r="AG13" s="98"/>
      <c r="AI13" s="106"/>
      <c r="AJ13" s="72"/>
      <c r="AK13" s="100"/>
      <c r="AL13" s="66"/>
      <c r="AM13" s="72"/>
      <c r="AN13" s="72"/>
      <c r="AO13" s="72"/>
    </row>
    <row r="14" spans="1:41" ht="24.95" customHeight="1" thickBot="1">
      <c r="A14" s="581" t="s">
        <v>154</v>
      </c>
      <c r="B14" s="514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514"/>
      <c r="AE14" s="650"/>
      <c r="AF14" s="650"/>
      <c r="AG14" s="651"/>
      <c r="AI14" s="106"/>
      <c r="AJ14" s="72"/>
      <c r="AK14" s="100"/>
      <c r="AL14" s="66"/>
      <c r="AM14" s="72"/>
      <c r="AN14" s="72"/>
      <c r="AO14" s="72"/>
    </row>
    <row r="15" spans="1:41" ht="18.95" customHeight="1">
      <c r="A15" s="568" t="s">
        <v>155</v>
      </c>
      <c r="B15" s="582" t="s">
        <v>156</v>
      </c>
      <c r="C15" s="30" t="s">
        <v>53</v>
      </c>
      <c r="D15" s="659" t="s">
        <v>23</v>
      </c>
      <c r="E15" s="30" t="s">
        <v>148</v>
      </c>
      <c r="F15" s="660" t="s">
        <v>19</v>
      </c>
      <c r="G15" s="660" t="s">
        <v>19</v>
      </c>
      <c r="H15" s="660" t="s">
        <v>19</v>
      </c>
      <c r="I15" s="29" t="s">
        <v>23</v>
      </c>
      <c r="J15" s="29" t="s">
        <v>23</v>
      </c>
      <c r="K15" s="6" t="s">
        <v>22</v>
      </c>
      <c r="L15" s="6" t="s">
        <v>22</v>
      </c>
      <c r="M15" s="6" t="s">
        <v>22</v>
      </c>
      <c r="N15" s="6" t="s">
        <v>22</v>
      </c>
      <c r="O15" s="29" t="s">
        <v>23</v>
      </c>
      <c r="P15" s="29" t="s">
        <v>23</v>
      </c>
      <c r="Q15" s="28" t="s">
        <v>24</v>
      </c>
      <c r="R15" s="28" t="s">
        <v>24</v>
      </c>
      <c r="S15" s="28" t="s">
        <v>24</v>
      </c>
      <c r="T15" s="28" t="s">
        <v>24</v>
      </c>
      <c r="U15" s="29" t="s">
        <v>23</v>
      </c>
      <c r="V15" s="29" t="s">
        <v>23</v>
      </c>
      <c r="W15" s="6" t="s">
        <v>22</v>
      </c>
      <c r="X15" s="6" t="s">
        <v>22</v>
      </c>
      <c r="Y15" s="157" t="s">
        <v>68</v>
      </c>
      <c r="Z15" s="157" t="s">
        <v>68</v>
      </c>
      <c r="AA15" s="29" t="s">
        <v>23</v>
      </c>
      <c r="AB15" s="29" t="s">
        <v>23</v>
      </c>
      <c r="AC15" s="157" t="s">
        <v>68</v>
      </c>
      <c r="AD15" s="157" t="s">
        <v>68</v>
      </c>
      <c r="AE15" s="6" t="s">
        <v>144</v>
      </c>
      <c r="AF15" s="6" t="s">
        <v>22</v>
      </c>
      <c r="AG15" s="9" t="s">
        <v>22</v>
      </c>
      <c r="AI15" s="923">
        <v>0</v>
      </c>
      <c r="AJ15" s="171">
        <f t="shared" ref="AJ15:AJ19" si="4">COUNTIF(C15:AG15,"UA")</f>
        <v>0</v>
      </c>
      <c r="AK15" s="172">
        <f t="shared" ref="AK15:AK19" si="5">AI15-AJ15</f>
        <v>0</v>
      </c>
      <c r="AL15" s="168"/>
      <c r="AM15" s="178">
        <v>22</v>
      </c>
      <c r="AN15" s="179">
        <v>0</v>
      </c>
      <c r="AO15" s="180">
        <v>22</v>
      </c>
    </row>
    <row r="16" spans="1:41" ht="18.95" customHeight="1">
      <c r="A16" s="568" t="s">
        <v>157</v>
      </c>
      <c r="B16" s="582" t="s">
        <v>158</v>
      </c>
      <c r="C16" s="661" t="s">
        <v>31</v>
      </c>
      <c r="D16" s="6" t="s">
        <v>22</v>
      </c>
      <c r="E16" s="662" t="s">
        <v>22</v>
      </c>
      <c r="F16" s="29" t="s">
        <v>23</v>
      </c>
      <c r="G16" s="29" t="s">
        <v>23</v>
      </c>
      <c r="H16" s="28" t="s">
        <v>24</v>
      </c>
      <c r="I16" s="28" t="s">
        <v>24</v>
      </c>
      <c r="J16" s="28" t="s">
        <v>24</v>
      </c>
      <c r="K16" s="28" t="s">
        <v>24</v>
      </c>
      <c r="L16" s="29" t="s">
        <v>23</v>
      </c>
      <c r="M16" s="29" t="s">
        <v>23</v>
      </c>
      <c r="N16" s="6" t="s">
        <v>22</v>
      </c>
      <c r="O16" s="6" t="s">
        <v>22</v>
      </c>
      <c r="P16" s="6" t="s">
        <v>22</v>
      </c>
      <c r="Q16" s="6" t="s">
        <v>22</v>
      </c>
      <c r="R16" s="29" t="s">
        <v>23</v>
      </c>
      <c r="S16" s="29" t="s">
        <v>23</v>
      </c>
      <c r="T16" s="28" t="s">
        <v>24</v>
      </c>
      <c r="U16" s="28" t="s">
        <v>24</v>
      </c>
      <c r="V16" s="28" t="s">
        <v>24</v>
      </c>
      <c r="W16" s="28" t="s">
        <v>24</v>
      </c>
      <c r="X16" s="29" t="s">
        <v>23</v>
      </c>
      <c r="Y16" s="29" t="s">
        <v>23</v>
      </c>
      <c r="Z16" s="6" t="s">
        <v>22</v>
      </c>
      <c r="AA16" s="6" t="s">
        <v>22</v>
      </c>
      <c r="AB16" s="6" t="s">
        <v>22</v>
      </c>
      <c r="AC16" s="28" t="s">
        <v>24</v>
      </c>
      <c r="AD16" s="28" t="s">
        <v>24</v>
      </c>
      <c r="AE16" s="29" t="s">
        <v>23</v>
      </c>
      <c r="AF16" s="29" t="s">
        <v>23</v>
      </c>
      <c r="AG16" s="80" t="s">
        <v>24</v>
      </c>
      <c r="AI16" s="924">
        <v>1</v>
      </c>
      <c r="AJ16" s="169">
        <f t="shared" si="4"/>
        <v>1</v>
      </c>
      <c r="AK16" s="174">
        <f t="shared" si="5"/>
        <v>0</v>
      </c>
      <c r="AL16" s="168"/>
      <c r="AM16" s="181">
        <v>22</v>
      </c>
      <c r="AN16" s="49">
        <v>0</v>
      </c>
      <c r="AO16" s="182">
        <v>22</v>
      </c>
    </row>
    <row r="17" spans="1:41" ht="18.95" customHeight="1">
      <c r="A17" s="568" t="s">
        <v>159</v>
      </c>
      <c r="B17" s="582" t="s">
        <v>160</v>
      </c>
      <c r="C17" s="6" t="s">
        <v>22</v>
      </c>
      <c r="D17" s="6" t="s">
        <v>22</v>
      </c>
      <c r="E17" s="29" t="s">
        <v>23</v>
      </c>
      <c r="F17" s="6" t="s">
        <v>22</v>
      </c>
      <c r="G17" s="6" t="s">
        <v>22</v>
      </c>
      <c r="H17" s="6" t="s">
        <v>22</v>
      </c>
      <c r="I17" s="29" t="s">
        <v>23</v>
      </c>
      <c r="J17" s="661" t="s">
        <v>31</v>
      </c>
      <c r="K17" s="29" t="s">
        <v>23</v>
      </c>
      <c r="L17" s="29" t="s">
        <v>23</v>
      </c>
      <c r="M17" s="6" t="s">
        <v>22</v>
      </c>
      <c r="N17" s="6" t="s">
        <v>22</v>
      </c>
      <c r="O17" s="28" t="s">
        <v>24</v>
      </c>
      <c r="P17" s="28" t="s">
        <v>24</v>
      </c>
      <c r="Q17" s="29" t="s">
        <v>23</v>
      </c>
      <c r="R17" s="29" t="s">
        <v>23</v>
      </c>
      <c r="S17" s="6" t="s">
        <v>22</v>
      </c>
      <c r="T17" s="6" t="s">
        <v>22</v>
      </c>
      <c r="U17" s="6" t="s">
        <v>22</v>
      </c>
      <c r="V17" s="6" t="s">
        <v>22</v>
      </c>
      <c r="W17" s="29" t="s">
        <v>23</v>
      </c>
      <c r="X17" s="29" t="s">
        <v>23</v>
      </c>
      <c r="Y17" s="6" t="s">
        <v>22</v>
      </c>
      <c r="Z17" s="6" t="s">
        <v>22</v>
      </c>
      <c r="AA17" s="28" t="s">
        <v>24</v>
      </c>
      <c r="AB17" s="28" t="s">
        <v>24</v>
      </c>
      <c r="AC17" s="29" t="s">
        <v>23</v>
      </c>
      <c r="AD17" s="29" t="s">
        <v>23</v>
      </c>
      <c r="AE17" s="28" t="s">
        <v>24</v>
      </c>
      <c r="AF17" s="28" t="s">
        <v>24</v>
      </c>
      <c r="AG17" s="80" t="s">
        <v>24</v>
      </c>
      <c r="AI17" s="924">
        <v>1</v>
      </c>
      <c r="AJ17" s="169">
        <f t="shared" si="4"/>
        <v>1</v>
      </c>
      <c r="AK17" s="174">
        <f t="shared" si="5"/>
        <v>0</v>
      </c>
      <c r="AL17" s="168"/>
      <c r="AM17" s="181">
        <v>22</v>
      </c>
      <c r="AN17" s="49">
        <v>0</v>
      </c>
      <c r="AO17" s="182">
        <v>22</v>
      </c>
    </row>
    <row r="18" spans="1:41" ht="18.95" customHeight="1">
      <c r="A18" s="568" t="s">
        <v>161</v>
      </c>
      <c r="B18" s="582" t="s">
        <v>162</v>
      </c>
      <c r="C18" s="663" t="s">
        <v>23</v>
      </c>
      <c r="D18" s="663" t="s">
        <v>23</v>
      </c>
      <c r="E18" s="28" t="s">
        <v>24</v>
      </c>
      <c r="F18" s="28" t="s">
        <v>24</v>
      </c>
      <c r="G18" s="28" t="s">
        <v>24</v>
      </c>
      <c r="H18" s="28" t="s">
        <v>24</v>
      </c>
      <c r="I18" s="29" t="s">
        <v>23</v>
      </c>
      <c r="J18" s="29" t="s">
        <v>23</v>
      </c>
      <c r="K18" s="28" t="s">
        <v>24</v>
      </c>
      <c r="L18" s="28" t="s">
        <v>24</v>
      </c>
      <c r="M18" s="28" t="s">
        <v>24</v>
      </c>
      <c r="N18" s="28" t="s">
        <v>24</v>
      </c>
      <c r="O18" s="29" t="s">
        <v>23</v>
      </c>
      <c r="P18" s="29" t="s">
        <v>23</v>
      </c>
      <c r="Q18" s="6" t="s">
        <v>22</v>
      </c>
      <c r="R18" s="6" t="s">
        <v>22</v>
      </c>
      <c r="S18" s="8" t="s">
        <v>83</v>
      </c>
      <c r="T18" s="28" t="s">
        <v>24</v>
      </c>
      <c r="U18" s="29" t="s">
        <v>23</v>
      </c>
      <c r="V18" s="29" t="s">
        <v>23</v>
      </c>
      <c r="W18" s="28" t="s">
        <v>24</v>
      </c>
      <c r="X18" s="28" t="s">
        <v>24</v>
      </c>
      <c r="Y18" s="28" t="s">
        <v>24</v>
      </c>
      <c r="Z18" s="28" t="s">
        <v>24</v>
      </c>
      <c r="AA18" s="29" t="s">
        <v>23</v>
      </c>
      <c r="AB18" s="29" t="s">
        <v>23</v>
      </c>
      <c r="AC18" s="661" t="s">
        <v>31</v>
      </c>
      <c r="AD18" s="661" t="s">
        <v>31</v>
      </c>
      <c r="AE18" s="661" t="s">
        <v>31</v>
      </c>
      <c r="AF18" s="661" t="s">
        <v>31</v>
      </c>
      <c r="AG18" s="78" t="s">
        <v>23</v>
      </c>
      <c r="AI18" s="924">
        <v>6</v>
      </c>
      <c r="AJ18" s="169">
        <f t="shared" si="4"/>
        <v>4</v>
      </c>
      <c r="AK18" s="174">
        <f t="shared" si="5"/>
        <v>2</v>
      </c>
      <c r="AL18" s="168"/>
      <c r="AM18" s="181">
        <v>23</v>
      </c>
      <c r="AN18" s="49">
        <v>0</v>
      </c>
      <c r="AO18" s="182">
        <v>23</v>
      </c>
    </row>
    <row r="19" spans="1:41" ht="18.95" customHeight="1" thickBot="1">
      <c r="A19" s="687" t="s">
        <v>163</v>
      </c>
      <c r="B19" s="592" t="s">
        <v>164</v>
      </c>
      <c r="C19" s="83" t="s">
        <v>23</v>
      </c>
      <c r="D19" s="83" t="s">
        <v>23</v>
      </c>
      <c r="E19" s="399" t="s">
        <v>31</v>
      </c>
      <c r="F19" s="155" t="s">
        <v>30</v>
      </c>
      <c r="G19" s="399" t="s">
        <v>31</v>
      </c>
      <c r="H19" s="399" t="s">
        <v>31</v>
      </c>
      <c r="I19" s="399" t="s">
        <v>31</v>
      </c>
      <c r="J19" s="83" t="s">
        <v>23</v>
      </c>
      <c r="K19" s="83" t="s">
        <v>23</v>
      </c>
      <c r="L19" s="398" t="s">
        <v>48</v>
      </c>
      <c r="M19" s="398" t="s">
        <v>48</v>
      </c>
      <c r="N19" s="398" t="s">
        <v>48</v>
      </c>
      <c r="O19" s="398" t="s">
        <v>144</v>
      </c>
      <c r="P19" s="398" t="s">
        <v>144</v>
      </c>
      <c r="Q19" s="83" t="s">
        <v>23</v>
      </c>
      <c r="R19" s="83" t="s">
        <v>23</v>
      </c>
      <c r="S19" s="15" t="s">
        <v>22</v>
      </c>
      <c r="T19" s="15" t="s">
        <v>22</v>
      </c>
      <c r="U19" s="15" t="s">
        <v>22</v>
      </c>
      <c r="V19" s="15" t="s">
        <v>22</v>
      </c>
      <c r="W19" s="83" t="s">
        <v>23</v>
      </c>
      <c r="X19" s="83" t="s">
        <v>23</v>
      </c>
      <c r="Y19" s="15" t="s">
        <v>22</v>
      </c>
      <c r="Z19" s="15" t="s">
        <v>22</v>
      </c>
      <c r="AA19" s="76" t="s">
        <v>24</v>
      </c>
      <c r="AB19" s="76" t="s">
        <v>24</v>
      </c>
      <c r="AC19" s="83" t="s">
        <v>23</v>
      </c>
      <c r="AD19" s="83" t="s">
        <v>23</v>
      </c>
      <c r="AE19" s="15" t="s">
        <v>22</v>
      </c>
      <c r="AF19" s="15" t="s">
        <v>22</v>
      </c>
      <c r="AG19" s="39" t="s">
        <v>22</v>
      </c>
      <c r="AI19" s="925">
        <v>4</v>
      </c>
      <c r="AJ19" s="176">
        <f t="shared" si="4"/>
        <v>4</v>
      </c>
      <c r="AK19" s="177">
        <f t="shared" si="5"/>
        <v>0</v>
      </c>
      <c r="AL19" s="168"/>
      <c r="AM19" s="183">
        <v>23</v>
      </c>
      <c r="AN19" s="184">
        <v>0</v>
      </c>
      <c r="AO19" s="185">
        <v>23</v>
      </c>
    </row>
    <row r="20" spans="1:41" ht="20.100000000000001" customHeight="1" thickBot="1">
      <c r="A20" s="214"/>
      <c r="B20" s="214"/>
      <c r="C20" s="96"/>
      <c r="D20" s="96"/>
      <c r="E20" s="97"/>
      <c r="F20" s="97"/>
      <c r="G20" s="97"/>
      <c r="H20" s="97"/>
      <c r="I20" s="96"/>
      <c r="J20" s="96"/>
      <c r="K20" s="98"/>
      <c r="L20" s="98"/>
      <c r="M20" s="98"/>
      <c r="N20" s="98"/>
      <c r="O20" s="96"/>
      <c r="P20" s="96"/>
      <c r="Q20" s="97"/>
      <c r="R20" s="97"/>
      <c r="S20" s="97"/>
      <c r="T20" s="97"/>
      <c r="U20" s="96"/>
      <c r="V20" s="96"/>
      <c r="W20" s="98"/>
      <c r="X20" s="98"/>
      <c r="Y20" s="98"/>
      <c r="Z20" s="98"/>
      <c r="AA20" s="96"/>
      <c r="AB20" s="96"/>
      <c r="AC20" s="97"/>
      <c r="AD20" s="97"/>
      <c r="AE20" s="97"/>
      <c r="AF20" s="97"/>
      <c r="AG20" s="96"/>
      <c r="AI20" s="106"/>
      <c r="AJ20" s="72"/>
      <c r="AK20" s="100"/>
      <c r="AL20" s="66"/>
      <c r="AM20" s="72"/>
      <c r="AN20" s="72"/>
      <c r="AO20" s="72"/>
    </row>
    <row r="21" spans="1:41" ht="24.95" customHeight="1" thickBot="1">
      <c r="A21" s="599" t="s">
        <v>45</v>
      </c>
      <c r="B21" s="600"/>
      <c r="C21" s="600"/>
      <c r="D21" s="600"/>
      <c r="E21" s="600"/>
      <c r="F21" s="600"/>
      <c r="G21" s="600"/>
      <c r="H21" s="600"/>
      <c r="I21" s="600"/>
      <c r="J21" s="600"/>
      <c r="K21" s="600"/>
      <c r="L21" s="600"/>
      <c r="M21" s="600"/>
      <c r="N21" s="600"/>
      <c r="O21" s="600"/>
      <c r="P21" s="600"/>
      <c r="Q21" s="600"/>
      <c r="R21" s="600"/>
      <c r="S21" s="600"/>
      <c r="T21" s="600"/>
      <c r="U21" s="600"/>
      <c r="V21" s="600"/>
      <c r="W21" s="600"/>
      <c r="X21" s="600"/>
      <c r="Y21" s="600"/>
      <c r="Z21" s="600"/>
      <c r="AA21" s="600"/>
      <c r="AB21" s="600"/>
      <c r="AC21" s="600"/>
      <c r="AD21" s="600"/>
      <c r="AE21" s="639"/>
      <c r="AF21" s="639"/>
      <c r="AG21" s="640"/>
      <c r="AI21" s="106"/>
      <c r="AJ21" s="72"/>
      <c r="AK21" s="100"/>
      <c r="AL21" s="66"/>
      <c r="AM21" s="72"/>
      <c r="AN21" s="72"/>
      <c r="AO21" s="72"/>
    </row>
    <row r="22" spans="1:41" ht="18.95" customHeight="1">
      <c r="A22" s="718" t="s">
        <v>46</v>
      </c>
      <c r="B22" s="717" t="s">
        <v>47</v>
      </c>
      <c r="C22" s="636" t="s">
        <v>23</v>
      </c>
      <c r="D22" s="636" t="s">
        <v>23</v>
      </c>
      <c r="E22" s="92" t="s">
        <v>31</v>
      </c>
      <c r="F22" s="110" t="s">
        <v>30</v>
      </c>
      <c r="G22" s="92" t="s">
        <v>31</v>
      </c>
      <c r="H22" s="92" t="s">
        <v>34</v>
      </c>
      <c r="I22" s="92" t="s">
        <v>34</v>
      </c>
      <c r="J22" s="636" t="s">
        <v>23</v>
      </c>
      <c r="K22" s="636" t="s">
        <v>23</v>
      </c>
      <c r="L22" s="559" t="s">
        <v>48</v>
      </c>
      <c r="M22" s="559" t="s">
        <v>48</v>
      </c>
      <c r="N22" s="559" t="s">
        <v>48</v>
      </c>
      <c r="O22" s="559" t="s">
        <v>48</v>
      </c>
      <c r="P22" s="559" t="s">
        <v>48</v>
      </c>
      <c r="Q22" s="636" t="s">
        <v>23</v>
      </c>
      <c r="R22" s="636" t="s">
        <v>23</v>
      </c>
      <c r="S22" s="559" t="s">
        <v>48</v>
      </c>
      <c r="T22" s="559" t="s">
        <v>48</v>
      </c>
      <c r="U22" s="559" t="s">
        <v>48</v>
      </c>
      <c r="V22" s="559" t="s">
        <v>48</v>
      </c>
      <c r="W22" s="158" t="s">
        <v>49</v>
      </c>
      <c r="X22" s="636" t="s">
        <v>23</v>
      </c>
      <c r="Y22" s="636" t="s">
        <v>23</v>
      </c>
      <c r="Z22" s="559" t="s">
        <v>48</v>
      </c>
      <c r="AA22" s="559" t="s">
        <v>48</v>
      </c>
      <c r="AB22" s="559" t="s">
        <v>48</v>
      </c>
      <c r="AC22" s="559" t="s">
        <v>48</v>
      </c>
      <c r="AD22" s="559" t="s">
        <v>48</v>
      </c>
      <c r="AE22" s="6" t="s">
        <v>22</v>
      </c>
      <c r="AF22" s="636" t="s">
        <v>23</v>
      </c>
      <c r="AG22" s="641" t="s">
        <v>144</v>
      </c>
      <c r="AH22" s="98"/>
      <c r="AI22" s="187">
        <f>VLOOKUP($B22,'FEB25'!$B:$AL,33,0)</f>
        <v>2</v>
      </c>
      <c r="AJ22" s="171">
        <f>COUNTIF(C22:AG22,"UA")</f>
        <v>2</v>
      </c>
      <c r="AK22" s="172">
        <f>AI22-AJ22</f>
        <v>0</v>
      </c>
      <c r="AL22" s="98"/>
      <c r="AM22" s="189">
        <f>'FEB25'!AL15</f>
        <v>22</v>
      </c>
      <c r="AN22" s="171">
        <f>COUNTIF(C22:AG22,"u")</f>
        <v>2</v>
      </c>
      <c r="AO22" s="190">
        <f>AM22-AN22</f>
        <v>20</v>
      </c>
    </row>
    <row r="23" spans="1:41" ht="18.95" customHeight="1">
      <c r="A23" s="602" t="s">
        <v>51</v>
      </c>
      <c r="B23" s="582" t="s">
        <v>52</v>
      </c>
      <c r="C23" s="638" t="s">
        <v>23</v>
      </c>
      <c r="D23" s="28" t="s">
        <v>24</v>
      </c>
      <c r="E23" s="28" t="s">
        <v>24</v>
      </c>
      <c r="F23" s="28" t="s">
        <v>24</v>
      </c>
      <c r="G23" s="28" t="s">
        <v>24</v>
      </c>
      <c r="H23" s="636" t="s">
        <v>23</v>
      </c>
      <c r="I23" s="636" t="s">
        <v>23</v>
      </c>
      <c r="J23" s="6" t="s">
        <v>22</v>
      </c>
      <c r="K23" s="6" t="s">
        <v>22</v>
      </c>
      <c r="L23" s="28" t="s">
        <v>24</v>
      </c>
      <c r="M23" s="28" t="s">
        <v>24</v>
      </c>
      <c r="N23" s="638" t="s">
        <v>23</v>
      </c>
      <c r="O23" s="638" t="s">
        <v>23</v>
      </c>
      <c r="P23" s="28" t="s">
        <v>24</v>
      </c>
      <c r="Q23" s="28" t="s">
        <v>24</v>
      </c>
      <c r="R23" s="28" t="s">
        <v>24</v>
      </c>
      <c r="S23" s="28" t="s">
        <v>24</v>
      </c>
      <c r="T23" s="636" t="s">
        <v>23</v>
      </c>
      <c r="U23" s="636" t="s">
        <v>23</v>
      </c>
      <c r="V23" s="6" t="s">
        <v>22</v>
      </c>
      <c r="W23" s="6" t="s">
        <v>22</v>
      </c>
      <c r="X23" s="28" t="s">
        <v>24</v>
      </c>
      <c r="Y23" s="28" t="s">
        <v>24</v>
      </c>
      <c r="Z23" s="638" t="s">
        <v>23</v>
      </c>
      <c r="AA23" s="157" t="s">
        <v>89</v>
      </c>
      <c r="AB23" s="157" t="s">
        <v>89</v>
      </c>
      <c r="AC23" s="638" t="s">
        <v>23</v>
      </c>
      <c r="AD23" s="28" t="s">
        <v>24</v>
      </c>
      <c r="AE23" s="6" t="s">
        <v>147</v>
      </c>
      <c r="AF23" s="6" t="s">
        <v>22</v>
      </c>
      <c r="AG23" s="642" t="s">
        <v>23</v>
      </c>
      <c r="AH23" s="98"/>
      <c r="AI23" s="150">
        <f>VLOOKUP($B23,'FEB25'!$B:$AL,33,0)</f>
        <v>0</v>
      </c>
      <c r="AJ23" s="169">
        <f>COUNTIF(C23:AG23,"UA")</f>
        <v>0</v>
      </c>
      <c r="AK23" s="174">
        <f>AI23-AJ23</f>
        <v>0</v>
      </c>
      <c r="AL23" s="98"/>
      <c r="AM23" s="191">
        <f>'FEB25'!AL16</f>
        <v>12</v>
      </c>
      <c r="AN23" s="169">
        <f>COUNTIF(C23:AG23,"u")</f>
        <v>0</v>
      </c>
      <c r="AO23" s="192">
        <f>AM23-AN23</f>
        <v>12</v>
      </c>
    </row>
    <row r="24" spans="1:41" ht="18.95" customHeight="1">
      <c r="A24" s="602" t="s">
        <v>54</v>
      </c>
      <c r="B24" s="582" t="s">
        <v>55</v>
      </c>
      <c r="C24" s="28" t="s">
        <v>24</v>
      </c>
      <c r="D24" s="638" t="s">
        <v>23</v>
      </c>
      <c r="E24" s="638" t="s">
        <v>23</v>
      </c>
      <c r="F24" s="110" t="s">
        <v>30</v>
      </c>
      <c r="G24" s="6" t="s">
        <v>22</v>
      </c>
      <c r="H24" s="6" t="s">
        <v>22</v>
      </c>
      <c r="I24" s="6" t="s">
        <v>22</v>
      </c>
      <c r="J24" s="636" t="s">
        <v>23</v>
      </c>
      <c r="K24" s="636" t="s">
        <v>23</v>
      </c>
      <c r="L24" s="6" t="s">
        <v>22</v>
      </c>
      <c r="M24" s="6" t="s">
        <v>22</v>
      </c>
      <c r="N24" s="28" t="s">
        <v>24</v>
      </c>
      <c r="O24" s="28" t="s">
        <v>24</v>
      </c>
      <c r="P24" s="638" t="s">
        <v>23</v>
      </c>
      <c r="Q24" s="638" t="s">
        <v>23</v>
      </c>
      <c r="R24" s="6" t="s">
        <v>22</v>
      </c>
      <c r="S24" s="6" t="s">
        <v>22</v>
      </c>
      <c r="T24" s="6" t="s">
        <v>22</v>
      </c>
      <c r="U24" s="6" t="s">
        <v>22</v>
      </c>
      <c r="V24" s="636" t="s">
        <v>23</v>
      </c>
      <c r="W24" s="636" t="s">
        <v>23</v>
      </c>
      <c r="X24" s="6" t="s">
        <v>22</v>
      </c>
      <c r="Y24" s="6" t="s">
        <v>22</v>
      </c>
      <c r="Z24" s="28" t="s">
        <v>24</v>
      </c>
      <c r="AA24" s="28" t="s">
        <v>24</v>
      </c>
      <c r="AB24" s="638" t="s">
        <v>23</v>
      </c>
      <c r="AC24" s="638" t="s">
        <v>23</v>
      </c>
      <c r="AD24" s="92" t="s">
        <v>31</v>
      </c>
      <c r="AE24" s="30" t="s">
        <v>53</v>
      </c>
      <c r="AF24" s="92" t="s">
        <v>34</v>
      </c>
      <c r="AG24" s="93" t="s">
        <v>34</v>
      </c>
      <c r="AH24" s="98"/>
      <c r="AI24" s="150">
        <f>VLOOKUP($B24,'FEB25'!$B:$AL,33,0)</f>
        <v>1</v>
      </c>
      <c r="AJ24" s="169">
        <f>COUNTIF(C24:AG24,"UA")</f>
        <v>1</v>
      </c>
      <c r="AK24" s="174">
        <f>AI24-AJ24</f>
        <v>0</v>
      </c>
      <c r="AL24" s="98"/>
      <c r="AM24" s="191">
        <f>'FEB25'!AL17</f>
        <v>23</v>
      </c>
      <c r="AN24" s="169">
        <f>COUNTIF(C24:AG24,"u")</f>
        <v>2</v>
      </c>
      <c r="AO24" s="192">
        <f>AM24-AN24</f>
        <v>21</v>
      </c>
    </row>
    <row r="25" spans="1:41" ht="18.95" customHeight="1">
      <c r="A25" s="602" t="s">
        <v>56</v>
      </c>
      <c r="B25" s="582" t="s">
        <v>57</v>
      </c>
      <c r="C25" s="6" t="s">
        <v>58</v>
      </c>
      <c r="D25" s="6" t="s">
        <v>58</v>
      </c>
      <c r="E25" s="6" t="s">
        <v>58</v>
      </c>
      <c r="F25" s="29" t="s">
        <v>23</v>
      </c>
      <c r="G25" s="29" t="s">
        <v>23</v>
      </c>
      <c r="H25" s="6" t="s">
        <v>58</v>
      </c>
      <c r="I25" s="6" t="s">
        <v>58</v>
      </c>
      <c r="J25" s="6" t="s">
        <v>58</v>
      </c>
      <c r="K25" s="6" t="s">
        <v>58</v>
      </c>
      <c r="L25" s="6" t="s">
        <v>58</v>
      </c>
      <c r="M25" s="29" t="s">
        <v>23</v>
      </c>
      <c r="N25" s="29" t="s">
        <v>23</v>
      </c>
      <c r="O25" s="6" t="s">
        <v>58</v>
      </c>
      <c r="P25" s="6" t="s">
        <v>58</v>
      </c>
      <c r="Q25" s="6" t="s">
        <v>58</v>
      </c>
      <c r="R25" s="29" t="s">
        <v>23</v>
      </c>
      <c r="S25" s="29" t="s">
        <v>23</v>
      </c>
      <c r="T25" s="6" t="s">
        <v>58</v>
      </c>
      <c r="U25" s="6" t="s">
        <v>58</v>
      </c>
      <c r="V25" s="6" t="s">
        <v>58</v>
      </c>
      <c r="W25" s="6" t="s">
        <v>58</v>
      </c>
      <c r="X25" s="29" t="s">
        <v>23</v>
      </c>
      <c r="Y25" s="29" t="s">
        <v>23</v>
      </c>
      <c r="Z25" s="6" t="s">
        <v>58</v>
      </c>
      <c r="AA25" s="6" t="s">
        <v>58</v>
      </c>
      <c r="AB25" s="157" t="s">
        <v>19</v>
      </c>
      <c r="AC25" s="6" t="s">
        <v>58</v>
      </c>
      <c r="AD25" s="29" t="s">
        <v>23</v>
      </c>
      <c r="AE25" s="29" t="s">
        <v>23</v>
      </c>
      <c r="AF25" s="6" t="s">
        <v>58</v>
      </c>
      <c r="AG25" s="595" t="s">
        <v>165</v>
      </c>
      <c r="AH25" s="98"/>
      <c r="AI25" s="150">
        <f>VLOOKUP($B25,'FEB25'!$B:$AL,33,0)</f>
        <v>0</v>
      </c>
      <c r="AJ25" s="169">
        <f>COUNTIF(C25:AG25,"UA")</f>
        <v>0</v>
      </c>
      <c r="AK25" s="174">
        <f>AI25-AJ25</f>
        <v>0</v>
      </c>
      <c r="AL25" s="98"/>
      <c r="AM25" s="191">
        <f>'FEB25'!AL18</f>
        <v>21</v>
      </c>
      <c r="AN25" s="169">
        <f>COUNTIF(C25:AG25,"u")</f>
        <v>0</v>
      </c>
      <c r="AO25" s="192">
        <f>AM25-AN25</f>
        <v>21</v>
      </c>
    </row>
    <row r="26" spans="1:41" ht="18.95" customHeight="1" thickBot="1">
      <c r="A26" s="680" t="s">
        <v>166</v>
      </c>
      <c r="B26" s="592" t="s">
        <v>167</v>
      </c>
      <c r="C26" s="643" t="s">
        <v>23</v>
      </c>
      <c r="D26" s="76" t="s">
        <v>24</v>
      </c>
      <c r="E26" s="76" t="s">
        <v>24</v>
      </c>
      <c r="F26" s="76" t="s">
        <v>24</v>
      </c>
      <c r="G26" s="76" t="s">
        <v>24</v>
      </c>
      <c r="H26" s="644" t="s">
        <v>23</v>
      </c>
      <c r="I26" s="644" t="s">
        <v>23</v>
      </c>
      <c r="J26" s="15" t="s">
        <v>22</v>
      </c>
      <c r="K26" s="15" t="s">
        <v>22</v>
      </c>
      <c r="L26" s="76" t="s">
        <v>24</v>
      </c>
      <c r="M26" s="76" t="s">
        <v>24</v>
      </c>
      <c r="N26" s="643" t="s">
        <v>23</v>
      </c>
      <c r="O26" s="643" t="s">
        <v>23</v>
      </c>
      <c r="P26" s="76" t="s">
        <v>24</v>
      </c>
      <c r="Q26" s="76" t="s">
        <v>24</v>
      </c>
      <c r="R26" s="76" t="s">
        <v>24</v>
      </c>
      <c r="S26" s="76" t="s">
        <v>24</v>
      </c>
      <c r="T26" s="644" t="s">
        <v>23</v>
      </c>
      <c r="U26" s="644" t="s">
        <v>23</v>
      </c>
      <c r="V26" s="15" t="s">
        <v>22</v>
      </c>
      <c r="W26" s="15" t="s">
        <v>22</v>
      </c>
      <c r="X26" s="15" t="s">
        <v>22</v>
      </c>
      <c r="Y26" s="15" t="s">
        <v>22</v>
      </c>
      <c r="Z26" s="643" t="s">
        <v>23</v>
      </c>
      <c r="AA26" s="643" t="s">
        <v>23</v>
      </c>
      <c r="AB26" s="76" t="s">
        <v>24</v>
      </c>
      <c r="AC26" s="76" t="s">
        <v>24</v>
      </c>
      <c r="AD26" s="76" t="s">
        <v>24</v>
      </c>
      <c r="AE26" s="76" t="s">
        <v>24</v>
      </c>
      <c r="AF26" s="76" t="s">
        <v>24</v>
      </c>
      <c r="AG26" s="84" t="s">
        <v>23</v>
      </c>
      <c r="AH26" s="98"/>
      <c r="AI26" s="926">
        <v>5</v>
      </c>
      <c r="AJ26" s="188">
        <v>0</v>
      </c>
      <c r="AK26" s="177">
        <v>5</v>
      </c>
      <c r="AL26" s="98"/>
      <c r="AM26" s="193">
        <v>22</v>
      </c>
      <c r="AN26" s="188">
        <v>0</v>
      </c>
      <c r="AO26" s="186">
        <v>22</v>
      </c>
    </row>
    <row r="27" spans="1:41" ht="20.100000000000001" customHeight="1" thickBot="1">
      <c r="A27" s="214"/>
      <c r="B27" s="214"/>
      <c r="C27" s="688"/>
      <c r="D27" s="648"/>
      <c r="E27" s="648"/>
      <c r="F27" s="648"/>
      <c r="G27" s="689"/>
      <c r="H27" s="689"/>
      <c r="I27" s="648"/>
      <c r="J27" s="647"/>
      <c r="K27" s="647"/>
      <c r="L27" s="647"/>
      <c r="M27" s="689"/>
      <c r="N27" s="689"/>
      <c r="O27" s="316"/>
      <c r="P27" s="316"/>
      <c r="Q27" s="316"/>
      <c r="R27" s="316"/>
      <c r="S27" s="689"/>
      <c r="T27" s="689"/>
      <c r="U27" s="647"/>
      <c r="V27" s="647"/>
      <c r="W27" s="647"/>
      <c r="X27" s="647"/>
      <c r="Y27" s="689"/>
      <c r="Z27" s="689"/>
      <c r="AA27" s="316"/>
      <c r="AB27" s="316"/>
      <c r="AC27" s="316"/>
      <c r="AD27" s="316"/>
      <c r="AE27" s="316"/>
      <c r="AF27" s="316"/>
      <c r="AG27" s="316"/>
      <c r="AH27" s="98"/>
      <c r="AI27" s="98"/>
      <c r="AJ27" s="98"/>
      <c r="AK27" s="98"/>
      <c r="AL27" s="98"/>
      <c r="AM27" s="98"/>
      <c r="AN27" s="98"/>
      <c r="AO27" s="98"/>
    </row>
    <row r="28" spans="1:41" ht="24.95" customHeight="1" thickBot="1">
      <c r="A28" s="581" t="s">
        <v>60</v>
      </c>
      <c r="B28" s="514"/>
      <c r="C28" s="514"/>
      <c r="D28" s="514"/>
      <c r="E28" s="514"/>
      <c r="F28" s="514"/>
      <c r="G28" s="514"/>
      <c r="H28" s="514"/>
      <c r="I28" s="514"/>
      <c r="J28" s="514"/>
      <c r="K28" s="514"/>
      <c r="L28" s="514"/>
      <c r="M28" s="514"/>
      <c r="N28" s="514"/>
      <c r="O28" s="514"/>
      <c r="P28" s="514"/>
      <c r="Q28" s="514"/>
      <c r="R28" s="514"/>
      <c r="S28" s="514"/>
      <c r="T28" s="514"/>
      <c r="U28" s="514"/>
      <c r="V28" s="514"/>
      <c r="W28" s="514"/>
      <c r="X28" s="514"/>
      <c r="Y28" s="514"/>
      <c r="Z28" s="514"/>
      <c r="AA28" s="514"/>
      <c r="AB28" s="514"/>
      <c r="AC28" s="514"/>
      <c r="AD28" s="514"/>
      <c r="AE28" s="650"/>
      <c r="AF28" s="650"/>
      <c r="AG28" s="651"/>
      <c r="AH28" s="98"/>
      <c r="AI28" s="98"/>
      <c r="AJ28" s="98"/>
      <c r="AK28" s="98"/>
      <c r="AL28" s="98"/>
      <c r="AM28" s="98"/>
      <c r="AN28" s="98"/>
      <c r="AO28" s="98"/>
    </row>
    <row r="29" spans="1:41" ht="18.95" customHeight="1">
      <c r="A29" s="602" t="s">
        <v>61</v>
      </c>
      <c r="B29" s="582" t="s">
        <v>62</v>
      </c>
      <c r="C29" s="652" t="s">
        <v>63</v>
      </c>
      <c r="D29" s="85" t="s">
        <v>63</v>
      </c>
      <c r="E29" s="85" t="s">
        <v>63</v>
      </c>
      <c r="F29" s="85" t="s">
        <v>63</v>
      </c>
      <c r="G29" s="29" t="s">
        <v>23</v>
      </c>
      <c r="H29" s="29" t="s">
        <v>23</v>
      </c>
      <c r="I29" s="28" t="s">
        <v>24</v>
      </c>
      <c r="J29" s="28" t="s">
        <v>24</v>
      </c>
      <c r="K29" s="28" t="s">
        <v>24</v>
      </c>
      <c r="L29" s="28" t="s">
        <v>24</v>
      </c>
      <c r="M29" s="29" t="s">
        <v>23</v>
      </c>
      <c r="N29" s="29" t="s">
        <v>23</v>
      </c>
      <c r="O29" s="6" t="s">
        <v>22</v>
      </c>
      <c r="P29" s="157" t="s">
        <v>68</v>
      </c>
      <c r="Q29" s="6" t="s">
        <v>22</v>
      </c>
      <c r="R29" s="6" t="s">
        <v>22</v>
      </c>
      <c r="S29" s="29" t="s">
        <v>23</v>
      </c>
      <c r="T29" s="29" t="s">
        <v>23</v>
      </c>
      <c r="U29" s="28" t="s">
        <v>24</v>
      </c>
      <c r="V29" s="28" t="s">
        <v>24</v>
      </c>
      <c r="W29" s="28" t="s">
        <v>24</v>
      </c>
      <c r="X29" s="28" t="s">
        <v>24</v>
      </c>
      <c r="Y29" s="29" t="s">
        <v>23</v>
      </c>
      <c r="Z29" s="29" t="s">
        <v>23</v>
      </c>
      <c r="AA29" s="6" t="s">
        <v>22</v>
      </c>
      <c r="AB29" s="6" t="s">
        <v>22</v>
      </c>
      <c r="AC29" s="6" t="s">
        <v>22</v>
      </c>
      <c r="AD29" s="6" t="s">
        <v>22</v>
      </c>
      <c r="AE29" s="29" t="s">
        <v>23</v>
      </c>
      <c r="AF29" s="29" t="s">
        <v>23</v>
      </c>
      <c r="AG29" s="86" t="s">
        <v>63</v>
      </c>
      <c r="AI29" s="43">
        <f>VLOOKUP($B29,'FEB25'!$B:$AL,33,0)</f>
        <v>0</v>
      </c>
      <c r="AJ29" s="56">
        <f t="shared" ref="AJ29:AJ54" si="6">COUNTIF(C29:AG29,"UA")</f>
        <v>0</v>
      </c>
      <c r="AK29" s="17">
        <f t="shared" ref="AK29:AK54" si="7">AI29-AJ29</f>
        <v>0</v>
      </c>
      <c r="AL29" s="66"/>
      <c r="AM29" s="4">
        <f>'FEB25'!AL21</f>
        <v>19</v>
      </c>
      <c r="AN29" s="56">
        <f t="shared" ref="AN29:AN54" si="8">COUNTIF(C29:AG29,"u")</f>
        <v>0</v>
      </c>
      <c r="AO29" s="57">
        <f t="shared" ref="AO29:AO54" si="9">AM29-AN29</f>
        <v>19</v>
      </c>
    </row>
    <row r="30" spans="1:41" ht="18.95" customHeight="1">
      <c r="A30" s="602" t="s">
        <v>64</v>
      </c>
      <c r="B30" s="582" t="s">
        <v>65</v>
      </c>
      <c r="C30" s="653" t="s">
        <v>22</v>
      </c>
      <c r="D30" s="6" t="s">
        <v>22</v>
      </c>
      <c r="E30" s="29" t="s">
        <v>23</v>
      </c>
      <c r="F30" s="29" t="s">
        <v>23</v>
      </c>
      <c r="G30" s="6" t="s">
        <v>22</v>
      </c>
      <c r="H30" s="6" t="s">
        <v>22</v>
      </c>
      <c r="I30" s="6" t="s">
        <v>22</v>
      </c>
      <c r="J30" s="6" t="s">
        <v>22</v>
      </c>
      <c r="K30" s="29" t="s">
        <v>23</v>
      </c>
      <c r="L30" s="29" t="s">
        <v>23</v>
      </c>
      <c r="M30" s="85" t="s">
        <v>63</v>
      </c>
      <c r="N30" s="85" t="s">
        <v>63</v>
      </c>
      <c r="O30" s="158" t="s">
        <v>168</v>
      </c>
      <c r="P30" s="158" t="s">
        <v>19</v>
      </c>
      <c r="Q30" s="29" t="s">
        <v>23</v>
      </c>
      <c r="R30" s="29" t="s">
        <v>23</v>
      </c>
      <c r="S30" s="6" t="s">
        <v>22</v>
      </c>
      <c r="T30" s="6" t="s">
        <v>22</v>
      </c>
      <c r="U30" s="6" t="s">
        <v>22</v>
      </c>
      <c r="V30" s="6" t="s">
        <v>22</v>
      </c>
      <c r="W30" s="29" t="s">
        <v>23</v>
      </c>
      <c r="X30" s="29" t="s">
        <v>23</v>
      </c>
      <c r="Y30" s="28" t="s">
        <v>24</v>
      </c>
      <c r="Z30" s="28" t="s">
        <v>24</v>
      </c>
      <c r="AA30" s="28" t="s">
        <v>24</v>
      </c>
      <c r="AB30" s="28" t="s">
        <v>24</v>
      </c>
      <c r="AC30" s="29" t="s">
        <v>23</v>
      </c>
      <c r="AD30" s="29" t="s">
        <v>23</v>
      </c>
      <c r="AE30" s="6" t="s">
        <v>22</v>
      </c>
      <c r="AF30" s="6" t="s">
        <v>22</v>
      </c>
      <c r="AG30" s="9" t="s">
        <v>22</v>
      </c>
      <c r="AI30" s="62">
        <f>VLOOKUP($B30,'FEB25'!$B:$AL,33,0)</f>
        <v>2</v>
      </c>
      <c r="AJ30" s="49">
        <f t="shared" si="6"/>
        <v>0</v>
      </c>
      <c r="AK30" s="18">
        <f t="shared" si="7"/>
        <v>2</v>
      </c>
      <c r="AL30" s="66"/>
      <c r="AM30" s="34">
        <f>'FEB25'!AL22</f>
        <v>22</v>
      </c>
      <c r="AN30" s="49">
        <f t="shared" si="8"/>
        <v>0</v>
      </c>
      <c r="AO30" s="50">
        <f t="shared" si="9"/>
        <v>22</v>
      </c>
    </row>
    <row r="31" spans="1:41" ht="18.95" customHeight="1">
      <c r="A31" s="602" t="s">
        <v>66</v>
      </c>
      <c r="B31" s="582" t="s">
        <v>67</v>
      </c>
      <c r="C31" s="553" t="s">
        <v>23</v>
      </c>
      <c r="D31" s="29" t="s">
        <v>23</v>
      </c>
      <c r="E31" s="6" t="s">
        <v>22</v>
      </c>
      <c r="F31" s="6" t="s">
        <v>22</v>
      </c>
      <c r="G31" s="6" t="s">
        <v>22</v>
      </c>
      <c r="H31" s="6" t="s">
        <v>22</v>
      </c>
      <c r="I31" s="29" t="s">
        <v>23</v>
      </c>
      <c r="J31" s="29" t="s">
        <v>23</v>
      </c>
      <c r="K31" s="85" t="s">
        <v>63</v>
      </c>
      <c r="L31" s="85" t="s">
        <v>63</v>
      </c>
      <c r="M31" s="85" t="s">
        <v>63</v>
      </c>
      <c r="N31" s="85" t="s">
        <v>63</v>
      </c>
      <c r="O31" s="29" t="s">
        <v>23</v>
      </c>
      <c r="P31" s="29" t="s">
        <v>23</v>
      </c>
      <c r="Q31" s="28" t="s">
        <v>24</v>
      </c>
      <c r="R31" s="28" t="s">
        <v>24</v>
      </c>
      <c r="S31" s="28" t="s">
        <v>24</v>
      </c>
      <c r="T31" s="28" t="s">
        <v>24</v>
      </c>
      <c r="U31" s="29" t="s">
        <v>23</v>
      </c>
      <c r="V31" s="29" t="s">
        <v>23</v>
      </c>
      <c r="W31" s="6" t="s">
        <v>22</v>
      </c>
      <c r="X31" s="6" t="s">
        <v>22</v>
      </c>
      <c r="Y31" s="6" t="s">
        <v>22</v>
      </c>
      <c r="Z31" s="6" t="s">
        <v>22</v>
      </c>
      <c r="AA31" s="29" t="s">
        <v>23</v>
      </c>
      <c r="AB31" s="29" t="s">
        <v>23</v>
      </c>
      <c r="AC31" s="28" t="s">
        <v>24</v>
      </c>
      <c r="AD31" s="28" t="s">
        <v>24</v>
      </c>
      <c r="AE31" s="28" t="s">
        <v>24</v>
      </c>
      <c r="AF31" s="28" t="s">
        <v>24</v>
      </c>
      <c r="AG31" s="78" t="s">
        <v>23</v>
      </c>
      <c r="AI31" s="62">
        <f>VLOOKUP($B31,'FEB25'!$B:$AL,33,0)</f>
        <v>0</v>
      </c>
      <c r="AJ31" s="49">
        <f t="shared" si="6"/>
        <v>0</v>
      </c>
      <c r="AK31" s="18">
        <f t="shared" si="7"/>
        <v>0</v>
      </c>
      <c r="AL31" s="66"/>
      <c r="AM31" s="34">
        <f>'FEB25'!AL23</f>
        <v>22</v>
      </c>
      <c r="AN31" s="49">
        <f t="shared" si="8"/>
        <v>0</v>
      </c>
      <c r="AO31" s="50">
        <f t="shared" si="9"/>
        <v>22</v>
      </c>
    </row>
    <row r="32" spans="1:41" ht="18.95" customHeight="1">
      <c r="A32" s="602" t="s">
        <v>69</v>
      </c>
      <c r="B32" s="582" t="s">
        <v>70</v>
      </c>
      <c r="C32" s="654" t="s">
        <v>24</v>
      </c>
      <c r="D32" s="28" t="s">
        <v>24</v>
      </c>
      <c r="E32" s="28" t="s">
        <v>24</v>
      </c>
      <c r="F32" s="28" t="s">
        <v>24</v>
      </c>
      <c r="G32" s="29" t="s">
        <v>23</v>
      </c>
      <c r="H32" s="29" t="s">
        <v>23</v>
      </c>
      <c r="I32" s="6" t="s">
        <v>22</v>
      </c>
      <c r="J32" s="6" t="s">
        <v>22</v>
      </c>
      <c r="K32" s="6" t="s">
        <v>22</v>
      </c>
      <c r="L32" s="6" t="s">
        <v>22</v>
      </c>
      <c r="M32" s="29" t="s">
        <v>23</v>
      </c>
      <c r="N32" s="29" t="s">
        <v>23</v>
      </c>
      <c r="O32" s="85" t="s">
        <v>63</v>
      </c>
      <c r="P32" s="85" t="s">
        <v>63</v>
      </c>
      <c r="Q32" s="85" t="s">
        <v>63</v>
      </c>
      <c r="R32" s="85" t="s">
        <v>63</v>
      </c>
      <c r="S32" s="29" t="s">
        <v>23</v>
      </c>
      <c r="T32" s="29" t="s">
        <v>23</v>
      </c>
      <c r="U32" s="28" t="s">
        <v>24</v>
      </c>
      <c r="V32" s="28" t="s">
        <v>24</v>
      </c>
      <c r="W32" s="28" t="s">
        <v>24</v>
      </c>
      <c r="X32" s="28" t="s">
        <v>24</v>
      </c>
      <c r="Y32" s="29" t="s">
        <v>23</v>
      </c>
      <c r="Z32" s="29" t="s">
        <v>23</v>
      </c>
      <c r="AA32" s="6" t="s">
        <v>22</v>
      </c>
      <c r="AB32" s="6" t="s">
        <v>22</v>
      </c>
      <c r="AC32" s="6" t="s">
        <v>22</v>
      </c>
      <c r="AD32" s="92" t="s">
        <v>31</v>
      </c>
      <c r="AE32" s="29" t="s">
        <v>23</v>
      </c>
      <c r="AF32" s="29" t="s">
        <v>23</v>
      </c>
      <c r="AG32" s="93" t="s">
        <v>31</v>
      </c>
      <c r="AI32" s="62">
        <f>VLOOKUP($B32,'FEB25'!$B:$AL,33,0)</f>
        <v>7</v>
      </c>
      <c r="AJ32" s="49">
        <f t="shared" si="6"/>
        <v>2</v>
      </c>
      <c r="AK32" s="18">
        <f t="shared" si="7"/>
        <v>5</v>
      </c>
      <c r="AL32" s="66"/>
      <c r="AM32" s="34">
        <f>'FEB25'!AL24</f>
        <v>11</v>
      </c>
      <c r="AN32" s="49">
        <f t="shared" si="8"/>
        <v>0</v>
      </c>
      <c r="AO32" s="50">
        <f t="shared" si="9"/>
        <v>11</v>
      </c>
    </row>
    <row r="33" spans="1:41" ht="18.95" customHeight="1">
      <c r="A33" s="602" t="s">
        <v>71</v>
      </c>
      <c r="B33" s="582" t="s">
        <v>72</v>
      </c>
      <c r="C33" s="653" t="s">
        <v>22</v>
      </c>
      <c r="D33" s="6" t="s">
        <v>22</v>
      </c>
      <c r="E33" s="29" t="s">
        <v>23</v>
      </c>
      <c r="F33" s="29" t="s">
        <v>23</v>
      </c>
      <c r="G33" s="28" t="s">
        <v>24</v>
      </c>
      <c r="H33" s="28" t="s">
        <v>24</v>
      </c>
      <c r="I33" s="655" t="s">
        <v>147</v>
      </c>
      <c r="J33" s="28" t="s">
        <v>24</v>
      </c>
      <c r="K33" s="29" t="s">
        <v>23</v>
      </c>
      <c r="L33" s="29" t="s">
        <v>23</v>
      </c>
      <c r="M33" s="6" t="s">
        <v>22</v>
      </c>
      <c r="N33" s="6" t="s">
        <v>22</v>
      </c>
      <c r="O33" s="6" t="s">
        <v>22</v>
      </c>
      <c r="P33" s="6" t="s">
        <v>22</v>
      </c>
      <c r="Q33" s="29" t="s">
        <v>23</v>
      </c>
      <c r="R33" s="29" t="s">
        <v>23</v>
      </c>
      <c r="S33" s="85" t="s">
        <v>63</v>
      </c>
      <c r="T33" s="85" t="s">
        <v>63</v>
      </c>
      <c r="U33" s="85" t="s">
        <v>63</v>
      </c>
      <c r="V33" s="85" t="s">
        <v>63</v>
      </c>
      <c r="W33" s="29" t="s">
        <v>23</v>
      </c>
      <c r="X33" s="29" t="s">
        <v>23</v>
      </c>
      <c r="Y33" s="28" t="s">
        <v>24</v>
      </c>
      <c r="Z33" s="28" t="s">
        <v>24</v>
      </c>
      <c r="AA33" s="28" t="s">
        <v>24</v>
      </c>
      <c r="AB33" s="28" t="s">
        <v>24</v>
      </c>
      <c r="AC33" s="29" t="s">
        <v>23</v>
      </c>
      <c r="AD33" s="29" t="s">
        <v>23</v>
      </c>
      <c r="AE33" s="92" t="s">
        <v>34</v>
      </c>
      <c r="AF33" s="92" t="s">
        <v>34</v>
      </c>
      <c r="AG33" s="93" t="s">
        <v>34</v>
      </c>
      <c r="AI33" s="62">
        <f>VLOOKUP($B33,'FEB25'!$B:$AL,33,0)</f>
        <v>0</v>
      </c>
      <c r="AJ33" s="49">
        <f t="shared" si="6"/>
        <v>0</v>
      </c>
      <c r="AK33" s="18">
        <f t="shared" si="7"/>
        <v>0</v>
      </c>
      <c r="AL33" s="66"/>
      <c r="AM33" s="34">
        <f>'FEB25'!AL25</f>
        <v>12</v>
      </c>
      <c r="AN33" s="49">
        <f t="shared" si="8"/>
        <v>3</v>
      </c>
      <c r="AO33" s="50">
        <f t="shared" si="9"/>
        <v>9</v>
      </c>
    </row>
    <row r="34" spans="1:41" ht="18.95" customHeight="1">
      <c r="A34" s="602" t="s">
        <v>73</v>
      </c>
      <c r="B34" s="582" t="s">
        <v>74</v>
      </c>
      <c r="C34" s="553" t="s">
        <v>23</v>
      </c>
      <c r="D34" s="29" t="s">
        <v>23</v>
      </c>
      <c r="E34" s="92" t="s">
        <v>31</v>
      </c>
      <c r="F34" s="133" t="s">
        <v>30</v>
      </c>
      <c r="G34" s="6" t="s">
        <v>22</v>
      </c>
      <c r="H34" s="6" t="s">
        <v>22</v>
      </c>
      <c r="I34" s="29" t="s">
        <v>23</v>
      </c>
      <c r="J34" s="29" t="s">
        <v>23</v>
      </c>
      <c r="K34" s="28" t="s">
        <v>24</v>
      </c>
      <c r="L34" s="28" t="s">
        <v>24</v>
      </c>
      <c r="M34" s="28" t="s">
        <v>24</v>
      </c>
      <c r="N34" s="28" t="s">
        <v>24</v>
      </c>
      <c r="O34" s="29" t="s">
        <v>23</v>
      </c>
      <c r="P34" s="29" t="s">
        <v>23</v>
      </c>
      <c r="Q34" s="6" t="s">
        <v>22</v>
      </c>
      <c r="R34" s="6" t="s">
        <v>22</v>
      </c>
      <c r="S34" s="6" t="s">
        <v>22</v>
      </c>
      <c r="T34" s="6" t="s">
        <v>22</v>
      </c>
      <c r="U34" s="29" t="s">
        <v>23</v>
      </c>
      <c r="V34" s="29" t="s">
        <v>23</v>
      </c>
      <c r="W34" s="92" t="s">
        <v>39</v>
      </c>
      <c r="X34" s="92" t="s">
        <v>31</v>
      </c>
      <c r="Y34" s="92" t="s">
        <v>31</v>
      </c>
      <c r="Z34" s="92" t="s">
        <v>31</v>
      </c>
      <c r="AA34" s="29" t="s">
        <v>23</v>
      </c>
      <c r="AB34" s="29" t="s">
        <v>23</v>
      </c>
      <c r="AC34" s="85" t="s">
        <v>63</v>
      </c>
      <c r="AD34" s="85" t="s">
        <v>63</v>
      </c>
      <c r="AE34" s="85" t="s">
        <v>63</v>
      </c>
      <c r="AF34" s="85" t="s">
        <v>63</v>
      </c>
      <c r="AG34" s="78" t="s">
        <v>23</v>
      </c>
      <c r="AI34" s="62">
        <f>VLOOKUP($B34,'FEB25'!$B:$AL,33,0)</f>
        <v>5</v>
      </c>
      <c r="AJ34" s="49">
        <f t="shared" si="6"/>
        <v>4</v>
      </c>
      <c r="AK34" s="18">
        <f t="shared" si="7"/>
        <v>1</v>
      </c>
      <c r="AL34" s="66"/>
      <c r="AM34" s="34">
        <f>'FEB25'!AL26</f>
        <v>10</v>
      </c>
      <c r="AN34" s="49">
        <f t="shared" si="8"/>
        <v>0</v>
      </c>
      <c r="AO34" s="50">
        <f t="shared" si="9"/>
        <v>10</v>
      </c>
    </row>
    <row r="35" spans="1:41" ht="18.95" customHeight="1">
      <c r="A35" s="602" t="s">
        <v>75</v>
      </c>
      <c r="B35" s="582" t="s">
        <v>76</v>
      </c>
      <c r="C35" s="654" t="s">
        <v>24</v>
      </c>
      <c r="D35" s="28" t="s">
        <v>24</v>
      </c>
      <c r="E35" s="28" t="s">
        <v>24</v>
      </c>
      <c r="F35" s="28" t="s">
        <v>24</v>
      </c>
      <c r="G35" s="29" t="s">
        <v>23</v>
      </c>
      <c r="H35" s="29" t="s">
        <v>23</v>
      </c>
      <c r="I35" s="6" t="s">
        <v>22</v>
      </c>
      <c r="J35" s="6" t="s">
        <v>22</v>
      </c>
      <c r="K35" s="6" t="s">
        <v>22</v>
      </c>
      <c r="L35" s="6" t="s">
        <v>22</v>
      </c>
      <c r="M35" s="29" t="s">
        <v>23</v>
      </c>
      <c r="N35" s="29" t="s">
        <v>23</v>
      </c>
      <c r="O35" s="28" t="s">
        <v>24</v>
      </c>
      <c r="P35" s="28" t="s">
        <v>24</v>
      </c>
      <c r="Q35" s="28" t="s">
        <v>24</v>
      </c>
      <c r="R35" s="28" t="s">
        <v>24</v>
      </c>
      <c r="S35" s="29" t="s">
        <v>23</v>
      </c>
      <c r="T35" s="29" t="s">
        <v>23</v>
      </c>
      <c r="U35" s="6" t="s">
        <v>22</v>
      </c>
      <c r="V35" s="6" t="s">
        <v>22</v>
      </c>
      <c r="W35" s="6" t="s">
        <v>22</v>
      </c>
      <c r="X35" s="6" t="s">
        <v>22</v>
      </c>
      <c r="Y35" s="29" t="s">
        <v>23</v>
      </c>
      <c r="Z35" s="29" t="s">
        <v>23</v>
      </c>
      <c r="AA35" s="85" t="s">
        <v>63</v>
      </c>
      <c r="AB35" s="85" t="s">
        <v>63</v>
      </c>
      <c r="AC35" s="85" t="s">
        <v>63</v>
      </c>
      <c r="AD35" s="85" t="s">
        <v>63</v>
      </c>
      <c r="AE35" s="29" t="s">
        <v>23</v>
      </c>
      <c r="AF35" s="29" t="s">
        <v>23</v>
      </c>
      <c r="AG35" s="80" t="s">
        <v>24</v>
      </c>
      <c r="AI35" s="62">
        <f>VLOOKUP($B35,'FEB25'!$B:$AL,33,0)</f>
        <v>2</v>
      </c>
      <c r="AJ35" s="49">
        <f t="shared" si="6"/>
        <v>0</v>
      </c>
      <c r="AK35" s="18">
        <f t="shared" si="7"/>
        <v>2</v>
      </c>
      <c r="AL35" s="66"/>
      <c r="AM35" s="34">
        <f>'FEB25'!AL27</f>
        <v>22</v>
      </c>
      <c r="AN35" s="49">
        <f t="shared" si="8"/>
        <v>0</v>
      </c>
      <c r="AO35" s="50">
        <f t="shared" si="9"/>
        <v>22</v>
      </c>
    </row>
    <row r="36" spans="1:41" ht="18.95" customHeight="1">
      <c r="A36" s="602" t="s">
        <v>77</v>
      </c>
      <c r="B36" s="582" t="s">
        <v>78</v>
      </c>
      <c r="C36" s="652" t="s">
        <v>63</v>
      </c>
      <c r="D36" s="85" t="s">
        <v>63</v>
      </c>
      <c r="E36" s="29" t="s">
        <v>23</v>
      </c>
      <c r="F36" s="29" t="s">
        <v>23</v>
      </c>
      <c r="G36" s="28" t="s">
        <v>24</v>
      </c>
      <c r="H36" s="28" t="s">
        <v>24</v>
      </c>
      <c r="I36" s="28" t="s">
        <v>24</v>
      </c>
      <c r="J36" s="28" t="s">
        <v>24</v>
      </c>
      <c r="K36" s="29" t="s">
        <v>23</v>
      </c>
      <c r="L36" s="29" t="s">
        <v>23</v>
      </c>
      <c r="M36" s="6" t="s">
        <v>22</v>
      </c>
      <c r="N36" s="6" t="s">
        <v>22</v>
      </c>
      <c r="O36" s="6" t="s">
        <v>22</v>
      </c>
      <c r="P36" s="6" t="s">
        <v>22</v>
      </c>
      <c r="Q36" s="29" t="s">
        <v>23</v>
      </c>
      <c r="R36" s="29" t="s">
        <v>23</v>
      </c>
      <c r="S36" s="28" t="s">
        <v>24</v>
      </c>
      <c r="T36" s="28" t="s">
        <v>24</v>
      </c>
      <c r="U36" s="28" t="s">
        <v>24</v>
      </c>
      <c r="V36" s="28" t="s">
        <v>24</v>
      </c>
      <c r="W36" s="29" t="s">
        <v>23</v>
      </c>
      <c r="X36" s="29" t="s">
        <v>23</v>
      </c>
      <c r="Y36" s="6" t="s">
        <v>22</v>
      </c>
      <c r="Z36" s="6" t="s">
        <v>22</v>
      </c>
      <c r="AA36" s="6" t="s">
        <v>22</v>
      </c>
      <c r="AB36" s="6" t="s">
        <v>22</v>
      </c>
      <c r="AC36" s="29" t="s">
        <v>23</v>
      </c>
      <c r="AD36" s="29" t="s">
        <v>23</v>
      </c>
      <c r="AE36" s="85" t="s">
        <v>63</v>
      </c>
      <c r="AF36" s="85" t="s">
        <v>63</v>
      </c>
      <c r="AG36" s="86" t="s">
        <v>63</v>
      </c>
      <c r="AI36" s="62">
        <f>VLOOKUP($B36,'FEB25'!$B:$AL,33,0)</f>
        <v>0</v>
      </c>
      <c r="AJ36" s="49">
        <f t="shared" si="6"/>
        <v>0</v>
      </c>
      <c r="AK36" s="18">
        <f t="shared" si="7"/>
        <v>0</v>
      </c>
      <c r="AL36" s="66"/>
      <c r="AM36" s="34">
        <f>'FEB25'!AL28</f>
        <v>22</v>
      </c>
      <c r="AN36" s="49">
        <f t="shared" si="8"/>
        <v>0</v>
      </c>
      <c r="AO36" s="50">
        <f t="shared" si="9"/>
        <v>22</v>
      </c>
    </row>
    <row r="37" spans="1:41" ht="18.95" customHeight="1">
      <c r="A37" s="602" t="s">
        <v>79</v>
      </c>
      <c r="B37" s="582" t="s">
        <v>80</v>
      </c>
      <c r="C37" s="553" t="s">
        <v>23</v>
      </c>
      <c r="D37" s="29" t="s">
        <v>23</v>
      </c>
      <c r="E37" s="85" t="s">
        <v>63</v>
      </c>
      <c r="F37" s="85" t="s">
        <v>63</v>
      </c>
      <c r="G37" s="85" t="s">
        <v>63</v>
      </c>
      <c r="H37" s="85" t="s">
        <v>63</v>
      </c>
      <c r="I37" s="29" t="s">
        <v>23</v>
      </c>
      <c r="J37" s="29" t="s">
        <v>23</v>
      </c>
      <c r="K37" s="28" t="s">
        <v>24</v>
      </c>
      <c r="L37" s="28" t="s">
        <v>24</v>
      </c>
      <c r="M37" s="28" t="s">
        <v>24</v>
      </c>
      <c r="N37" s="28" t="s">
        <v>24</v>
      </c>
      <c r="O37" s="29" t="s">
        <v>23</v>
      </c>
      <c r="P37" s="29" t="s">
        <v>23</v>
      </c>
      <c r="Q37" s="6" t="s">
        <v>22</v>
      </c>
      <c r="R37" s="6" t="s">
        <v>22</v>
      </c>
      <c r="S37" s="92" t="s">
        <v>31</v>
      </c>
      <c r="T37" s="92" t="s">
        <v>31</v>
      </c>
      <c r="U37" s="29" t="s">
        <v>23</v>
      </c>
      <c r="V37" s="29" t="s">
        <v>23</v>
      </c>
      <c r="W37" s="92" t="s">
        <v>31</v>
      </c>
      <c r="X37" s="92" t="s">
        <v>31</v>
      </c>
      <c r="Y37" s="92" t="s">
        <v>31</v>
      </c>
      <c r="Z37" s="92" t="s">
        <v>31</v>
      </c>
      <c r="AA37" s="29" t="s">
        <v>23</v>
      </c>
      <c r="AB37" s="29" t="s">
        <v>23</v>
      </c>
      <c r="AC37" s="92" t="s">
        <v>31</v>
      </c>
      <c r="AD37" s="92" t="s">
        <v>31</v>
      </c>
      <c r="AE37" s="92" t="s">
        <v>31</v>
      </c>
      <c r="AF37" s="92" t="s">
        <v>31</v>
      </c>
      <c r="AG37" s="78" t="s">
        <v>23</v>
      </c>
      <c r="AI37" s="62">
        <f>VLOOKUP($B37,'FEB25'!$B:$AL,33,0)</f>
        <v>10</v>
      </c>
      <c r="AJ37" s="49">
        <f t="shared" si="6"/>
        <v>10</v>
      </c>
      <c r="AK37" s="18">
        <f t="shared" si="7"/>
        <v>0</v>
      </c>
      <c r="AL37" s="66"/>
      <c r="AM37" s="34">
        <f>'FEB25'!AL29</f>
        <v>22</v>
      </c>
      <c r="AN37" s="49">
        <f t="shared" si="8"/>
        <v>0</v>
      </c>
      <c r="AO37" s="50">
        <f t="shared" si="9"/>
        <v>22</v>
      </c>
    </row>
    <row r="38" spans="1:41" ht="18.95" customHeight="1">
      <c r="A38" s="602" t="s">
        <v>81</v>
      </c>
      <c r="B38" s="582" t="s">
        <v>82</v>
      </c>
      <c r="C38" s="653" t="s">
        <v>22</v>
      </c>
      <c r="D38" s="6" t="s">
        <v>22</v>
      </c>
      <c r="E38" s="6" t="s">
        <v>22</v>
      </c>
      <c r="F38" s="6" t="s">
        <v>22</v>
      </c>
      <c r="G38" s="29" t="s">
        <v>23</v>
      </c>
      <c r="H38" s="29" t="s">
        <v>23</v>
      </c>
      <c r="I38" s="85" t="s">
        <v>63</v>
      </c>
      <c r="J38" s="85" t="s">
        <v>63</v>
      </c>
      <c r="K38" s="85" t="s">
        <v>63</v>
      </c>
      <c r="L38" s="85" t="s">
        <v>63</v>
      </c>
      <c r="M38" s="29" t="s">
        <v>23</v>
      </c>
      <c r="N38" s="29" t="s">
        <v>23</v>
      </c>
      <c r="O38" s="92" t="s">
        <v>31</v>
      </c>
      <c r="P38" s="92" t="s">
        <v>31</v>
      </c>
      <c r="Q38" s="92" t="s">
        <v>31</v>
      </c>
      <c r="R38" s="92" t="s">
        <v>31</v>
      </c>
      <c r="S38" s="29" t="s">
        <v>23</v>
      </c>
      <c r="T38" s="29" t="s">
        <v>23</v>
      </c>
      <c r="U38" s="158" t="s">
        <v>39</v>
      </c>
      <c r="V38" s="157" t="s">
        <v>169</v>
      </c>
      <c r="W38" s="157" t="s">
        <v>169</v>
      </c>
      <c r="X38" s="157" t="s">
        <v>169</v>
      </c>
      <c r="Y38" s="157" t="s">
        <v>169</v>
      </c>
      <c r="Z38" s="157" t="s">
        <v>169</v>
      </c>
      <c r="AA38" s="157" t="s">
        <v>169</v>
      </c>
      <c r="AB38" s="157" t="s">
        <v>169</v>
      </c>
      <c r="AC38" s="157" t="s">
        <v>169</v>
      </c>
      <c r="AD38" s="157" t="s">
        <v>169</v>
      </c>
      <c r="AE38" s="157" t="s">
        <v>169</v>
      </c>
      <c r="AF38" s="157" t="s">
        <v>169</v>
      </c>
      <c r="AG38" s="135" t="s">
        <v>169</v>
      </c>
      <c r="AI38" s="62">
        <f>VLOOKUP($B38,'FEB25'!$B:$AL,33,0)</f>
        <v>4</v>
      </c>
      <c r="AJ38" s="49">
        <f t="shared" si="6"/>
        <v>4</v>
      </c>
      <c r="AK38" s="18">
        <f>AI38-AJ38</f>
        <v>0</v>
      </c>
      <c r="AL38" s="66"/>
      <c r="AM38" s="34">
        <f>'FEB25'!AL30</f>
        <v>22</v>
      </c>
      <c r="AN38" s="49">
        <f t="shared" si="8"/>
        <v>0</v>
      </c>
      <c r="AO38" s="50">
        <f t="shared" si="9"/>
        <v>22</v>
      </c>
    </row>
    <row r="39" spans="1:41" ht="18.95" customHeight="1">
      <c r="A39" s="602" t="s">
        <v>85</v>
      </c>
      <c r="B39" s="582" t="s">
        <v>86</v>
      </c>
      <c r="C39" s="654" t="s">
        <v>24</v>
      </c>
      <c r="D39" s="28" t="s">
        <v>24</v>
      </c>
      <c r="E39" s="29" t="s">
        <v>23</v>
      </c>
      <c r="F39" s="29" t="s">
        <v>23</v>
      </c>
      <c r="G39" s="85" t="s">
        <v>63</v>
      </c>
      <c r="H39" s="85" t="s">
        <v>63</v>
      </c>
      <c r="I39" s="85" t="s">
        <v>63</v>
      </c>
      <c r="J39" s="85" t="s">
        <v>63</v>
      </c>
      <c r="K39" s="29" t="s">
        <v>23</v>
      </c>
      <c r="L39" s="29" t="s">
        <v>23</v>
      </c>
      <c r="M39" s="92" t="s">
        <v>34</v>
      </c>
      <c r="N39" s="92" t="s">
        <v>34</v>
      </c>
      <c r="O39" s="92" t="s">
        <v>34</v>
      </c>
      <c r="P39" s="92" t="s">
        <v>34</v>
      </c>
      <c r="Q39" s="29" t="s">
        <v>23</v>
      </c>
      <c r="R39" s="29" t="s">
        <v>23</v>
      </c>
      <c r="S39" s="6" t="s">
        <v>22</v>
      </c>
      <c r="T39" s="6" t="s">
        <v>22</v>
      </c>
      <c r="U39" s="6" t="s">
        <v>22</v>
      </c>
      <c r="V39" s="6" t="s">
        <v>22</v>
      </c>
      <c r="W39" s="29" t="s">
        <v>23</v>
      </c>
      <c r="X39" s="29" t="s">
        <v>23</v>
      </c>
      <c r="Y39" s="85" t="s">
        <v>63</v>
      </c>
      <c r="Z39" s="85" t="s">
        <v>63</v>
      </c>
      <c r="AA39" s="85" t="s">
        <v>63</v>
      </c>
      <c r="AB39" s="85" t="s">
        <v>63</v>
      </c>
      <c r="AC39" s="29" t="s">
        <v>23</v>
      </c>
      <c r="AD39" s="29" t="s">
        <v>23</v>
      </c>
      <c r="AE39" s="28" t="s">
        <v>24</v>
      </c>
      <c r="AF39" s="28" t="s">
        <v>24</v>
      </c>
      <c r="AG39" s="80" t="s">
        <v>24</v>
      </c>
      <c r="AI39" s="62">
        <f>VLOOKUP($B39,'FEB25'!$B:$AL,33,0)</f>
        <v>0</v>
      </c>
      <c r="AJ39" s="49">
        <f t="shared" si="6"/>
        <v>0</v>
      </c>
      <c r="AK39" s="18">
        <f>AI39-AJ39</f>
        <v>0</v>
      </c>
      <c r="AL39" s="66"/>
      <c r="AM39" s="34">
        <f>'FEB25'!AL31</f>
        <v>22</v>
      </c>
      <c r="AN39" s="49">
        <f t="shared" si="8"/>
        <v>4</v>
      </c>
      <c r="AO39" s="50">
        <f t="shared" si="9"/>
        <v>18</v>
      </c>
    </row>
    <row r="40" spans="1:41" ht="18.95" customHeight="1">
      <c r="A40" s="602" t="s">
        <v>87</v>
      </c>
      <c r="B40" s="582" t="s">
        <v>88</v>
      </c>
      <c r="C40" s="553" t="s">
        <v>23</v>
      </c>
      <c r="D40" s="29" t="s">
        <v>23</v>
      </c>
      <c r="E40" s="28" t="s">
        <v>24</v>
      </c>
      <c r="F40" s="28" t="s">
        <v>24</v>
      </c>
      <c r="G40" s="28" t="s">
        <v>24</v>
      </c>
      <c r="H40" s="28" t="s">
        <v>24</v>
      </c>
      <c r="I40" s="29" t="s">
        <v>23</v>
      </c>
      <c r="J40" s="29" t="s">
        <v>23</v>
      </c>
      <c r="K40" s="6" t="s">
        <v>22</v>
      </c>
      <c r="L40" s="6" t="s">
        <v>22</v>
      </c>
      <c r="M40" s="6" t="s">
        <v>22</v>
      </c>
      <c r="N40" s="6" t="s">
        <v>22</v>
      </c>
      <c r="O40" s="29" t="s">
        <v>23</v>
      </c>
      <c r="P40" s="29" t="s">
        <v>23</v>
      </c>
      <c r="Q40" s="85" t="s">
        <v>63</v>
      </c>
      <c r="R40" s="85" t="s">
        <v>63</v>
      </c>
      <c r="S40" s="85" t="s">
        <v>63</v>
      </c>
      <c r="T40" s="85" t="s">
        <v>63</v>
      </c>
      <c r="U40" s="29" t="s">
        <v>23</v>
      </c>
      <c r="V40" s="29" t="s">
        <v>23</v>
      </c>
      <c r="W40" s="28" t="s">
        <v>24</v>
      </c>
      <c r="X40" s="28" t="s">
        <v>24</v>
      </c>
      <c r="Y40" s="28" t="s">
        <v>24</v>
      </c>
      <c r="Z40" s="28" t="s">
        <v>24</v>
      </c>
      <c r="AA40" s="29" t="s">
        <v>23</v>
      </c>
      <c r="AB40" s="29" t="s">
        <v>23</v>
      </c>
      <c r="AC40" s="6" t="s">
        <v>22</v>
      </c>
      <c r="AD40" s="6" t="s">
        <v>22</v>
      </c>
      <c r="AE40" s="6" t="s">
        <v>22</v>
      </c>
      <c r="AF40" s="6" t="s">
        <v>22</v>
      </c>
      <c r="AG40" s="78" t="s">
        <v>23</v>
      </c>
      <c r="AI40" s="62">
        <f>VLOOKUP($B40,'FEB25'!$B:$AL,33,0)</f>
        <v>0</v>
      </c>
      <c r="AJ40" s="49">
        <f t="shared" si="6"/>
        <v>0</v>
      </c>
      <c r="AK40" s="18">
        <f t="shared" si="7"/>
        <v>0</v>
      </c>
      <c r="AL40" s="66"/>
      <c r="AM40" s="34">
        <f>'FEB25'!AL32</f>
        <v>19</v>
      </c>
      <c r="AN40" s="49">
        <f t="shared" si="8"/>
        <v>0</v>
      </c>
      <c r="AO40" s="50">
        <f t="shared" si="9"/>
        <v>19</v>
      </c>
    </row>
    <row r="41" spans="1:41" ht="18.95" customHeight="1">
      <c r="A41" s="602" t="s">
        <v>90</v>
      </c>
      <c r="B41" s="582" t="s">
        <v>91</v>
      </c>
      <c r="C41" s="653" t="s">
        <v>22</v>
      </c>
      <c r="D41" s="6" t="s">
        <v>22</v>
      </c>
      <c r="E41" s="6" t="s">
        <v>22</v>
      </c>
      <c r="F41" s="6" t="s">
        <v>22</v>
      </c>
      <c r="G41" s="29" t="s">
        <v>23</v>
      </c>
      <c r="H41" s="29" t="s">
        <v>23</v>
      </c>
      <c r="I41" s="28" t="s">
        <v>24</v>
      </c>
      <c r="J41" s="28" t="s">
        <v>24</v>
      </c>
      <c r="K41" s="28" t="s">
        <v>24</v>
      </c>
      <c r="L41" s="28" t="s">
        <v>24</v>
      </c>
      <c r="M41" s="29" t="s">
        <v>23</v>
      </c>
      <c r="N41" s="29" t="s">
        <v>23</v>
      </c>
      <c r="O41" s="92" t="s">
        <v>31</v>
      </c>
      <c r="P41" s="92" t="s">
        <v>31</v>
      </c>
      <c r="Q41" s="92" t="s">
        <v>31</v>
      </c>
      <c r="R41" s="92" t="s">
        <v>31</v>
      </c>
      <c r="S41" s="29" t="s">
        <v>23</v>
      </c>
      <c r="T41" s="29" t="s">
        <v>23</v>
      </c>
      <c r="U41" s="92" t="s">
        <v>31</v>
      </c>
      <c r="V41" s="92" t="s">
        <v>31</v>
      </c>
      <c r="W41" s="92" t="s">
        <v>31</v>
      </c>
      <c r="X41" s="92" t="s">
        <v>31</v>
      </c>
      <c r="Y41" s="29" t="s">
        <v>23</v>
      </c>
      <c r="Z41" s="29" t="s">
        <v>23</v>
      </c>
      <c r="AA41" s="92" t="s">
        <v>31</v>
      </c>
      <c r="AB41" s="92" t="s">
        <v>31</v>
      </c>
      <c r="AC41" s="30" t="s">
        <v>53</v>
      </c>
      <c r="AD41" s="6" t="s">
        <v>22</v>
      </c>
      <c r="AE41" s="29" t="s">
        <v>23</v>
      </c>
      <c r="AF41" s="29" t="s">
        <v>23</v>
      </c>
      <c r="AG41" s="9" t="s">
        <v>22</v>
      </c>
      <c r="AI41" s="62">
        <f>VLOOKUP($B41,'FEB25'!$B:$AL,33,0)</f>
        <v>10</v>
      </c>
      <c r="AJ41" s="49">
        <f t="shared" si="6"/>
        <v>10</v>
      </c>
      <c r="AK41" s="18">
        <f t="shared" si="7"/>
        <v>0</v>
      </c>
      <c r="AL41" s="66"/>
      <c r="AM41" s="34">
        <f>'FEB25'!AL33</f>
        <v>11</v>
      </c>
      <c r="AN41" s="49">
        <f t="shared" si="8"/>
        <v>0</v>
      </c>
      <c r="AO41" s="50">
        <f t="shared" si="9"/>
        <v>11</v>
      </c>
    </row>
    <row r="42" spans="1:41" ht="18.95" customHeight="1">
      <c r="A42" s="602" t="s">
        <v>92</v>
      </c>
      <c r="B42" s="582" t="s">
        <v>93</v>
      </c>
      <c r="C42" s="28" t="s">
        <v>24</v>
      </c>
      <c r="D42" s="28" t="s">
        <v>24</v>
      </c>
      <c r="E42" s="29" t="s">
        <v>23</v>
      </c>
      <c r="F42" s="29" t="s">
        <v>23</v>
      </c>
      <c r="G42" s="6" t="s">
        <v>22</v>
      </c>
      <c r="H42" s="6" t="s">
        <v>22</v>
      </c>
      <c r="I42" s="6" t="s">
        <v>22</v>
      </c>
      <c r="J42" s="6" t="s">
        <v>22</v>
      </c>
      <c r="K42" s="29" t="s">
        <v>23</v>
      </c>
      <c r="L42" s="29" t="s">
        <v>23</v>
      </c>
      <c r="M42" s="28" t="s">
        <v>24</v>
      </c>
      <c r="N42" s="28" t="s">
        <v>24</v>
      </c>
      <c r="O42" s="28" t="s">
        <v>24</v>
      </c>
      <c r="P42" s="28" t="s">
        <v>24</v>
      </c>
      <c r="Q42" s="29" t="s">
        <v>23</v>
      </c>
      <c r="R42" s="29" t="s">
        <v>23</v>
      </c>
      <c r="S42" s="28" t="s">
        <v>24</v>
      </c>
      <c r="T42" s="157" t="s">
        <v>170</v>
      </c>
      <c r="U42" s="28" t="s">
        <v>24</v>
      </c>
      <c r="V42" s="28" t="s">
        <v>24</v>
      </c>
      <c r="W42" s="29" t="s">
        <v>23</v>
      </c>
      <c r="X42" s="29" t="s">
        <v>23</v>
      </c>
      <c r="Y42" s="6" t="s">
        <v>22</v>
      </c>
      <c r="Z42" s="6" t="s">
        <v>22</v>
      </c>
      <c r="AA42" s="6" t="s">
        <v>22</v>
      </c>
      <c r="AB42" s="6" t="s">
        <v>22</v>
      </c>
      <c r="AC42" s="29" t="s">
        <v>23</v>
      </c>
      <c r="AD42" s="29" t="s">
        <v>23</v>
      </c>
      <c r="AE42" s="28" t="s">
        <v>24</v>
      </c>
      <c r="AF42" s="28" t="s">
        <v>24</v>
      </c>
      <c r="AG42" s="80" t="s">
        <v>24</v>
      </c>
      <c r="AI42" s="62">
        <f>VLOOKUP($B42,'FEB25'!$B:$AL,33,0)</f>
        <v>2</v>
      </c>
      <c r="AJ42" s="49">
        <f t="shared" si="6"/>
        <v>0</v>
      </c>
      <c r="AK42" s="18">
        <f t="shared" si="7"/>
        <v>2</v>
      </c>
      <c r="AL42" s="66"/>
      <c r="AM42" s="34">
        <f>'FEB25'!AL34</f>
        <v>22</v>
      </c>
      <c r="AN42" s="49">
        <f t="shared" si="8"/>
        <v>0</v>
      </c>
      <c r="AO42" s="50">
        <f t="shared" si="9"/>
        <v>22</v>
      </c>
    </row>
    <row r="43" spans="1:41" ht="18.95" customHeight="1" thickBot="1">
      <c r="A43" s="680" t="s">
        <v>94</v>
      </c>
      <c r="B43" s="592" t="s">
        <v>95</v>
      </c>
      <c r="C43" s="554" t="s">
        <v>23</v>
      </c>
      <c r="D43" s="83" t="s">
        <v>23</v>
      </c>
      <c r="E43" s="76" t="s">
        <v>24</v>
      </c>
      <c r="F43" s="76" t="s">
        <v>24</v>
      </c>
      <c r="G43" s="76" t="s">
        <v>24</v>
      </c>
      <c r="H43" s="76" t="s">
        <v>24</v>
      </c>
      <c r="I43" s="83" t="s">
        <v>23</v>
      </c>
      <c r="J43" s="83" t="s">
        <v>23</v>
      </c>
      <c r="K43" s="26" t="s">
        <v>103</v>
      </c>
      <c r="L43" s="15" t="s">
        <v>22</v>
      </c>
      <c r="M43" s="15" t="s">
        <v>22</v>
      </c>
      <c r="N43" s="15" t="s">
        <v>22</v>
      </c>
      <c r="O43" s="83" t="s">
        <v>23</v>
      </c>
      <c r="P43" s="83" t="s">
        <v>23</v>
      </c>
      <c r="Q43" s="76" t="s">
        <v>24</v>
      </c>
      <c r="R43" s="76" t="s">
        <v>24</v>
      </c>
      <c r="S43" s="76" t="s">
        <v>24</v>
      </c>
      <c r="T43" s="76" t="s">
        <v>24</v>
      </c>
      <c r="U43" s="83" t="s">
        <v>23</v>
      </c>
      <c r="V43" s="83" t="s">
        <v>23</v>
      </c>
      <c r="W43" s="399" t="s">
        <v>31</v>
      </c>
      <c r="X43" s="399" t="s">
        <v>31</v>
      </c>
      <c r="Y43" s="399" t="s">
        <v>31</v>
      </c>
      <c r="Z43" s="361" t="s">
        <v>19</v>
      </c>
      <c r="AA43" s="361" t="s">
        <v>19</v>
      </c>
      <c r="AB43" s="361" t="s">
        <v>19</v>
      </c>
      <c r="AC43" s="361" t="s">
        <v>19</v>
      </c>
      <c r="AD43" s="361" t="s">
        <v>19</v>
      </c>
      <c r="AE43" s="361" t="s">
        <v>19</v>
      </c>
      <c r="AF43" s="361" t="s">
        <v>19</v>
      </c>
      <c r="AG43" s="349" t="s">
        <v>19</v>
      </c>
      <c r="AI43" s="67">
        <f>VLOOKUP($B43,'FEB25'!$B:$AL,33,0)</f>
        <v>3</v>
      </c>
      <c r="AJ43" s="64">
        <f t="shared" si="6"/>
        <v>3</v>
      </c>
      <c r="AK43" s="68">
        <f t="shared" si="7"/>
        <v>0</v>
      </c>
      <c r="AL43" s="66"/>
      <c r="AM43" s="63">
        <f>'FEB25'!AL35</f>
        <v>22</v>
      </c>
      <c r="AN43" s="64">
        <f t="shared" si="8"/>
        <v>0</v>
      </c>
      <c r="AO43" s="65">
        <f t="shared" si="9"/>
        <v>22</v>
      </c>
    </row>
    <row r="44" spans="1:41" ht="20.100000000000001" customHeight="1" thickBot="1">
      <c r="A44" s="646"/>
      <c r="B44" s="646"/>
      <c r="C44" s="646"/>
      <c r="D44" s="316"/>
      <c r="E44" s="316"/>
      <c r="F44" s="316"/>
      <c r="G44" s="316"/>
      <c r="H44" s="316"/>
      <c r="I44" s="316"/>
      <c r="J44" s="316"/>
      <c r="K44" s="647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648"/>
      <c r="X44" s="648"/>
      <c r="Y44" s="648"/>
      <c r="Z44" s="649"/>
      <c r="AA44" s="649"/>
      <c r="AB44" s="649"/>
      <c r="AC44" s="649"/>
      <c r="AD44" s="649"/>
      <c r="AE44" s="649"/>
      <c r="AF44" s="649"/>
      <c r="AG44" s="649"/>
      <c r="AI44" s="106"/>
      <c r="AJ44" s="72"/>
      <c r="AK44" s="100"/>
      <c r="AL44" s="66"/>
      <c r="AM44" s="72"/>
      <c r="AN44" s="72"/>
      <c r="AO44" s="72"/>
    </row>
    <row r="45" spans="1:41" ht="24.95" customHeight="1" thickBot="1">
      <c r="A45" s="581" t="s">
        <v>97</v>
      </c>
      <c r="B45" s="514"/>
      <c r="C45" s="514"/>
      <c r="D45" s="514"/>
      <c r="E45" s="514"/>
      <c r="F45" s="514"/>
      <c r="G45" s="514"/>
      <c r="H45" s="514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Y45" s="514"/>
      <c r="Z45" s="514"/>
      <c r="AA45" s="514"/>
      <c r="AB45" s="514"/>
      <c r="AC45" s="514"/>
      <c r="AD45" s="514"/>
      <c r="AE45" s="650"/>
      <c r="AF45" s="650"/>
      <c r="AG45" s="651"/>
      <c r="AI45" s="106"/>
      <c r="AJ45" s="72"/>
      <c r="AK45" s="100"/>
      <c r="AL45" s="66"/>
      <c r="AM45" s="72"/>
      <c r="AN45" s="72"/>
      <c r="AO45" s="72"/>
    </row>
    <row r="46" spans="1:41" ht="18.95" customHeight="1">
      <c r="A46" s="602" t="s">
        <v>98</v>
      </c>
      <c r="B46" s="582" t="s">
        <v>99</v>
      </c>
      <c r="C46" s="553" t="s">
        <v>23</v>
      </c>
      <c r="D46" s="25" t="s">
        <v>23</v>
      </c>
      <c r="E46" s="563" t="s">
        <v>144</v>
      </c>
      <c r="F46" s="133" t="s">
        <v>30</v>
      </c>
      <c r="G46" s="563" t="s">
        <v>144</v>
      </c>
      <c r="H46" s="563" t="s">
        <v>144</v>
      </c>
      <c r="I46" s="563" t="s">
        <v>144</v>
      </c>
      <c r="J46" s="25" t="s">
        <v>23</v>
      </c>
      <c r="K46" s="25" t="s">
        <v>23</v>
      </c>
      <c r="L46" s="563" t="s">
        <v>144</v>
      </c>
      <c r="M46" s="563" t="s">
        <v>144</v>
      </c>
      <c r="N46" s="563" t="s">
        <v>144</v>
      </c>
      <c r="O46" s="563" t="s">
        <v>144</v>
      </c>
      <c r="P46" s="563" t="s">
        <v>144</v>
      </c>
      <c r="Q46" s="25" t="s">
        <v>23</v>
      </c>
      <c r="R46" s="25" t="s">
        <v>23</v>
      </c>
      <c r="S46" s="25" t="s">
        <v>23</v>
      </c>
      <c r="T46" s="92" t="s">
        <v>31</v>
      </c>
      <c r="U46" s="92" t="s">
        <v>31</v>
      </c>
      <c r="V46" s="92" t="s">
        <v>31</v>
      </c>
      <c r="W46" s="92" t="s">
        <v>34</v>
      </c>
      <c r="X46" s="25" t="s">
        <v>23</v>
      </c>
      <c r="Y46" s="25" t="s">
        <v>23</v>
      </c>
      <c r="Z46" s="7" t="s">
        <v>103</v>
      </c>
      <c r="AA46" s="7" t="s">
        <v>103</v>
      </c>
      <c r="AB46" s="7" t="s">
        <v>103</v>
      </c>
      <c r="AC46" s="7" t="s">
        <v>103</v>
      </c>
      <c r="AD46" s="25" t="s">
        <v>23</v>
      </c>
      <c r="AE46" s="25" t="s">
        <v>23</v>
      </c>
      <c r="AF46" s="10" t="s">
        <v>83</v>
      </c>
      <c r="AG46" s="13" t="s">
        <v>83</v>
      </c>
      <c r="AI46" s="43">
        <f>VLOOKUP($B46,'FEB25'!$B:$AL,33,0)</f>
        <v>3</v>
      </c>
      <c r="AJ46" s="56">
        <f t="shared" si="6"/>
        <v>3</v>
      </c>
      <c r="AK46" s="17">
        <f t="shared" si="7"/>
        <v>0</v>
      </c>
      <c r="AL46" s="66"/>
      <c r="AM46" s="4">
        <f>'FEB25'!AL38</f>
        <v>22</v>
      </c>
      <c r="AN46" s="56">
        <f t="shared" si="8"/>
        <v>1</v>
      </c>
      <c r="AO46" s="57">
        <f t="shared" si="9"/>
        <v>21</v>
      </c>
    </row>
    <row r="47" spans="1:41" ht="18.95" customHeight="1">
      <c r="A47" s="602" t="s">
        <v>104</v>
      </c>
      <c r="B47" s="582" t="s">
        <v>105</v>
      </c>
      <c r="C47" s="656" t="s">
        <v>19</v>
      </c>
      <c r="D47" s="158" t="s">
        <v>19</v>
      </c>
      <c r="E47" s="158" t="s">
        <v>19</v>
      </c>
      <c r="F47" s="158" t="s">
        <v>19</v>
      </c>
      <c r="G47" s="158" t="s">
        <v>19</v>
      </c>
      <c r="H47" s="158" t="s">
        <v>19</v>
      </c>
      <c r="I47" s="158" t="s">
        <v>19</v>
      </c>
      <c r="J47" s="114" t="s">
        <v>100</v>
      </c>
      <c r="K47" s="114" t="s">
        <v>100</v>
      </c>
      <c r="L47" s="114" t="s">
        <v>100</v>
      </c>
      <c r="M47" s="114" t="s">
        <v>100</v>
      </c>
      <c r="N47" s="25" t="s">
        <v>23</v>
      </c>
      <c r="O47" s="25" t="s">
        <v>23</v>
      </c>
      <c r="P47" s="10" t="s">
        <v>83</v>
      </c>
      <c r="Q47" s="10" t="s">
        <v>83</v>
      </c>
      <c r="R47" s="10" t="s">
        <v>83</v>
      </c>
      <c r="S47" s="10" t="s">
        <v>83</v>
      </c>
      <c r="T47" s="25" t="s">
        <v>23</v>
      </c>
      <c r="U47" s="25" t="s">
        <v>23</v>
      </c>
      <c r="V47" s="7" t="s">
        <v>103</v>
      </c>
      <c r="W47" s="7" t="s">
        <v>103</v>
      </c>
      <c r="X47" s="7" t="s">
        <v>103</v>
      </c>
      <c r="Y47" s="7" t="s">
        <v>103</v>
      </c>
      <c r="Z47" s="25" t="s">
        <v>23</v>
      </c>
      <c r="AA47" s="25" t="s">
        <v>23</v>
      </c>
      <c r="AB47" s="114" t="s">
        <v>100</v>
      </c>
      <c r="AC47" s="114" t="s">
        <v>100</v>
      </c>
      <c r="AD47" s="114" t="s">
        <v>100</v>
      </c>
      <c r="AE47" s="114" t="s">
        <v>100</v>
      </c>
      <c r="AF47" s="25" t="s">
        <v>23</v>
      </c>
      <c r="AG47" s="36" t="s">
        <v>23</v>
      </c>
      <c r="AI47" s="62">
        <f>VLOOKUP($B47,'FEB25'!$B:$AL,33,0)</f>
        <v>6</v>
      </c>
      <c r="AJ47" s="49">
        <f t="shared" si="6"/>
        <v>0</v>
      </c>
      <c r="AK47" s="18">
        <f t="shared" si="7"/>
        <v>6</v>
      </c>
      <c r="AL47" s="66"/>
      <c r="AM47" s="34">
        <f>'FEB25'!AL41</f>
        <v>8</v>
      </c>
      <c r="AN47" s="49">
        <f t="shared" si="8"/>
        <v>0</v>
      </c>
      <c r="AO47" s="50">
        <f t="shared" si="9"/>
        <v>8</v>
      </c>
    </row>
    <row r="48" spans="1:41" ht="18.95" customHeight="1">
      <c r="A48" s="602" t="s">
        <v>109</v>
      </c>
      <c r="B48" s="582" t="s">
        <v>110</v>
      </c>
      <c r="C48" s="652" t="s">
        <v>63</v>
      </c>
      <c r="D48" s="85" t="s">
        <v>63</v>
      </c>
      <c r="E48" s="85" t="s">
        <v>63</v>
      </c>
      <c r="F48" s="25" t="s">
        <v>23</v>
      </c>
      <c r="G48" s="25" t="s">
        <v>23</v>
      </c>
      <c r="H48" s="10" t="s">
        <v>83</v>
      </c>
      <c r="I48" s="10" t="s">
        <v>83</v>
      </c>
      <c r="J48" s="10" t="s">
        <v>83</v>
      </c>
      <c r="K48" s="10" t="s">
        <v>83</v>
      </c>
      <c r="L48" s="25" t="s">
        <v>23</v>
      </c>
      <c r="M48" s="25" t="s">
        <v>23</v>
      </c>
      <c r="N48" s="114" t="s">
        <v>100</v>
      </c>
      <c r="O48" s="114" t="s">
        <v>100</v>
      </c>
      <c r="P48" s="114" t="s">
        <v>100</v>
      </c>
      <c r="Q48" s="114" t="s">
        <v>100</v>
      </c>
      <c r="R48" s="25" t="s">
        <v>23</v>
      </c>
      <c r="S48" s="25" t="s">
        <v>23</v>
      </c>
      <c r="T48" s="10" t="s">
        <v>83</v>
      </c>
      <c r="U48" s="10" t="s">
        <v>83</v>
      </c>
      <c r="V48" s="10" t="s">
        <v>83</v>
      </c>
      <c r="W48" s="10" t="s">
        <v>83</v>
      </c>
      <c r="X48" s="25" t="s">
        <v>23</v>
      </c>
      <c r="Y48" s="25" t="s">
        <v>23</v>
      </c>
      <c r="Z48" s="85" t="s">
        <v>63</v>
      </c>
      <c r="AA48" s="85" t="s">
        <v>63</v>
      </c>
      <c r="AB48" s="85" t="s">
        <v>63</v>
      </c>
      <c r="AC48" s="85" t="s">
        <v>63</v>
      </c>
      <c r="AD48" s="25" t="s">
        <v>23</v>
      </c>
      <c r="AE48" s="25" t="s">
        <v>23</v>
      </c>
      <c r="AF48" s="10" t="s">
        <v>83</v>
      </c>
      <c r="AG48" s="13" t="s">
        <v>83</v>
      </c>
      <c r="AI48" s="62">
        <f>VLOOKUP($B48,'FEB25'!$B:$AL,33,0)</f>
        <v>1</v>
      </c>
      <c r="AJ48" s="49">
        <f t="shared" si="6"/>
        <v>0</v>
      </c>
      <c r="AK48" s="18">
        <f t="shared" si="7"/>
        <v>1</v>
      </c>
      <c r="AL48" s="66"/>
      <c r="AM48" s="34">
        <f>'FEB25'!AL42</f>
        <v>22</v>
      </c>
      <c r="AN48" s="49">
        <f t="shared" si="8"/>
        <v>0</v>
      </c>
      <c r="AO48" s="50">
        <f t="shared" si="9"/>
        <v>22</v>
      </c>
    </row>
    <row r="49" spans="1:41" ht="18.95" customHeight="1">
      <c r="A49" s="602" t="s">
        <v>111</v>
      </c>
      <c r="B49" s="582" t="s">
        <v>112</v>
      </c>
      <c r="C49" s="657" t="s">
        <v>100</v>
      </c>
      <c r="D49" s="25" t="s">
        <v>23</v>
      </c>
      <c r="E49" s="25" t="s">
        <v>23</v>
      </c>
      <c r="F49" s="85" t="s">
        <v>63</v>
      </c>
      <c r="G49" s="85" t="s">
        <v>63</v>
      </c>
      <c r="H49" s="85" t="s">
        <v>63</v>
      </c>
      <c r="I49" s="85" t="s">
        <v>63</v>
      </c>
      <c r="J49" s="25" t="s">
        <v>23</v>
      </c>
      <c r="K49" s="25" t="s">
        <v>23</v>
      </c>
      <c r="L49" s="92" t="s">
        <v>31</v>
      </c>
      <c r="M49" s="92" t="s">
        <v>31</v>
      </c>
      <c r="N49" s="92" t="s">
        <v>31</v>
      </c>
      <c r="O49" s="92" t="s">
        <v>31</v>
      </c>
      <c r="P49" s="25" t="s">
        <v>23</v>
      </c>
      <c r="Q49" s="25" t="s">
        <v>23</v>
      </c>
      <c r="R49" s="92" t="s">
        <v>31</v>
      </c>
      <c r="S49" s="92" t="s">
        <v>31</v>
      </c>
      <c r="T49" s="92" t="s">
        <v>31</v>
      </c>
      <c r="U49" s="92" t="s">
        <v>31</v>
      </c>
      <c r="V49" s="25" t="s">
        <v>23</v>
      </c>
      <c r="W49" s="25" t="s">
        <v>23</v>
      </c>
      <c r="X49" s="92" t="s">
        <v>31</v>
      </c>
      <c r="Y49" s="92" t="s">
        <v>31</v>
      </c>
      <c r="Z49" s="92" t="s">
        <v>31</v>
      </c>
      <c r="AA49" s="10" t="s">
        <v>83</v>
      </c>
      <c r="AB49" s="25" t="s">
        <v>23</v>
      </c>
      <c r="AC49" s="25" t="s">
        <v>23</v>
      </c>
      <c r="AD49" s="7" t="s">
        <v>103</v>
      </c>
      <c r="AE49" s="7" t="s">
        <v>103</v>
      </c>
      <c r="AF49" s="7" t="s">
        <v>103</v>
      </c>
      <c r="AG49" s="12" t="s">
        <v>103</v>
      </c>
      <c r="AI49" s="62">
        <f>VLOOKUP($B49,'FEB25'!$B:$AL,33,0)</f>
        <v>11</v>
      </c>
      <c r="AJ49" s="49">
        <f t="shared" si="6"/>
        <v>11</v>
      </c>
      <c r="AK49" s="18">
        <f t="shared" si="7"/>
        <v>0</v>
      </c>
      <c r="AL49" s="66"/>
      <c r="AM49" s="34">
        <f>'FEB25'!AL43</f>
        <v>22</v>
      </c>
      <c r="AN49" s="49">
        <f t="shared" si="8"/>
        <v>0</v>
      </c>
      <c r="AO49" s="50">
        <f t="shared" si="9"/>
        <v>22</v>
      </c>
    </row>
    <row r="50" spans="1:41" ht="18.95" customHeight="1">
      <c r="A50" s="602" t="s">
        <v>113</v>
      </c>
      <c r="B50" s="582" t="s">
        <v>114</v>
      </c>
      <c r="C50" s="553" t="s">
        <v>23</v>
      </c>
      <c r="D50" s="114" t="s">
        <v>100</v>
      </c>
      <c r="E50" s="114" t="s">
        <v>100</v>
      </c>
      <c r="F50" s="114" t="s">
        <v>100</v>
      </c>
      <c r="G50" s="213" t="s">
        <v>89</v>
      </c>
      <c r="H50" s="25" t="s">
        <v>23</v>
      </c>
      <c r="I50" s="25" t="s">
        <v>23</v>
      </c>
      <c r="J50" s="85" t="s">
        <v>63</v>
      </c>
      <c r="K50" s="85" t="s">
        <v>63</v>
      </c>
      <c r="L50" s="85" t="s">
        <v>63</v>
      </c>
      <c r="M50" s="85" t="s">
        <v>63</v>
      </c>
      <c r="N50" s="25" t="s">
        <v>23</v>
      </c>
      <c r="O50" s="25" t="s">
        <v>23</v>
      </c>
      <c r="P50" s="10" t="s">
        <v>83</v>
      </c>
      <c r="Q50" s="10" t="s">
        <v>83</v>
      </c>
      <c r="R50" s="10" t="s">
        <v>83</v>
      </c>
      <c r="S50" s="10" t="s">
        <v>83</v>
      </c>
      <c r="T50" s="25" t="s">
        <v>23</v>
      </c>
      <c r="U50" s="25" t="s">
        <v>23</v>
      </c>
      <c r="V50" s="85" t="s">
        <v>63</v>
      </c>
      <c r="W50" s="85" t="s">
        <v>63</v>
      </c>
      <c r="X50" s="85" t="s">
        <v>63</v>
      </c>
      <c r="Y50" s="85" t="s">
        <v>63</v>
      </c>
      <c r="Z50" s="25" t="s">
        <v>23</v>
      </c>
      <c r="AA50" s="25" t="s">
        <v>23</v>
      </c>
      <c r="AB50" s="10" t="s">
        <v>83</v>
      </c>
      <c r="AC50" s="10" t="s">
        <v>83</v>
      </c>
      <c r="AD50" s="10" t="s">
        <v>83</v>
      </c>
      <c r="AE50" s="10" t="s">
        <v>83</v>
      </c>
      <c r="AF50" s="25" t="s">
        <v>23</v>
      </c>
      <c r="AG50" s="36" t="s">
        <v>23</v>
      </c>
      <c r="AI50" s="62">
        <f>VLOOKUP($B50,'FEB25'!$B:$AL,33,0)</f>
        <v>0</v>
      </c>
      <c r="AJ50" s="49">
        <f t="shared" si="6"/>
        <v>0</v>
      </c>
      <c r="AK50" s="18">
        <f t="shared" si="7"/>
        <v>0</v>
      </c>
      <c r="AL50" s="66"/>
      <c r="AM50" s="34">
        <f>'FEB25'!AL44</f>
        <v>11</v>
      </c>
      <c r="AN50" s="49">
        <f t="shared" si="8"/>
        <v>0</v>
      </c>
      <c r="AO50" s="50">
        <f t="shared" si="9"/>
        <v>11</v>
      </c>
    </row>
    <row r="51" spans="1:41" ht="18.95" customHeight="1">
      <c r="A51" s="602" t="s">
        <v>140</v>
      </c>
      <c r="B51" s="582" t="s">
        <v>141</v>
      </c>
      <c r="C51" s="657" t="s">
        <v>100</v>
      </c>
      <c r="D51" s="114" t="s">
        <v>100</v>
      </c>
      <c r="E51" s="114" t="s">
        <v>100</v>
      </c>
      <c r="F51" s="25" t="s">
        <v>23</v>
      </c>
      <c r="G51" s="25" t="s">
        <v>23</v>
      </c>
      <c r="H51" s="10" t="s">
        <v>83</v>
      </c>
      <c r="I51" s="10" t="s">
        <v>83</v>
      </c>
      <c r="J51" s="10" t="s">
        <v>83</v>
      </c>
      <c r="K51" s="10" t="s">
        <v>83</v>
      </c>
      <c r="L51" s="25" t="s">
        <v>23</v>
      </c>
      <c r="M51" s="25" t="s">
        <v>23</v>
      </c>
      <c r="N51" s="7" t="s">
        <v>103</v>
      </c>
      <c r="O51" s="7" t="s">
        <v>103</v>
      </c>
      <c r="P51" s="7" t="s">
        <v>103</v>
      </c>
      <c r="Q51" s="7" t="s">
        <v>103</v>
      </c>
      <c r="R51" s="25" t="s">
        <v>23</v>
      </c>
      <c r="S51" s="25" t="s">
        <v>23</v>
      </c>
      <c r="T51" s="199" t="s">
        <v>83</v>
      </c>
      <c r="U51" s="199" t="s">
        <v>83</v>
      </c>
      <c r="V51" s="199" t="s">
        <v>83</v>
      </c>
      <c r="W51" s="199" t="s">
        <v>83</v>
      </c>
      <c r="X51" s="25" t="s">
        <v>23</v>
      </c>
      <c r="Y51" s="25" t="s">
        <v>23</v>
      </c>
      <c r="Z51" s="637" t="s">
        <v>25</v>
      </c>
      <c r="AA51" s="637" t="s">
        <v>25</v>
      </c>
      <c r="AB51" s="637" t="s">
        <v>25</v>
      </c>
      <c r="AC51" s="637" t="s">
        <v>25</v>
      </c>
      <c r="AD51" s="637" t="s">
        <v>25</v>
      </c>
      <c r="AE51" s="25" t="s">
        <v>23</v>
      </c>
      <c r="AF51" s="25" t="s">
        <v>23</v>
      </c>
      <c r="AG51" s="641" t="s">
        <v>144</v>
      </c>
      <c r="AI51" s="62">
        <f>VLOOKUP($B51,'FEB25'!$B:$AL,33,0)</f>
        <v>2</v>
      </c>
      <c r="AJ51" s="49">
        <f t="shared" ref="AJ51" si="10">COUNTIF(C51:AG51,"UA")</f>
        <v>0</v>
      </c>
      <c r="AK51" s="18">
        <f t="shared" ref="AK51" si="11">AI51-AJ51</f>
        <v>2</v>
      </c>
      <c r="AL51" s="66"/>
      <c r="AM51" s="34">
        <v>22</v>
      </c>
      <c r="AN51" s="49">
        <f t="shared" si="8"/>
        <v>0</v>
      </c>
      <c r="AO51" s="50">
        <f t="shared" si="9"/>
        <v>22</v>
      </c>
    </row>
    <row r="52" spans="1:41" ht="18.95" customHeight="1">
      <c r="A52" s="602" t="s">
        <v>117</v>
      </c>
      <c r="B52" s="582" t="s">
        <v>118</v>
      </c>
      <c r="C52" s="658" t="s">
        <v>31</v>
      </c>
      <c r="D52" s="25" t="s">
        <v>23</v>
      </c>
      <c r="E52" s="25" t="s">
        <v>23</v>
      </c>
      <c r="F52" s="110" t="s">
        <v>30</v>
      </c>
      <c r="G52" s="92" t="s">
        <v>31</v>
      </c>
      <c r="H52" s="92" t="s">
        <v>31</v>
      </c>
      <c r="I52" s="92" t="s">
        <v>31</v>
      </c>
      <c r="J52" s="25" t="s">
        <v>23</v>
      </c>
      <c r="K52" s="25" t="s">
        <v>23</v>
      </c>
      <c r="L52" s="92" t="s">
        <v>31</v>
      </c>
      <c r="M52" s="92" t="s">
        <v>31</v>
      </c>
      <c r="N52" s="92" t="s">
        <v>31</v>
      </c>
      <c r="O52" s="92" t="s">
        <v>31</v>
      </c>
      <c r="P52" s="25" t="s">
        <v>23</v>
      </c>
      <c r="Q52" s="25" t="s">
        <v>23</v>
      </c>
      <c r="R52" s="85" t="s">
        <v>63</v>
      </c>
      <c r="S52" s="85" t="s">
        <v>63</v>
      </c>
      <c r="T52" s="85" t="s">
        <v>63</v>
      </c>
      <c r="U52" s="85" t="s">
        <v>63</v>
      </c>
      <c r="V52" s="25" t="s">
        <v>23</v>
      </c>
      <c r="W52" s="25" t="s">
        <v>23</v>
      </c>
      <c r="X52" s="10" t="s">
        <v>83</v>
      </c>
      <c r="Y52" s="10" t="s">
        <v>83</v>
      </c>
      <c r="Z52" s="10" t="s">
        <v>83</v>
      </c>
      <c r="AA52" s="10" t="s">
        <v>83</v>
      </c>
      <c r="AB52" s="25" t="s">
        <v>23</v>
      </c>
      <c r="AC52" s="25" t="s">
        <v>23</v>
      </c>
      <c r="AD52" s="114" t="s">
        <v>100</v>
      </c>
      <c r="AE52" s="114" t="s">
        <v>100</v>
      </c>
      <c r="AF52" s="114" t="s">
        <v>100</v>
      </c>
      <c r="AG52" s="113" t="s">
        <v>100</v>
      </c>
      <c r="AI52" s="62">
        <f>VLOOKUP($B52,'FEB25'!$B:$AL,33,0)</f>
        <v>9</v>
      </c>
      <c r="AJ52" s="49">
        <f t="shared" si="6"/>
        <v>8</v>
      </c>
      <c r="AK52" s="18">
        <f t="shared" si="7"/>
        <v>1</v>
      </c>
      <c r="AL52" s="66"/>
      <c r="AM52" s="34">
        <f>'FEB25'!AL46</f>
        <v>11</v>
      </c>
      <c r="AN52" s="49">
        <f t="shared" si="8"/>
        <v>0</v>
      </c>
      <c r="AO52" s="50">
        <f t="shared" si="9"/>
        <v>11</v>
      </c>
    </row>
    <row r="53" spans="1:41" ht="18.95" customHeight="1">
      <c r="A53" s="602" t="s">
        <v>119</v>
      </c>
      <c r="B53" s="582" t="s">
        <v>120</v>
      </c>
      <c r="C53" s="553" t="s">
        <v>23</v>
      </c>
      <c r="D53" s="25" t="s">
        <v>23</v>
      </c>
      <c r="E53" s="10" t="s">
        <v>83</v>
      </c>
      <c r="F53" s="10" t="s">
        <v>83</v>
      </c>
      <c r="G53" s="10" t="s">
        <v>83</v>
      </c>
      <c r="H53" s="25" t="s">
        <v>23</v>
      </c>
      <c r="I53" s="25" t="s">
        <v>23</v>
      </c>
      <c r="J53" s="7" t="s">
        <v>103</v>
      </c>
      <c r="K53" s="7" t="s">
        <v>103</v>
      </c>
      <c r="L53" s="7" t="s">
        <v>103</v>
      </c>
      <c r="M53" s="7" t="s">
        <v>103</v>
      </c>
      <c r="N53" s="25" t="s">
        <v>23</v>
      </c>
      <c r="O53" s="25" t="s">
        <v>23</v>
      </c>
      <c r="P53" s="114" t="s">
        <v>100</v>
      </c>
      <c r="Q53" s="7" t="s">
        <v>103</v>
      </c>
      <c r="R53" s="114" t="s">
        <v>100</v>
      </c>
      <c r="S53" s="114" t="s">
        <v>100</v>
      </c>
      <c r="T53" s="25" t="s">
        <v>23</v>
      </c>
      <c r="U53" s="25" t="s">
        <v>23</v>
      </c>
      <c r="V53" s="114" t="s">
        <v>100</v>
      </c>
      <c r="W53" s="114" t="s">
        <v>100</v>
      </c>
      <c r="X53" s="114" t="s">
        <v>100</v>
      </c>
      <c r="Y53" s="114" t="s">
        <v>100</v>
      </c>
      <c r="Z53" s="25" t="s">
        <v>23</v>
      </c>
      <c r="AA53" s="25" t="s">
        <v>23</v>
      </c>
      <c r="AB53" s="10" t="s">
        <v>83</v>
      </c>
      <c r="AC53" s="10" t="s">
        <v>83</v>
      </c>
      <c r="AD53" s="10" t="s">
        <v>83</v>
      </c>
      <c r="AE53" s="10" t="s">
        <v>83</v>
      </c>
      <c r="AF53" s="25" t="s">
        <v>23</v>
      </c>
      <c r="AG53" s="36" t="s">
        <v>23</v>
      </c>
      <c r="AI53" s="62">
        <f>VLOOKUP($B53,'FEB25'!$B:$AL,33,0)</f>
        <v>13</v>
      </c>
      <c r="AJ53" s="49">
        <f t="shared" si="6"/>
        <v>0</v>
      </c>
      <c r="AK53" s="18">
        <f t="shared" si="7"/>
        <v>13</v>
      </c>
      <c r="AL53" s="66"/>
      <c r="AM53" s="34">
        <f>'FEB25'!AL47</f>
        <v>22</v>
      </c>
      <c r="AN53" s="49">
        <f t="shared" si="8"/>
        <v>0</v>
      </c>
      <c r="AO53" s="50">
        <f t="shared" si="9"/>
        <v>22</v>
      </c>
    </row>
    <row r="54" spans="1:41" ht="18.95" customHeight="1" thickBot="1">
      <c r="A54" s="690" t="s">
        <v>123</v>
      </c>
      <c r="B54" s="608" t="s">
        <v>124</v>
      </c>
      <c r="C54" s="691" t="s">
        <v>24</v>
      </c>
      <c r="D54" s="24" t="s">
        <v>23</v>
      </c>
      <c r="E54" s="24" t="s">
        <v>23</v>
      </c>
      <c r="F54" s="155" t="s">
        <v>30</v>
      </c>
      <c r="G54" s="15" t="s">
        <v>22</v>
      </c>
      <c r="H54" s="15" t="s">
        <v>22</v>
      </c>
      <c r="I54" s="15" t="s">
        <v>22</v>
      </c>
      <c r="J54" s="24" t="s">
        <v>23</v>
      </c>
      <c r="K54" s="24" t="s">
        <v>23</v>
      </c>
      <c r="L54" s="76" t="s">
        <v>24</v>
      </c>
      <c r="M54" s="76" t="s">
        <v>24</v>
      </c>
      <c r="N54" s="76" t="s">
        <v>24</v>
      </c>
      <c r="O54" s="76" t="s">
        <v>24</v>
      </c>
      <c r="P54" s="24" t="s">
        <v>23</v>
      </c>
      <c r="Q54" s="24" t="s">
        <v>23</v>
      </c>
      <c r="R54" s="15" t="s">
        <v>22</v>
      </c>
      <c r="S54" s="15" t="s">
        <v>22</v>
      </c>
      <c r="T54" s="15" t="s">
        <v>22</v>
      </c>
      <c r="U54" s="15" t="s">
        <v>22</v>
      </c>
      <c r="V54" s="24" t="s">
        <v>23</v>
      </c>
      <c r="W54" s="24" t="s">
        <v>23</v>
      </c>
      <c r="X54" s="15" t="s">
        <v>22</v>
      </c>
      <c r="Y54" s="15" t="s">
        <v>22</v>
      </c>
      <c r="Z54" s="15" t="s">
        <v>22</v>
      </c>
      <c r="AA54" s="15" t="s">
        <v>22</v>
      </c>
      <c r="AB54" s="24" t="s">
        <v>23</v>
      </c>
      <c r="AC54" s="24" t="s">
        <v>23</v>
      </c>
      <c r="AD54" s="15" t="s">
        <v>22</v>
      </c>
      <c r="AE54" s="610" t="s">
        <v>19</v>
      </c>
      <c r="AF54" s="15" t="s">
        <v>22</v>
      </c>
      <c r="AG54" s="39" t="s">
        <v>22</v>
      </c>
      <c r="AI54" s="67">
        <f>VLOOKUP($B54,'FEB25'!$B:$AL,33,0)</f>
        <v>0</v>
      </c>
      <c r="AJ54" s="64">
        <f t="shared" si="6"/>
        <v>0</v>
      </c>
      <c r="AK54" s="68">
        <f t="shared" si="7"/>
        <v>0</v>
      </c>
      <c r="AL54" s="66"/>
      <c r="AM54" s="63">
        <f>'FEB25'!AL49</f>
        <v>19</v>
      </c>
      <c r="AN54" s="64">
        <f t="shared" si="8"/>
        <v>0</v>
      </c>
      <c r="AO54" s="65">
        <f t="shared" si="9"/>
        <v>19</v>
      </c>
    </row>
    <row r="55" spans="1:41" ht="9.9499999999999993" customHeight="1" thickBot="1">
      <c r="A55" s="1"/>
      <c r="B55" s="1"/>
    </row>
    <row r="56" spans="1:41" ht="17.100000000000001" customHeight="1">
      <c r="A56" s="665" t="s">
        <v>103</v>
      </c>
      <c r="B56" s="666"/>
      <c r="C56" s="4">
        <f t="shared" ref="C56:AG56" si="12">COUNTIF(C29:C54,$A$56)</f>
        <v>0</v>
      </c>
      <c r="D56" s="56">
        <f t="shared" si="12"/>
        <v>0</v>
      </c>
      <c r="E56" s="56">
        <f t="shared" si="12"/>
        <v>0</v>
      </c>
      <c r="F56" s="56">
        <f t="shared" si="12"/>
        <v>0</v>
      </c>
      <c r="G56" s="56">
        <f t="shared" si="12"/>
        <v>0</v>
      </c>
      <c r="H56" s="56">
        <f t="shared" si="12"/>
        <v>0</v>
      </c>
      <c r="I56" s="56">
        <f t="shared" si="12"/>
        <v>0</v>
      </c>
      <c r="J56" s="56">
        <f t="shared" si="12"/>
        <v>1</v>
      </c>
      <c r="K56" s="56">
        <f t="shared" si="12"/>
        <v>2</v>
      </c>
      <c r="L56" s="56">
        <f t="shared" si="12"/>
        <v>1</v>
      </c>
      <c r="M56" s="56">
        <f t="shared" si="12"/>
        <v>1</v>
      </c>
      <c r="N56" s="56">
        <f t="shared" si="12"/>
        <v>1</v>
      </c>
      <c r="O56" s="56">
        <f t="shared" si="12"/>
        <v>1</v>
      </c>
      <c r="P56" s="56">
        <f t="shared" si="12"/>
        <v>1</v>
      </c>
      <c r="Q56" s="56">
        <f t="shared" si="12"/>
        <v>2</v>
      </c>
      <c r="R56" s="56">
        <f t="shared" si="12"/>
        <v>0</v>
      </c>
      <c r="S56" s="56">
        <f t="shared" si="12"/>
        <v>0</v>
      </c>
      <c r="T56" s="56">
        <f t="shared" si="12"/>
        <v>0</v>
      </c>
      <c r="U56" s="56">
        <f t="shared" si="12"/>
        <v>0</v>
      </c>
      <c r="V56" s="56">
        <f t="shared" si="12"/>
        <v>1</v>
      </c>
      <c r="W56" s="56">
        <f t="shared" si="12"/>
        <v>1</v>
      </c>
      <c r="X56" s="56">
        <f t="shared" si="12"/>
        <v>1</v>
      </c>
      <c r="Y56" s="56">
        <f t="shared" si="12"/>
        <v>1</v>
      </c>
      <c r="Z56" s="56">
        <f t="shared" si="12"/>
        <v>1</v>
      </c>
      <c r="AA56" s="56">
        <f t="shared" si="12"/>
        <v>1</v>
      </c>
      <c r="AB56" s="56">
        <f t="shared" si="12"/>
        <v>1</v>
      </c>
      <c r="AC56" s="56">
        <f t="shared" si="12"/>
        <v>1</v>
      </c>
      <c r="AD56" s="56">
        <f t="shared" si="12"/>
        <v>1</v>
      </c>
      <c r="AE56" s="56">
        <f t="shared" si="12"/>
        <v>1</v>
      </c>
      <c r="AF56" s="56">
        <f t="shared" si="12"/>
        <v>1</v>
      </c>
      <c r="AG56" s="57">
        <f t="shared" si="12"/>
        <v>1</v>
      </c>
    </row>
    <row r="57" spans="1:41" ht="17.100000000000001" customHeight="1">
      <c r="A57" s="667" t="s">
        <v>22</v>
      </c>
      <c r="B57" s="668"/>
      <c r="C57" s="37">
        <f t="shared" ref="C57:AG57" si="13">COUNTIF(C29:C54,$A$57)</f>
        <v>4</v>
      </c>
      <c r="D57" s="35">
        <f t="shared" si="13"/>
        <v>4</v>
      </c>
      <c r="E57" s="35">
        <f t="shared" si="13"/>
        <v>3</v>
      </c>
      <c r="F57" s="35">
        <f t="shared" si="13"/>
        <v>3</v>
      </c>
      <c r="G57" s="35">
        <f t="shared" si="13"/>
        <v>5</v>
      </c>
      <c r="H57" s="35">
        <f t="shared" si="13"/>
        <v>5</v>
      </c>
      <c r="I57" s="35">
        <f t="shared" si="13"/>
        <v>5</v>
      </c>
      <c r="J57" s="35">
        <f t="shared" si="13"/>
        <v>4</v>
      </c>
      <c r="K57" s="35">
        <f t="shared" si="13"/>
        <v>3</v>
      </c>
      <c r="L57" s="35">
        <f t="shared" si="13"/>
        <v>4</v>
      </c>
      <c r="M57" s="35">
        <f t="shared" si="13"/>
        <v>4</v>
      </c>
      <c r="N57" s="35">
        <f t="shared" si="13"/>
        <v>4</v>
      </c>
      <c r="O57" s="35">
        <f t="shared" si="13"/>
        <v>3</v>
      </c>
      <c r="P57" s="35">
        <f t="shared" si="13"/>
        <v>2</v>
      </c>
      <c r="Q57" s="35">
        <f t="shared" si="13"/>
        <v>3</v>
      </c>
      <c r="R57" s="35">
        <f t="shared" si="13"/>
        <v>4</v>
      </c>
      <c r="S57" s="35">
        <f t="shared" si="13"/>
        <v>4</v>
      </c>
      <c r="T57" s="35">
        <f t="shared" si="13"/>
        <v>4</v>
      </c>
      <c r="U57" s="35">
        <f t="shared" si="13"/>
        <v>4</v>
      </c>
      <c r="V57" s="35">
        <f t="shared" si="13"/>
        <v>3</v>
      </c>
      <c r="W57" s="35">
        <f t="shared" si="13"/>
        <v>2</v>
      </c>
      <c r="X57" s="35">
        <f t="shared" si="13"/>
        <v>3</v>
      </c>
      <c r="Y57" s="35">
        <f t="shared" si="13"/>
        <v>4</v>
      </c>
      <c r="Z57" s="35">
        <f t="shared" si="13"/>
        <v>4</v>
      </c>
      <c r="AA57" s="35">
        <f t="shared" si="13"/>
        <v>5</v>
      </c>
      <c r="AB57" s="35">
        <f t="shared" si="13"/>
        <v>4</v>
      </c>
      <c r="AC57" s="35">
        <f t="shared" si="13"/>
        <v>3</v>
      </c>
      <c r="AD57" s="35">
        <f t="shared" si="13"/>
        <v>4</v>
      </c>
      <c r="AE57" s="35">
        <f t="shared" si="13"/>
        <v>2</v>
      </c>
      <c r="AF57" s="35">
        <f t="shared" si="13"/>
        <v>3</v>
      </c>
      <c r="AG57" s="38">
        <f t="shared" si="13"/>
        <v>3</v>
      </c>
    </row>
    <row r="58" spans="1:41" ht="17.100000000000001" customHeight="1">
      <c r="A58" s="669" t="s">
        <v>83</v>
      </c>
      <c r="B58" s="670"/>
      <c r="C58" s="37">
        <f t="shared" ref="C58:AG58" si="14">COUNTIF(C29:C54,$A$58)</f>
        <v>0</v>
      </c>
      <c r="D58" s="35">
        <f t="shared" si="14"/>
        <v>0</v>
      </c>
      <c r="E58" s="35">
        <f t="shared" si="14"/>
        <v>1</v>
      </c>
      <c r="F58" s="35">
        <f t="shared" si="14"/>
        <v>1</v>
      </c>
      <c r="G58" s="35">
        <f t="shared" si="14"/>
        <v>1</v>
      </c>
      <c r="H58" s="35">
        <f t="shared" si="14"/>
        <v>2</v>
      </c>
      <c r="I58" s="35">
        <f t="shared" si="14"/>
        <v>2</v>
      </c>
      <c r="J58" s="35">
        <f t="shared" si="14"/>
        <v>2</v>
      </c>
      <c r="K58" s="35">
        <f t="shared" si="14"/>
        <v>2</v>
      </c>
      <c r="L58" s="35">
        <f t="shared" si="14"/>
        <v>0</v>
      </c>
      <c r="M58" s="35">
        <f t="shared" si="14"/>
        <v>0</v>
      </c>
      <c r="N58" s="35">
        <f t="shared" si="14"/>
        <v>0</v>
      </c>
      <c r="O58" s="35">
        <f t="shared" si="14"/>
        <v>0</v>
      </c>
      <c r="P58" s="35">
        <f t="shared" si="14"/>
        <v>2</v>
      </c>
      <c r="Q58" s="35">
        <f t="shared" si="14"/>
        <v>2</v>
      </c>
      <c r="R58" s="35">
        <f t="shared" si="14"/>
        <v>2</v>
      </c>
      <c r="S58" s="35">
        <f t="shared" si="14"/>
        <v>2</v>
      </c>
      <c r="T58" s="35">
        <f t="shared" si="14"/>
        <v>2</v>
      </c>
      <c r="U58" s="35">
        <f t="shared" si="14"/>
        <v>2</v>
      </c>
      <c r="V58" s="35">
        <f t="shared" si="14"/>
        <v>2</v>
      </c>
      <c r="W58" s="35">
        <f t="shared" si="14"/>
        <v>2</v>
      </c>
      <c r="X58" s="35">
        <f t="shared" si="14"/>
        <v>1</v>
      </c>
      <c r="Y58" s="35">
        <f t="shared" si="14"/>
        <v>1</v>
      </c>
      <c r="Z58" s="35">
        <f t="shared" si="14"/>
        <v>1</v>
      </c>
      <c r="AA58" s="35">
        <f t="shared" si="14"/>
        <v>2</v>
      </c>
      <c r="AB58" s="35">
        <f t="shared" si="14"/>
        <v>2</v>
      </c>
      <c r="AC58" s="35">
        <f t="shared" si="14"/>
        <v>2</v>
      </c>
      <c r="AD58" s="35">
        <f t="shared" si="14"/>
        <v>2</v>
      </c>
      <c r="AE58" s="35">
        <f t="shared" si="14"/>
        <v>2</v>
      </c>
      <c r="AF58" s="35">
        <f t="shared" si="14"/>
        <v>2</v>
      </c>
      <c r="AG58" s="38">
        <f t="shared" si="14"/>
        <v>2</v>
      </c>
    </row>
    <row r="59" spans="1:41" ht="17.100000000000001" customHeight="1">
      <c r="A59" s="671" t="s">
        <v>24</v>
      </c>
      <c r="B59" s="672"/>
      <c r="C59" s="37">
        <f t="shared" ref="C59:AG59" si="15">COUNTIF(C29:C54,$A$59)</f>
        <v>5</v>
      </c>
      <c r="D59" s="35">
        <f t="shared" si="15"/>
        <v>4</v>
      </c>
      <c r="E59" s="35">
        <f t="shared" si="15"/>
        <v>4</v>
      </c>
      <c r="F59" s="35">
        <f t="shared" si="15"/>
        <v>4</v>
      </c>
      <c r="G59" s="35">
        <f t="shared" si="15"/>
        <v>4</v>
      </c>
      <c r="H59" s="35">
        <f t="shared" si="15"/>
        <v>4</v>
      </c>
      <c r="I59" s="35">
        <f t="shared" si="15"/>
        <v>3</v>
      </c>
      <c r="J59" s="35">
        <f t="shared" si="15"/>
        <v>4</v>
      </c>
      <c r="K59" s="35">
        <f t="shared" si="15"/>
        <v>4</v>
      </c>
      <c r="L59" s="35">
        <f t="shared" si="15"/>
        <v>5</v>
      </c>
      <c r="M59" s="35">
        <f t="shared" si="15"/>
        <v>4</v>
      </c>
      <c r="N59" s="35">
        <f t="shared" si="15"/>
        <v>4</v>
      </c>
      <c r="O59" s="35">
        <f t="shared" si="15"/>
        <v>3</v>
      </c>
      <c r="P59" s="35">
        <f t="shared" si="15"/>
        <v>2</v>
      </c>
      <c r="Q59" s="35">
        <f t="shared" si="15"/>
        <v>3</v>
      </c>
      <c r="R59" s="35">
        <f t="shared" si="15"/>
        <v>3</v>
      </c>
      <c r="S59" s="35">
        <f t="shared" si="15"/>
        <v>4</v>
      </c>
      <c r="T59" s="35">
        <f t="shared" si="15"/>
        <v>3</v>
      </c>
      <c r="U59" s="35">
        <f t="shared" si="15"/>
        <v>4</v>
      </c>
      <c r="V59" s="35">
        <f t="shared" si="15"/>
        <v>4</v>
      </c>
      <c r="W59" s="35">
        <f t="shared" si="15"/>
        <v>3</v>
      </c>
      <c r="X59" s="35">
        <f t="shared" si="15"/>
        <v>3</v>
      </c>
      <c r="Y59" s="35">
        <f t="shared" si="15"/>
        <v>3</v>
      </c>
      <c r="Z59" s="35">
        <f t="shared" si="15"/>
        <v>3</v>
      </c>
      <c r="AA59" s="35">
        <f t="shared" si="15"/>
        <v>2</v>
      </c>
      <c r="AB59" s="35">
        <f t="shared" si="15"/>
        <v>2</v>
      </c>
      <c r="AC59" s="35">
        <f t="shared" si="15"/>
        <v>1</v>
      </c>
      <c r="AD59" s="35">
        <f t="shared" si="15"/>
        <v>1</v>
      </c>
      <c r="AE59" s="35">
        <f t="shared" si="15"/>
        <v>3</v>
      </c>
      <c r="AF59" s="35">
        <f t="shared" si="15"/>
        <v>3</v>
      </c>
      <c r="AG59" s="38">
        <f t="shared" si="15"/>
        <v>3</v>
      </c>
    </row>
    <row r="60" spans="1:41" ht="17.100000000000001" customHeight="1" thickBot="1">
      <c r="A60" s="673" t="s">
        <v>63</v>
      </c>
      <c r="B60" s="674"/>
      <c r="C60" s="46">
        <f t="shared" ref="C60:AG60" si="16">COUNTIF(C29:C54,$A$60)</f>
        <v>3</v>
      </c>
      <c r="D60" s="16">
        <f t="shared" si="16"/>
        <v>3</v>
      </c>
      <c r="E60" s="16">
        <f t="shared" si="16"/>
        <v>3</v>
      </c>
      <c r="F60" s="16">
        <f t="shared" si="16"/>
        <v>3</v>
      </c>
      <c r="G60" s="16">
        <f t="shared" si="16"/>
        <v>3</v>
      </c>
      <c r="H60" s="16">
        <f t="shared" si="16"/>
        <v>3</v>
      </c>
      <c r="I60" s="16">
        <f t="shared" si="16"/>
        <v>3</v>
      </c>
      <c r="J60" s="16">
        <f t="shared" si="16"/>
        <v>3</v>
      </c>
      <c r="K60" s="16">
        <f t="shared" si="16"/>
        <v>3</v>
      </c>
      <c r="L60" s="16">
        <f t="shared" si="16"/>
        <v>3</v>
      </c>
      <c r="M60" s="16">
        <f t="shared" si="16"/>
        <v>3</v>
      </c>
      <c r="N60" s="16">
        <f t="shared" si="16"/>
        <v>2</v>
      </c>
      <c r="O60" s="16">
        <f t="shared" si="16"/>
        <v>1</v>
      </c>
      <c r="P60" s="16">
        <f t="shared" si="16"/>
        <v>1</v>
      </c>
      <c r="Q60" s="16">
        <f t="shared" si="16"/>
        <v>2</v>
      </c>
      <c r="R60" s="16">
        <f t="shared" si="16"/>
        <v>3</v>
      </c>
      <c r="S60" s="16">
        <f t="shared" si="16"/>
        <v>3</v>
      </c>
      <c r="T60" s="16">
        <f t="shared" si="16"/>
        <v>3</v>
      </c>
      <c r="U60" s="16">
        <f t="shared" si="16"/>
        <v>2</v>
      </c>
      <c r="V60" s="16">
        <f t="shared" si="16"/>
        <v>2</v>
      </c>
      <c r="W60" s="16">
        <f t="shared" si="16"/>
        <v>1</v>
      </c>
      <c r="X60" s="16">
        <f t="shared" si="16"/>
        <v>1</v>
      </c>
      <c r="Y60" s="16">
        <f t="shared" si="16"/>
        <v>2</v>
      </c>
      <c r="Z60" s="16">
        <f t="shared" si="16"/>
        <v>2</v>
      </c>
      <c r="AA60" s="16">
        <f t="shared" si="16"/>
        <v>3</v>
      </c>
      <c r="AB60" s="16">
        <f t="shared" si="16"/>
        <v>3</v>
      </c>
      <c r="AC60" s="16">
        <f t="shared" si="16"/>
        <v>3</v>
      </c>
      <c r="AD60" s="16">
        <f t="shared" si="16"/>
        <v>2</v>
      </c>
      <c r="AE60" s="16">
        <f t="shared" si="16"/>
        <v>2</v>
      </c>
      <c r="AF60" s="16">
        <f t="shared" si="16"/>
        <v>2</v>
      </c>
      <c r="AG60" s="52">
        <f t="shared" si="16"/>
        <v>2</v>
      </c>
    </row>
    <row r="61" spans="1:41" ht="20.100000000000001" customHeight="1" thickBot="1"/>
    <row r="62" spans="1:41" ht="24.95" customHeight="1" thickBot="1">
      <c r="A62" s="581" t="s">
        <v>126</v>
      </c>
      <c r="B62" s="631"/>
      <c r="C62" s="631"/>
      <c r="D62" s="631"/>
      <c r="E62" s="631"/>
      <c r="F62" s="631"/>
      <c r="G62" s="631"/>
      <c r="H62" s="631"/>
      <c r="I62" s="631"/>
      <c r="J62" s="631"/>
      <c r="K62" s="631"/>
      <c r="L62" s="631"/>
      <c r="M62" s="631"/>
      <c r="N62" s="631"/>
      <c r="O62" s="631"/>
      <c r="P62" s="631"/>
      <c r="Q62" s="631"/>
      <c r="R62" s="631"/>
      <c r="S62" s="631"/>
      <c r="T62" s="631"/>
      <c r="U62" s="631"/>
      <c r="V62" s="631"/>
      <c r="W62" s="631"/>
      <c r="X62" s="631"/>
      <c r="Y62" s="631"/>
      <c r="Z62" s="631"/>
      <c r="AA62" s="631"/>
      <c r="AB62" s="631"/>
      <c r="AC62" s="631"/>
      <c r="AD62" s="631"/>
      <c r="AE62" s="631"/>
      <c r="AF62" s="631"/>
      <c r="AG62" s="632"/>
    </row>
    <row r="63" spans="1:41" ht="18.95" customHeight="1">
      <c r="A63" s="602" t="s">
        <v>127</v>
      </c>
      <c r="B63" s="582" t="s">
        <v>128</v>
      </c>
      <c r="C63" s="25" t="s">
        <v>23</v>
      </c>
      <c r="D63" s="8" t="s">
        <v>83</v>
      </c>
      <c r="E63" s="8" t="s">
        <v>83</v>
      </c>
      <c r="F63" s="8" t="s">
        <v>83</v>
      </c>
      <c r="G63" s="8" t="s">
        <v>83</v>
      </c>
      <c r="H63" s="29" t="s">
        <v>23</v>
      </c>
      <c r="I63" s="29" t="s">
        <v>23</v>
      </c>
      <c r="J63" s="7" t="s">
        <v>125</v>
      </c>
      <c r="K63" s="7" t="s">
        <v>125</v>
      </c>
      <c r="L63" s="7" t="s">
        <v>125</v>
      </c>
      <c r="M63" s="7" t="s">
        <v>125</v>
      </c>
      <c r="N63" s="29" t="s">
        <v>23</v>
      </c>
      <c r="O63" s="29" t="s">
        <v>23</v>
      </c>
      <c r="P63" s="8" t="s">
        <v>83</v>
      </c>
      <c r="Q63" s="8" t="s">
        <v>83</v>
      </c>
      <c r="R63" s="8" t="s">
        <v>83</v>
      </c>
      <c r="S63" s="8" t="s">
        <v>83</v>
      </c>
      <c r="T63" s="29" t="s">
        <v>23</v>
      </c>
      <c r="U63" s="29" t="s">
        <v>23</v>
      </c>
      <c r="V63" s="7" t="s">
        <v>125</v>
      </c>
      <c r="W63" s="7" t="s">
        <v>125</v>
      </c>
      <c r="X63" s="7" t="s">
        <v>125</v>
      </c>
      <c r="Y63" s="7" t="s">
        <v>125</v>
      </c>
      <c r="Z63" s="29" t="s">
        <v>23</v>
      </c>
      <c r="AA63" s="29" t="s">
        <v>23</v>
      </c>
      <c r="AB63" s="8" t="s">
        <v>83</v>
      </c>
      <c r="AC63" s="8" t="s">
        <v>83</v>
      </c>
      <c r="AD63" s="8" t="s">
        <v>83</v>
      </c>
      <c r="AE63" s="8" t="s">
        <v>83</v>
      </c>
      <c r="AF63" s="29" t="s">
        <v>23</v>
      </c>
      <c r="AG63" s="94" t="s">
        <v>23</v>
      </c>
      <c r="AI63" s="43">
        <f>VLOOKUP($B63,'FEB25'!$B:$AL,33,0)</f>
        <v>0</v>
      </c>
      <c r="AJ63" s="56">
        <f t="shared" ref="AJ63:AJ66" si="17">COUNTIF(C63:AG63,"UA")</f>
        <v>0</v>
      </c>
      <c r="AK63" s="17">
        <f t="shared" ref="AK63:AK66" si="18">AI63-AJ63</f>
        <v>0</v>
      </c>
      <c r="AL63" s="42"/>
      <c r="AM63" s="43">
        <f>'FEB25'!AL58</f>
        <v>23</v>
      </c>
      <c r="AN63" s="56">
        <f t="shared" ref="AN63:AN69" si="19">COUNTIF(C63:AG63,"U")</f>
        <v>0</v>
      </c>
      <c r="AO63" s="69">
        <f t="shared" ref="AO63:AO69" si="20">AM63-AN63</f>
        <v>23</v>
      </c>
    </row>
    <row r="64" spans="1:41" ht="18.95" customHeight="1">
      <c r="A64" s="602" t="s">
        <v>129</v>
      </c>
      <c r="B64" s="582" t="s">
        <v>130</v>
      </c>
      <c r="C64" s="8" t="s">
        <v>83</v>
      </c>
      <c r="D64" s="25" t="s">
        <v>23</v>
      </c>
      <c r="E64" s="29" t="s">
        <v>23</v>
      </c>
      <c r="F64" s="7" t="s">
        <v>125</v>
      </c>
      <c r="G64" s="7" t="s">
        <v>125</v>
      </c>
      <c r="H64" s="7" t="s">
        <v>125</v>
      </c>
      <c r="I64" s="7" t="s">
        <v>125</v>
      </c>
      <c r="J64" s="29" t="s">
        <v>23</v>
      </c>
      <c r="K64" s="29" t="s">
        <v>23</v>
      </c>
      <c r="L64" s="8" t="s">
        <v>83</v>
      </c>
      <c r="M64" s="8" t="s">
        <v>83</v>
      </c>
      <c r="N64" s="8" t="s">
        <v>83</v>
      </c>
      <c r="O64" s="8" t="s">
        <v>83</v>
      </c>
      <c r="P64" s="29" t="s">
        <v>23</v>
      </c>
      <c r="Q64" s="29" t="s">
        <v>23</v>
      </c>
      <c r="R64" s="7" t="s">
        <v>125</v>
      </c>
      <c r="S64" s="7" t="s">
        <v>125</v>
      </c>
      <c r="T64" s="7" t="s">
        <v>125</v>
      </c>
      <c r="U64" s="7" t="s">
        <v>125</v>
      </c>
      <c r="V64" s="29" t="s">
        <v>23</v>
      </c>
      <c r="W64" s="29" t="s">
        <v>23</v>
      </c>
      <c r="X64" s="8" t="s">
        <v>83</v>
      </c>
      <c r="Y64" s="8" t="s">
        <v>83</v>
      </c>
      <c r="Z64" s="8" t="s">
        <v>83</v>
      </c>
      <c r="AA64" s="8" t="s">
        <v>83</v>
      </c>
      <c r="AB64" s="29" t="s">
        <v>23</v>
      </c>
      <c r="AC64" s="29" t="s">
        <v>23</v>
      </c>
      <c r="AD64" s="7" t="s">
        <v>125</v>
      </c>
      <c r="AE64" s="7" t="s">
        <v>125</v>
      </c>
      <c r="AF64" s="7" t="s">
        <v>125</v>
      </c>
      <c r="AG64" s="91" t="s">
        <v>125</v>
      </c>
      <c r="AI64" s="62">
        <f>VLOOKUP($B64,'FEB25'!$B:$AL,33,0)</f>
        <v>0</v>
      </c>
      <c r="AJ64" s="49">
        <f t="shared" si="17"/>
        <v>0</v>
      </c>
      <c r="AK64" s="18">
        <f t="shared" si="18"/>
        <v>0</v>
      </c>
      <c r="AL64" s="42"/>
      <c r="AM64" s="62">
        <f>'FEB25'!AL59</f>
        <v>22</v>
      </c>
      <c r="AN64" s="49">
        <f t="shared" si="19"/>
        <v>0</v>
      </c>
      <c r="AO64" s="70">
        <f t="shared" si="20"/>
        <v>22</v>
      </c>
    </row>
    <row r="65" spans="1:41" ht="18.95" customHeight="1">
      <c r="A65" s="602" t="s">
        <v>121</v>
      </c>
      <c r="B65" s="582" t="s">
        <v>122</v>
      </c>
      <c r="C65" s="7" t="s">
        <v>125</v>
      </c>
      <c r="D65" s="7" t="s">
        <v>125</v>
      </c>
      <c r="E65" s="7" t="s">
        <v>125</v>
      </c>
      <c r="F65" s="25" t="s">
        <v>23</v>
      </c>
      <c r="G65" s="25" t="s">
        <v>23</v>
      </c>
      <c r="H65" s="8" t="s">
        <v>83</v>
      </c>
      <c r="I65" s="8" t="s">
        <v>83</v>
      </c>
      <c r="J65" s="8" t="s">
        <v>83</v>
      </c>
      <c r="K65" s="8" t="s">
        <v>83</v>
      </c>
      <c r="L65" s="25" t="s">
        <v>23</v>
      </c>
      <c r="M65" s="25" t="s">
        <v>23</v>
      </c>
      <c r="N65" s="7" t="s">
        <v>125</v>
      </c>
      <c r="O65" s="7" t="s">
        <v>125</v>
      </c>
      <c r="P65" s="7" t="s">
        <v>125</v>
      </c>
      <c r="Q65" s="7" t="s">
        <v>125</v>
      </c>
      <c r="R65" s="25" t="s">
        <v>23</v>
      </c>
      <c r="S65" s="25" t="s">
        <v>23</v>
      </c>
      <c r="T65" s="8" t="s">
        <v>83</v>
      </c>
      <c r="U65" s="8" t="s">
        <v>83</v>
      </c>
      <c r="V65" s="8" t="s">
        <v>83</v>
      </c>
      <c r="W65" s="8" t="s">
        <v>83</v>
      </c>
      <c r="X65" s="25" t="s">
        <v>23</v>
      </c>
      <c r="Y65" s="25" t="s">
        <v>23</v>
      </c>
      <c r="Z65" s="7" t="s">
        <v>125</v>
      </c>
      <c r="AA65" s="7" t="s">
        <v>125</v>
      </c>
      <c r="AB65" s="7" t="s">
        <v>125</v>
      </c>
      <c r="AC65" s="7" t="s">
        <v>125</v>
      </c>
      <c r="AD65" s="25" t="s">
        <v>23</v>
      </c>
      <c r="AE65" s="25" t="s">
        <v>23</v>
      </c>
      <c r="AF65" s="92" t="s">
        <v>34</v>
      </c>
      <c r="AG65" s="309" t="s">
        <v>171</v>
      </c>
      <c r="AI65" s="310">
        <f>VLOOKUP($B65,'FEB25'!$B:$AL,33,0)</f>
        <v>0</v>
      </c>
      <c r="AJ65" s="311">
        <v>0</v>
      </c>
      <c r="AK65" s="312">
        <v>0</v>
      </c>
      <c r="AL65" s="42"/>
      <c r="AM65" s="310">
        <v>22</v>
      </c>
      <c r="AN65" s="311">
        <f t="shared" ref="AN65" si="21">COUNTIF(C65:AG65,"U")</f>
        <v>1</v>
      </c>
      <c r="AO65" s="313">
        <f t="shared" ref="AO65" si="22">AM65-AN65</f>
        <v>21</v>
      </c>
    </row>
    <row r="66" spans="1:41" ht="18.95" customHeight="1">
      <c r="A66" s="602" t="s">
        <v>131</v>
      </c>
      <c r="B66" s="582" t="s">
        <v>132</v>
      </c>
      <c r="C66" s="108" t="s">
        <v>108</v>
      </c>
      <c r="D66" s="108" t="s">
        <v>108</v>
      </c>
      <c r="E66" s="108" t="s">
        <v>108</v>
      </c>
      <c r="F66" s="108" t="s">
        <v>108</v>
      </c>
      <c r="G66" s="108" t="s">
        <v>108</v>
      </c>
      <c r="H66" s="108" t="s">
        <v>108</v>
      </c>
      <c r="I66" s="108" t="s">
        <v>108</v>
      </c>
      <c r="J66" s="108" t="s">
        <v>108</v>
      </c>
      <c r="K66" s="108" t="s">
        <v>108</v>
      </c>
      <c r="L66" s="108" t="s">
        <v>108</v>
      </c>
      <c r="M66" s="108" t="s">
        <v>108</v>
      </c>
      <c r="N66" s="108" t="s">
        <v>108</v>
      </c>
      <c r="O66" s="108" t="s">
        <v>108</v>
      </c>
      <c r="P66" s="108" t="s">
        <v>108</v>
      </c>
      <c r="Q66" s="108" t="s">
        <v>108</v>
      </c>
      <c r="R66" s="108" t="s">
        <v>108</v>
      </c>
      <c r="S66" s="108" t="s">
        <v>108</v>
      </c>
      <c r="T66" s="108" t="s">
        <v>108</v>
      </c>
      <c r="U66" s="108" t="s">
        <v>108</v>
      </c>
      <c r="V66" s="108" t="s">
        <v>108</v>
      </c>
      <c r="W66" s="108" t="s">
        <v>108</v>
      </c>
      <c r="X66" s="108" t="s">
        <v>108</v>
      </c>
      <c r="Y66" s="108" t="s">
        <v>108</v>
      </c>
      <c r="Z66" s="108" t="s">
        <v>108</v>
      </c>
      <c r="AA66" s="108" t="s">
        <v>108</v>
      </c>
      <c r="AB66" s="108" t="s">
        <v>108</v>
      </c>
      <c r="AC66" s="108" t="s">
        <v>108</v>
      </c>
      <c r="AD66" s="108" t="s">
        <v>108</v>
      </c>
      <c r="AE66" s="108" t="s">
        <v>108</v>
      </c>
      <c r="AF66" s="108" t="s">
        <v>108</v>
      </c>
      <c r="AG66" s="692" t="s">
        <v>108</v>
      </c>
      <c r="AH66" s="693"/>
      <c r="AI66" s="320">
        <f>VLOOKUP($B66,'FEB25'!$B:$AL,33,0)</f>
        <v>0</v>
      </c>
      <c r="AJ66" s="169">
        <f t="shared" si="17"/>
        <v>0</v>
      </c>
      <c r="AK66" s="322">
        <f t="shared" si="18"/>
        <v>0</v>
      </c>
      <c r="AL66" s="694"/>
      <c r="AM66" s="320">
        <f>'FEB25'!AL60</f>
        <v>22</v>
      </c>
      <c r="AN66" s="169">
        <f t="shared" si="19"/>
        <v>0</v>
      </c>
      <c r="AO66" s="321">
        <f t="shared" si="20"/>
        <v>22</v>
      </c>
    </row>
    <row r="67" spans="1:41" ht="18.95" customHeight="1">
      <c r="A67" s="602" t="s">
        <v>137</v>
      </c>
      <c r="B67" s="582" t="s">
        <v>138</v>
      </c>
      <c r="C67" s="6" t="s">
        <v>22</v>
      </c>
      <c r="D67" s="200" t="s">
        <v>68</v>
      </c>
      <c r="E67" s="6" t="s">
        <v>22</v>
      </c>
      <c r="F67" s="25" t="s">
        <v>23</v>
      </c>
      <c r="G67" s="25" t="s">
        <v>23</v>
      </c>
      <c r="H67" s="111" t="s">
        <v>24</v>
      </c>
      <c r="I67" s="111" t="s">
        <v>24</v>
      </c>
      <c r="J67" s="111" t="s">
        <v>24</v>
      </c>
      <c r="K67" s="111" t="s">
        <v>24</v>
      </c>
      <c r="L67" s="25" t="s">
        <v>23</v>
      </c>
      <c r="M67" s="25" t="s">
        <v>23</v>
      </c>
      <c r="N67" s="6" t="s">
        <v>22</v>
      </c>
      <c r="O67" s="6" t="s">
        <v>22</v>
      </c>
      <c r="P67" s="6" t="s">
        <v>22</v>
      </c>
      <c r="Q67" s="6" t="s">
        <v>22</v>
      </c>
      <c r="R67" s="25" t="s">
        <v>23</v>
      </c>
      <c r="S67" s="25" t="s">
        <v>23</v>
      </c>
      <c r="T67" s="111" t="s">
        <v>24</v>
      </c>
      <c r="U67" s="111" t="s">
        <v>24</v>
      </c>
      <c r="V67" s="111" t="s">
        <v>24</v>
      </c>
      <c r="W67" s="111" t="s">
        <v>24</v>
      </c>
      <c r="X67" s="10" t="s">
        <v>83</v>
      </c>
      <c r="Y67" s="25" t="s">
        <v>23</v>
      </c>
      <c r="Z67" s="25" t="s">
        <v>23</v>
      </c>
      <c r="AA67" s="6" t="s">
        <v>22</v>
      </c>
      <c r="AB67" s="6" t="s">
        <v>22</v>
      </c>
      <c r="AC67" s="6" t="s">
        <v>22</v>
      </c>
      <c r="AD67" s="25" t="s">
        <v>23</v>
      </c>
      <c r="AE67" s="25" t="s">
        <v>23</v>
      </c>
      <c r="AF67" s="8" t="s">
        <v>83</v>
      </c>
      <c r="AG67" s="314" t="s">
        <v>24</v>
      </c>
      <c r="AI67" s="62">
        <f>VLOOKUP($B67,'FEB25'!$B:$AL,33,0)</f>
        <v>8</v>
      </c>
      <c r="AJ67" s="49">
        <f>COUNTIF(C67:AG67,"UA")</f>
        <v>0</v>
      </c>
      <c r="AK67" s="18">
        <f>AI67-AJ67</f>
        <v>8</v>
      </c>
      <c r="AL67" s="42"/>
      <c r="AM67" s="62">
        <f>'FEB25'!AL61</f>
        <v>22</v>
      </c>
      <c r="AN67" s="49">
        <f>COUNTIF(C67:AG67,"U")</f>
        <v>0</v>
      </c>
      <c r="AO67" s="70">
        <f>AM67-AN67</f>
        <v>22</v>
      </c>
    </row>
    <row r="68" spans="1:41" ht="18.95" customHeight="1">
      <c r="A68" s="602" t="s">
        <v>133</v>
      </c>
      <c r="B68" s="582" t="s">
        <v>134</v>
      </c>
      <c r="C68" s="25" t="s">
        <v>23</v>
      </c>
      <c r="D68" s="111" t="s">
        <v>24</v>
      </c>
      <c r="E68" s="111" t="s">
        <v>24</v>
      </c>
      <c r="F68" s="111" t="s">
        <v>24</v>
      </c>
      <c r="G68" s="111" t="s">
        <v>24</v>
      </c>
      <c r="H68" s="25" t="s">
        <v>23</v>
      </c>
      <c r="I68" s="25" t="s">
        <v>23</v>
      </c>
      <c r="J68" s="6" t="s">
        <v>22</v>
      </c>
      <c r="K68" s="6" t="s">
        <v>22</v>
      </c>
      <c r="L68" s="6" t="s">
        <v>22</v>
      </c>
      <c r="M68" s="6" t="s">
        <v>22</v>
      </c>
      <c r="N68" s="25" t="s">
        <v>23</v>
      </c>
      <c r="O68" s="25" t="s">
        <v>23</v>
      </c>
      <c r="P68" s="111" t="s">
        <v>24</v>
      </c>
      <c r="Q68" s="111" t="s">
        <v>24</v>
      </c>
      <c r="R68" s="92" t="s">
        <v>31</v>
      </c>
      <c r="S68" s="92" t="s">
        <v>31</v>
      </c>
      <c r="T68" s="25" t="s">
        <v>23</v>
      </c>
      <c r="U68" s="25" t="s">
        <v>23</v>
      </c>
      <c r="V68" s="92" t="s">
        <v>31</v>
      </c>
      <c r="W68" s="92" t="s">
        <v>31</v>
      </c>
      <c r="X68" s="92" t="s">
        <v>31</v>
      </c>
      <c r="Y68" s="92" t="s">
        <v>31</v>
      </c>
      <c r="Z68" s="25" t="s">
        <v>23</v>
      </c>
      <c r="AA68" s="25" t="s">
        <v>23</v>
      </c>
      <c r="AB68" s="92" t="s">
        <v>31</v>
      </c>
      <c r="AC68" s="92" t="s">
        <v>31</v>
      </c>
      <c r="AD68" s="92" t="s">
        <v>34</v>
      </c>
      <c r="AE68" s="92" t="s">
        <v>34</v>
      </c>
      <c r="AF68" s="25" t="s">
        <v>23</v>
      </c>
      <c r="AG68" s="132" t="s">
        <v>23</v>
      </c>
      <c r="AI68" s="62">
        <f>VLOOKUP($B68,'FEB25'!$B:$AL,33,0)</f>
        <v>8</v>
      </c>
      <c r="AJ68" s="49">
        <f>COUNTIF(C68:AG68,"UA")</f>
        <v>8</v>
      </c>
      <c r="AK68" s="18">
        <f>AI68-AJ68</f>
        <v>0</v>
      </c>
      <c r="AL68" s="42"/>
      <c r="AM68" s="62">
        <f>'FEB25'!AL62</f>
        <v>22</v>
      </c>
      <c r="AN68" s="49">
        <f>COUNTIF(C68:AG68,"U")</f>
        <v>2</v>
      </c>
      <c r="AO68" s="70">
        <f>AM68-AN68</f>
        <v>20</v>
      </c>
    </row>
    <row r="69" spans="1:41" ht="18.95" customHeight="1" thickBot="1">
      <c r="A69" s="680" t="s">
        <v>151</v>
      </c>
      <c r="B69" s="592" t="s">
        <v>152</v>
      </c>
      <c r="C69" s="15" t="s">
        <v>22</v>
      </c>
      <c r="D69" s="24" t="s">
        <v>23</v>
      </c>
      <c r="E69" s="24" t="s">
        <v>23</v>
      </c>
      <c r="F69" s="15" t="s">
        <v>22</v>
      </c>
      <c r="G69" s="15" t="s">
        <v>22</v>
      </c>
      <c r="H69" s="15" t="s">
        <v>22</v>
      </c>
      <c r="I69" s="15" t="s">
        <v>22</v>
      </c>
      <c r="J69" s="83" t="s">
        <v>23</v>
      </c>
      <c r="K69" s="83" t="s">
        <v>23</v>
      </c>
      <c r="L69" s="116" t="s">
        <v>24</v>
      </c>
      <c r="M69" s="116" t="s">
        <v>24</v>
      </c>
      <c r="N69" s="116" t="s">
        <v>24</v>
      </c>
      <c r="O69" s="116" t="s">
        <v>24</v>
      </c>
      <c r="P69" s="24" t="s">
        <v>23</v>
      </c>
      <c r="Q69" s="24" t="s">
        <v>23</v>
      </c>
      <c r="R69" s="15" t="s">
        <v>22</v>
      </c>
      <c r="S69" s="15" t="s">
        <v>22</v>
      </c>
      <c r="T69" s="15" t="s">
        <v>22</v>
      </c>
      <c r="U69" s="15" t="s">
        <v>22</v>
      </c>
      <c r="V69" s="24" t="s">
        <v>23</v>
      </c>
      <c r="W69" s="24" t="s">
        <v>23</v>
      </c>
      <c r="X69" s="116" t="s">
        <v>24</v>
      </c>
      <c r="Y69" s="116" t="s">
        <v>24</v>
      </c>
      <c r="Z69" s="116" t="s">
        <v>24</v>
      </c>
      <c r="AA69" s="116" t="s">
        <v>24</v>
      </c>
      <c r="AB69" s="24" t="s">
        <v>23</v>
      </c>
      <c r="AC69" s="24" t="s">
        <v>23</v>
      </c>
      <c r="AD69" s="15" t="s">
        <v>22</v>
      </c>
      <c r="AE69" s="15" t="s">
        <v>22</v>
      </c>
      <c r="AF69" s="15" t="s">
        <v>22</v>
      </c>
      <c r="AG69" s="305" t="s">
        <v>22</v>
      </c>
      <c r="AI69" s="67">
        <f>VLOOKUP($B69,'FEB25'!$B:$AL,33,0)</f>
        <v>0</v>
      </c>
      <c r="AJ69" s="64">
        <f>COUNTIF(C69:AG69,"UA")</f>
        <v>0</v>
      </c>
      <c r="AK69" s="68">
        <f>AI69-AJ69</f>
        <v>0</v>
      </c>
      <c r="AL69" s="42"/>
      <c r="AM69" s="67">
        <f>'FEB25'!AL63</f>
        <v>13</v>
      </c>
      <c r="AN69" s="64">
        <f t="shared" si="19"/>
        <v>0</v>
      </c>
      <c r="AO69" s="71">
        <f t="shared" si="20"/>
        <v>13</v>
      </c>
    </row>
    <row r="70" spans="1:41" ht="15.75" thickBot="1">
      <c r="A70" s="1"/>
      <c r="B70" s="1"/>
    </row>
    <row r="71" spans="1:41" ht="17.100000000000001" customHeight="1">
      <c r="A71" s="665" t="s">
        <v>125</v>
      </c>
      <c r="B71" s="666"/>
      <c r="C71" s="4">
        <f t="shared" ref="C71:AG71" si="23">COUNTIF(C54:C54,$A$71)+COUNTIF(C63:C66,$A$71)</f>
        <v>1</v>
      </c>
      <c r="D71" s="56">
        <f t="shared" si="23"/>
        <v>1</v>
      </c>
      <c r="E71" s="56">
        <f t="shared" si="23"/>
        <v>1</v>
      </c>
      <c r="F71" s="56">
        <f t="shared" si="23"/>
        <v>1</v>
      </c>
      <c r="G71" s="56">
        <f t="shared" si="23"/>
        <v>1</v>
      </c>
      <c r="H71" s="56">
        <f t="shared" si="23"/>
        <v>1</v>
      </c>
      <c r="I71" s="56">
        <f t="shared" si="23"/>
        <v>1</v>
      </c>
      <c r="J71" s="56">
        <f t="shared" si="23"/>
        <v>1</v>
      </c>
      <c r="K71" s="56">
        <f t="shared" si="23"/>
        <v>1</v>
      </c>
      <c r="L71" s="56">
        <f t="shared" si="23"/>
        <v>1</v>
      </c>
      <c r="M71" s="56">
        <f t="shared" si="23"/>
        <v>1</v>
      </c>
      <c r="N71" s="56">
        <f t="shared" si="23"/>
        <v>1</v>
      </c>
      <c r="O71" s="56">
        <f t="shared" si="23"/>
        <v>1</v>
      </c>
      <c r="P71" s="56">
        <f t="shared" si="23"/>
        <v>1</v>
      </c>
      <c r="Q71" s="56">
        <f t="shared" si="23"/>
        <v>1</v>
      </c>
      <c r="R71" s="56">
        <f t="shared" si="23"/>
        <v>1</v>
      </c>
      <c r="S71" s="56">
        <f t="shared" si="23"/>
        <v>1</v>
      </c>
      <c r="T71" s="56">
        <f t="shared" si="23"/>
        <v>1</v>
      </c>
      <c r="U71" s="56">
        <f t="shared" si="23"/>
        <v>1</v>
      </c>
      <c r="V71" s="56">
        <f t="shared" si="23"/>
        <v>1</v>
      </c>
      <c r="W71" s="56">
        <f t="shared" si="23"/>
        <v>1</v>
      </c>
      <c r="X71" s="56">
        <f t="shared" si="23"/>
        <v>1</v>
      </c>
      <c r="Y71" s="56">
        <f t="shared" si="23"/>
        <v>1</v>
      </c>
      <c r="Z71" s="56">
        <f t="shared" si="23"/>
        <v>1</v>
      </c>
      <c r="AA71" s="56">
        <f t="shared" si="23"/>
        <v>1</v>
      </c>
      <c r="AB71" s="56">
        <f t="shared" si="23"/>
        <v>1</v>
      </c>
      <c r="AC71" s="56">
        <f t="shared" si="23"/>
        <v>1</v>
      </c>
      <c r="AD71" s="56">
        <f t="shared" si="23"/>
        <v>1</v>
      </c>
      <c r="AE71" s="56">
        <f t="shared" si="23"/>
        <v>1</v>
      </c>
      <c r="AF71" s="56">
        <f t="shared" si="23"/>
        <v>1</v>
      </c>
      <c r="AG71" s="57">
        <f t="shared" si="23"/>
        <v>1</v>
      </c>
    </row>
    <row r="72" spans="1:41" ht="17.100000000000001" customHeight="1">
      <c r="A72" s="675" t="s">
        <v>142</v>
      </c>
      <c r="B72" s="613"/>
      <c r="C72" s="37">
        <f t="shared" ref="C72:AG72" si="24">COUNTIF(C67:C69,"P04/")+COUNTIF(C67:C69,"H04/")</f>
        <v>0</v>
      </c>
      <c r="D72" s="35">
        <f t="shared" si="24"/>
        <v>0</v>
      </c>
      <c r="E72" s="35">
        <f t="shared" si="24"/>
        <v>0</v>
      </c>
      <c r="F72" s="35">
        <f t="shared" si="24"/>
        <v>0</v>
      </c>
      <c r="G72" s="35">
        <f t="shared" si="24"/>
        <v>0</v>
      </c>
      <c r="H72" s="35">
        <f t="shared" si="24"/>
        <v>0</v>
      </c>
      <c r="I72" s="35">
        <f t="shared" si="24"/>
        <v>0</v>
      </c>
      <c r="J72" s="35">
        <f t="shared" si="24"/>
        <v>0</v>
      </c>
      <c r="K72" s="35">
        <f t="shared" si="24"/>
        <v>0</v>
      </c>
      <c r="L72" s="35">
        <f t="shared" si="24"/>
        <v>0</v>
      </c>
      <c r="M72" s="35">
        <f t="shared" si="24"/>
        <v>0</v>
      </c>
      <c r="N72" s="35">
        <f t="shared" si="24"/>
        <v>0</v>
      </c>
      <c r="O72" s="35">
        <f t="shared" si="24"/>
        <v>0</v>
      </c>
      <c r="P72" s="35">
        <f t="shared" si="24"/>
        <v>0</v>
      </c>
      <c r="Q72" s="35">
        <f t="shared" si="24"/>
        <v>0</v>
      </c>
      <c r="R72" s="35">
        <f t="shared" si="24"/>
        <v>0</v>
      </c>
      <c r="S72" s="35">
        <f t="shared" si="24"/>
        <v>0</v>
      </c>
      <c r="T72" s="35">
        <f t="shared" si="24"/>
        <v>0</v>
      </c>
      <c r="U72" s="35">
        <f t="shared" si="24"/>
        <v>0</v>
      </c>
      <c r="V72" s="35">
        <f t="shared" si="24"/>
        <v>0</v>
      </c>
      <c r="W72" s="35">
        <f t="shared" si="24"/>
        <v>0</v>
      </c>
      <c r="X72" s="35">
        <f t="shared" si="24"/>
        <v>0</v>
      </c>
      <c r="Y72" s="35">
        <f t="shared" si="24"/>
        <v>0</v>
      </c>
      <c r="Z72" s="35">
        <f t="shared" si="24"/>
        <v>0</v>
      </c>
      <c r="AA72" s="35">
        <f t="shared" si="24"/>
        <v>0</v>
      </c>
      <c r="AB72" s="35">
        <f t="shared" si="24"/>
        <v>0</v>
      </c>
      <c r="AC72" s="35">
        <f t="shared" si="24"/>
        <v>0</v>
      </c>
      <c r="AD72" s="35">
        <f t="shared" si="24"/>
        <v>0</v>
      </c>
      <c r="AE72" s="35">
        <f t="shared" si="24"/>
        <v>0</v>
      </c>
      <c r="AF72" s="35">
        <f t="shared" si="24"/>
        <v>0</v>
      </c>
      <c r="AG72" s="38">
        <f t="shared" si="24"/>
        <v>0</v>
      </c>
    </row>
    <row r="73" spans="1:41" ht="17.100000000000001" customHeight="1">
      <c r="A73" s="676" t="s">
        <v>136</v>
      </c>
      <c r="B73" s="677"/>
      <c r="C73" s="37">
        <f t="shared" ref="C73:AG73" si="25">COUNTIF(C67:C69,$A$73)</f>
        <v>0</v>
      </c>
      <c r="D73" s="35">
        <f t="shared" si="25"/>
        <v>0</v>
      </c>
      <c r="E73" s="35">
        <f t="shared" si="25"/>
        <v>0</v>
      </c>
      <c r="F73" s="35">
        <f t="shared" si="25"/>
        <v>0</v>
      </c>
      <c r="G73" s="35">
        <f t="shared" si="25"/>
        <v>0</v>
      </c>
      <c r="H73" s="35">
        <f t="shared" si="25"/>
        <v>0</v>
      </c>
      <c r="I73" s="35">
        <f t="shared" si="25"/>
        <v>0</v>
      </c>
      <c r="J73" s="35">
        <f t="shared" si="25"/>
        <v>0</v>
      </c>
      <c r="K73" s="35">
        <f t="shared" si="25"/>
        <v>0</v>
      </c>
      <c r="L73" s="35">
        <f t="shared" si="25"/>
        <v>0</v>
      </c>
      <c r="M73" s="35">
        <f t="shared" si="25"/>
        <v>0</v>
      </c>
      <c r="N73" s="35">
        <f t="shared" si="25"/>
        <v>0</v>
      </c>
      <c r="O73" s="35">
        <f t="shared" si="25"/>
        <v>0</v>
      </c>
      <c r="P73" s="35">
        <f t="shared" si="25"/>
        <v>0</v>
      </c>
      <c r="Q73" s="35">
        <f t="shared" si="25"/>
        <v>0</v>
      </c>
      <c r="R73" s="35">
        <f t="shared" si="25"/>
        <v>0</v>
      </c>
      <c r="S73" s="35">
        <f t="shared" si="25"/>
        <v>0</v>
      </c>
      <c r="T73" s="35">
        <f t="shared" si="25"/>
        <v>0</v>
      </c>
      <c r="U73" s="35">
        <f t="shared" si="25"/>
        <v>0</v>
      </c>
      <c r="V73" s="35">
        <f t="shared" si="25"/>
        <v>0</v>
      </c>
      <c r="W73" s="35">
        <f t="shared" si="25"/>
        <v>0</v>
      </c>
      <c r="X73" s="35">
        <f t="shared" si="25"/>
        <v>0</v>
      </c>
      <c r="Y73" s="35">
        <f t="shared" si="25"/>
        <v>0</v>
      </c>
      <c r="Z73" s="35">
        <f t="shared" si="25"/>
        <v>0</v>
      </c>
      <c r="AA73" s="35">
        <f t="shared" si="25"/>
        <v>0</v>
      </c>
      <c r="AB73" s="35">
        <f t="shared" si="25"/>
        <v>0</v>
      </c>
      <c r="AC73" s="35">
        <f t="shared" si="25"/>
        <v>0</v>
      </c>
      <c r="AD73" s="35">
        <f t="shared" si="25"/>
        <v>0</v>
      </c>
      <c r="AE73" s="35">
        <f t="shared" si="25"/>
        <v>0</v>
      </c>
      <c r="AF73" s="35">
        <f t="shared" si="25"/>
        <v>0</v>
      </c>
      <c r="AG73" s="38">
        <f t="shared" si="25"/>
        <v>0</v>
      </c>
    </row>
    <row r="74" spans="1:41" ht="17.100000000000001" customHeight="1" thickBot="1">
      <c r="A74" s="678" t="s">
        <v>83</v>
      </c>
      <c r="B74" s="679"/>
      <c r="C74" s="46">
        <f t="shared" ref="C74:AG74" si="26">COUNTIF(C54:C54,$A$74)+COUNTIF(C63:C66,$A$74)</f>
        <v>1</v>
      </c>
      <c r="D74" s="16">
        <f t="shared" si="26"/>
        <v>1</v>
      </c>
      <c r="E74" s="16">
        <f t="shared" si="26"/>
        <v>1</v>
      </c>
      <c r="F74" s="16">
        <f t="shared" si="26"/>
        <v>1</v>
      </c>
      <c r="G74" s="16">
        <f t="shared" si="26"/>
        <v>1</v>
      </c>
      <c r="H74" s="16">
        <f t="shared" si="26"/>
        <v>1</v>
      </c>
      <c r="I74" s="16">
        <f t="shared" si="26"/>
        <v>1</v>
      </c>
      <c r="J74" s="16">
        <f t="shared" si="26"/>
        <v>1</v>
      </c>
      <c r="K74" s="16">
        <f t="shared" si="26"/>
        <v>1</v>
      </c>
      <c r="L74" s="16">
        <f t="shared" si="26"/>
        <v>1</v>
      </c>
      <c r="M74" s="16">
        <f t="shared" si="26"/>
        <v>1</v>
      </c>
      <c r="N74" s="16">
        <f t="shared" si="26"/>
        <v>1</v>
      </c>
      <c r="O74" s="16">
        <f t="shared" si="26"/>
        <v>1</v>
      </c>
      <c r="P74" s="16">
        <f t="shared" si="26"/>
        <v>1</v>
      </c>
      <c r="Q74" s="16">
        <f t="shared" si="26"/>
        <v>1</v>
      </c>
      <c r="R74" s="16">
        <f t="shared" si="26"/>
        <v>1</v>
      </c>
      <c r="S74" s="16">
        <f t="shared" si="26"/>
        <v>1</v>
      </c>
      <c r="T74" s="16">
        <f t="shared" si="26"/>
        <v>1</v>
      </c>
      <c r="U74" s="16">
        <f t="shared" si="26"/>
        <v>1</v>
      </c>
      <c r="V74" s="16">
        <f t="shared" si="26"/>
        <v>1</v>
      </c>
      <c r="W74" s="16">
        <f t="shared" si="26"/>
        <v>1</v>
      </c>
      <c r="X74" s="16">
        <f t="shared" si="26"/>
        <v>1</v>
      </c>
      <c r="Y74" s="16">
        <f t="shared" si="26"/>
        <v>1</v>
      </c>
      <c r="Z74" s="16">
        <f t="shared" si="26"/>
        <v>1</v>
      </c>
      <c r="AA74" s="16">
        <f t="shared" si="26"/>
        <v>1</v>
      </c>
      <c r="AB74" s="16">
        <f t="shared" si="26"/>
        <v>1</v>
      </c>
      <c r="AC74" s="16">
        <f t="shared" si="26"/>
        <v>1</v>
      </c>
      <c r="AD74" s="16">
        <f t="shared" si="26"/>
        <v>1</v>
      </c>
      <c r="AE74" s="16">
        <f t="shared" si="26"/>
        <v>1</v>
      </c>
      <c r="AF74" s="16">
        <f t="shared" si="26"/>
        <v>0</v>
      </c>
      <c r="AG74" s="52">
        <f t="shared" si="26"/>
        <v>0</v>
      </c>
    </row>
    <row r="77" spans="1:41">
      <c r="B77" s="922"/>
      <c r="C77" s="922"/>
      <c r="D77" s="922"/>
      <c r="E77" s="922"/>
      <c r="F77" s="922"/>
      <c r="G77" s="922"/>
      <c r="H77" s="922"/>
      <c r="I77" s="922"/>
      <c r="J77" s="922"/>
      <c r="K77" s="922"/>
      <c r="L77" s="922"/>
      <c r="M77" s="922"/>
      <c r="N77" s="922"/>
      <c r="O77" s="922"/>
      <c r="P77" s="922"/>
      <c r="Q77" s="922"/>
      <c r="R77" s="922"/>
      <c r="S77" s="922"/>
      <c r="T77" s="922"/>
      <c r="U77" s="922"/>
      <c r="V77" s="922"/>
      <c r="W77" s="922"/>
      <c r="X77" s="922"/>
      <c r="Y77" s="922"/>
      <c r="Z77" s="922"/>
      <c r="AA77" s="922"/>
      <c r="AB77" s="922"/>
      <c r="AC77" s="922"/>
      <c r="AD77" s="922"/>
      <c r="AE77" s="922"/>
      <c r="AF77" s="922"/>
      <c r="AG77" s="922"/>
      <c r="AH77" s="922"/>
      <c r="AI77" s="922"/>
      <c r="AJ77" s="922"/>
      <c r="AK77" s="922"/>
      <c r="AL77" s="922"/>
      <c r="AM77" s="922"/>
      <c r="AN77" s="922"/>
      <c r="AO77" s="922"/>
    </row>
  </sheetData>
  <mergeCells count="6">
    <mergeCell ref="AN3:AN4"/>
    <mergeCell ref="AO3:AO4"/>
    <mergeCell ref="AI3:AI4"/>
    <mergeCell ref="AJ3:AJ4"/>
    <mergeCell ref="AK3:AK4"/>
    <mergeCell ref="AM3:AM4"/>
  </mergeCells>
  <conditionalFormatting sqref="C56:AG60">
    <cfRule type="cellIs" dxfId="41" priority="1" operator="equal">
      <formula>0</formula>
    </cfRule>
  </conditionalFormatting>
  <conditionalFormatting sqref="C60:AG60">
    <cfRule type="cellIs" dxfId="40" priority="2" operator="lessThan">
      <formula>1.5</formula>
    </cfRule>
    <cfRule type="cellIs" dxfId="39" priority="3" operator="lessThan">
      <formula>2.5</formula>
    </cfRule>
  </conditionalFormatting>
  <conditionalFormatting sqref="AK5:AK25 AK29:AK54 AK63:AK69">
    <cfRule type="cellIs" dxfId="38" priority="5" operator="equal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5E4F-52E4-4122-A2C5-CF0332D72621}">
  <dimension ref="A1:AN77"/>
  <sheetViews>
    <sheetView showGridLines="0" zoomScale="70" zoomScaleNormal="70" workbookViewId="0">
      <pane xSplit="2" ySplit="4" topLeftCell="P5" activePane="bottomRight" state="frozen"/>
      <selection pane="bottomRight" activeCell="C5" sqref="C5"/>
      <selection pane="bottomLeft" activeCell="C5" sqref="C5"/>
      <selection pane="topRight" activeCell="C5" sqref="C5"/>
    </sheetView>
  </sheetViews>
  <sheetFormatPr defaultColWidth="9.140625" defaultRowHeight="15"/>
  <cols>
    <col min="1" max="2" width="42.5703125" customWidth="1"/>
    <col min="10" max="10" width="9.28515625" customWidth="1"/>
  </cols>
  <sheetData>
    <row r="1" spans="1:40" ht="20.100000000000001" customHeight="1" thickBot="1">
      <c r="A1" s="940" t="s">
        <v>0</v>
      </c>
      <c r="B1" s="584" t="s">
        <v>0</v>
      </c>
      <c r="C1" s="702" t="s">
        <v>1</v>
      </c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  <c r="Y1" s="703"/>
      <c r="Z1" s="703"/>
      <c r="AA1" s="703"/>
      <c r="AB1" s="703"/>
      <c r="AC1" s="703"/>
      <c r="AD1" s="703"/>
      <c r="AE1" s="703"/>
      <c r="AF1" s="704"/>
    </row>
    <row r="2" spans="1:40" ht="30" customHeight="1" thickBot="1">
      <c r="A2" s="588" t="s">
        <v>2</v>
      </c>
      <c r="B2" s="552"/>
      <c r="C2" s="571" t="s">
        <v>172</v>
      </c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2"/>
      <c r="AB2" s="572"/>
      <c r="AC2" s="572"/>
      <c r="AD2" s="572"/>
      <c r="AE2" s="572"/>
      <c r="AF2" s="735"/>
      <c r="AH2" s="618" t="s">
        <v>4</v>
      </c>
      <c r="AI2" s="619"/>
      <c r="AJ2" s="620"/>
      <c r="AK2" s="1"/>
      <c r="AL2" s="618" t="s">
        <v>5</v>
      </c>
      <c r="AM2" s="619"/>
      <c r="AN2" s="620"/>
    </row>
    <row r="3" spans="1:40" ht="24.95" customHeight="1">
      <c r="A3" s="590" t="s">
        <v>0</v>
      </c>
      <c r="B3" s="464" t="s">
        <v>0</v>
      </c>
      <c r="C3" s="630" t="s">
        <v>12</v>
      </c>
      <c r="D3" s="630" t="s">
        <v>6</v>
      </c>
      <c r="E3" s="630" t="s">
        <v>7</v>
      </c>
      <c r="F3" s="630" t="s">
        <v>8</v>
      </c>
      <c r="G3" s="705" t="s">
        <v>9</v>
      </c>
      <c r="H3" s="705" t="s">
        <v>10</v>
      </c>
      <c r="I3" s="630" t="s">
        <v>11</v>
      </c>
      <c r="J3" s="630" t="s">
        <v>12</v>
      </c>
      <c r="K3" s="630" t="s">
        <v>6</v>
      </c>
      <c r="L3" s="630" t="s">
        <v>7</v>
      </c>
      <c r="M3" s="630" t="s">
        <v>8</v>
      </c>
      <c r="N3" s="705" t="s">
        <v>9</v>
      </c>
      <c r="O3" s="705" t="s">
        <v>10</v>
      </c>
      <c r="P3" s="630" t="s">
        <v>11</v>
      </c>
      <c r="Q3" s="630" t="s">
        <v>12</v>
      </c>
      <c r="R3" s="630" t="s">
        <v>6</v>
      </c>
      <c r="S3" s="630" t="s">
        <v>7</v>
      </c>
      <c r="T3" s="706" t="s">
        <v>8</v>
      </c>
      <c r="U3" s="705" t="s">
        <v>9</v>
      </c>
      <c r="V3" s="706" t="s">
        <v>10</v>
      </c>
      <c r="W3" s="630" t="s">
        <v>11</v>
      </c>
      <c r="X3" s="630" t="s">
        <v>12</v>
      </c>
      <c r="Y3" s="630" t="s">
        <v>6</v>
      </c>
      <c r="Z3" s="630" t="s">
        <v>7</v>
      </c>
      <c r="AA3" s="707" t="s">
        <v>8</v>
      </c>
      <c r="AB3" s="705" t="s">
        <v>9</v>
      </c>
      <c r="AC3" s="705" t="s">
        <v>10</v>
      </c>
      <c r="AD3" s="630" t="s">
        <v>11</v>
      </c>
      <c r="AE3" s="630" t="s">
        <v>12</v>
      </c>
      <c r="AF3" s="685" t="s">
        <v>6</v>
      </c>
      <c r="AH3" s="1401">
        <v>2024</v>
      </c>
      <c r="AI3" s="1403" t="s">
        <v>13</v>
      </c>
      <c r="AJ3" s="1399" t="s">
        <v>14</v>
      </c>
      <c r="AK3" s="1"/>
      <c r="AL3" s="1401">
        <v>2025</v>
      </c>
      <c r="AM3" s="1397" t="s">
        <v>13</v>
      </c>
      <c r="AN3" s="1399" t="s">
        <v>14</v>
      </c>
    </row>
    <row r="4" spans="1:40" ht="24.95" customHeight="1" thickBot="1">
      <c r="A4" s="591" t="s">
        <v>15</v>
      </c>
      <c r="B4" s="466" t="s">
        <v>16</v>
      </c>
      <c r="C4" s="630">
        <v>1</v>
      </c>
      <c r="D4" s="630">
        <v>2</v>
      </c>
      <c r="E4" s="630">
        <v>3</v>
      </c>
      <c r="F4" s="630">
        <v>4</v>
      </c>
      <c r="G4" s="705">
        <v>5</v>
      </c>
      <c r="H4" s="705">
        <v>6</v>
      </c>
      <c r="I4" s="630">
        <v>7</v>
      </c>
      <c r="J4" s="630">
        <v>8</v>
      </c>
      <c r="K4" s="630">
        <v>9</v>
      </c>
      <c r="L4" s="630">
        <v>10</v>
      </c>
      <c r="M4" s="630">
        <v>11</v>
      </c>
      <c r="N4" s="705">
        <v>12</v>
      </c>
      <c r="O4" s="705">
        <v>13</v>
      </c>
      <c r="P4" s="630">
        <v>14</v>
      </c>
      <c r="Q4" s="630">
        <v>15</v>
      </c>
      <c r="R4" s="630">
        <v>16</v>
      </c>
      <c r="S4" s="630">
        <v>17</v>
      </c>
      <c r="T4" s="706">
        <v>18</v>
      </c>
      <c r="U4" s="705">
        <v>19</v>
      </c>
      <c r="V4" s="706">
        <v>20</v>
      </c>
      <c r="W4" s="630">
        <v>21</v>
      </c>
      <c r="X4" s="630">
        <v>22</v>
      </c>
      <c r="Y4" s="630">
        <v>23</v>
      </c>
      <c r="Z4" s="630">
        <v>24</v>
      </c>
      <c r="AA4" s="706">
        <v>25</v>
      </c>
      <c r="AB4" s="705">
        <v>26</v>
      </c>
      <c r="AC4" s="705">
        <v>27</v>
      </c>
      <c r="AD4" s="630">
        <v>28</v>
      </c>
      <c r="AE4" s="630">
        <v>29</v>
      </c>
      <c r="AF4" s="685">
        <v>30</v>
      </c>
      <c r="AH4" s="1402"/>
      <c r="AI4" s="1404"/>
      <c r="AJ4" s="1400"/>
      <c r="AK4" s="1"/>
      <c r="AL4" s="1402"/>
      <c r="AM4" s="1398"/>
      <c r="AN4" s="1400"/>
    </row>
    <row r="5" spans="1:40" ht="19.5" customHeight="1">
      <c r="A5" s="718" t="s">
        <v>17</v>
      </c>
      <c r="B5" s="696" t="s">
        <v>18</v>
      </c>
      <c r="C5" s="158" t="s">
        <v>19</v>
      </c>
      <c r="D5" s="158" t="s">
        <v>19</v>
      </c>
      <c r="E5" s="158" t="s">
        <v>19</v>
      </c>
      <c r="F5" s="158" t="s">
        <v>19</v>
      </c>
      <c r="G5" s="158" t="s">
        <v>19</v>
      </c>
      <c r="H5" s="158" t="s">
        <v>19</v>
      </c>
      <c r="I5" s="158" t="s">
        <v>19</v>
      </c>
      <c r="J5" s="158" t="s">
        <v>19</v>
      </c>
      <c r="K5" s="158" t="s">
        <v>19</v>
      </c>
      <c r="L5" s="158" t="s">
        <v>19</v>
      </c>
      <c r="M5" s="158" t="s">
        <v>19</v>
      </c>
      <c r="N5" s="158" t="s">
        <v>19</v>
      </c>
      <c r="O5" s="158" t="s">
        <v>19</v>
      </c>
      <c r="P5" s="158" t="s">
        <v>19</v>
      </c>
      <c r="Q5" s="158" t="s">
        <v>19</v>
      </c>
      <c r="R5" s="158" t="s">
        <v>19</v>
      </c>
      <c r="S5" s="158" t="s">
        <v>19</v>
      </c>
      <c r="T5" s="158" t="s">
        <v>19</v>
      </c>
      <c r="U5" s="158" t="s">
        <v>19</v>
      </c>
      <c r="V5" s="158" t="s">
        <v>19</v>
      </c>
      <c r="W5" s="158" t="s">
        <v>19</v>
      </c>
      <c r="X5" s="158" t="s">
        <v>19</v>
      </c>
      <c r="Y5" s="158" t="s">
        <v>19</v>
      </c>
      <c r="Z5" s="158" t="s">
        <v>19</v>
      </c>
      <c r="AA5" s="158" t="s">
        <v>19</v>
      </c>
      <c r="AB5" s="158" t="s">
        <v>19</v>
      </c>
      <c r="AC5" s="158" t="s">
        <v>19</v>
      </c>
      <c r="AD5" s="158" t="s">
        <v>19</v>
      </c>
      <c r="AE5" s="158" t="s">
        <v>19</v>
      </c>
      <c r="AF5" s="136" t="s">
        <v>19</v>
      </c>
      <c r="AH5" s="217">
        <f>VLOOKUP($B5,'MAR25'!$B:$AO,36,0)</f>
        <v>3</v>
      </c>
      <c r="AI5" s="218">
        <f>COUNTIF(C5:AF5,"UA")</f>
        <v>0</v>
      </c>
      <c r="AJ5" s="219">
        <f>AH5-AI5</f>
        <v>3</v>
      </c>
      <c r="AK5" s="66"/>
      <c r="AL5" s="220">
        <f>VLOOKUP($B5,'MAR25'!$B:$AO,40,0)</f>
        <v>22</v>
      </c>
      <c r="AM5" s="218">
        <f>COUNTIF(C5:AF5,"U")</f>
        <v>0</v>
      </c>
      <c r="AN5" s="221">
        <f>AL5-AM5</f>
        <v>22</v>
      </c>
    </row>
    <row r="6" spans="1:40" ht="19.5" customHeight="1">
      <c r="A6" s="718" t="s">
        <v>20</v>
      </c>
      <c r="B6" s="696" t="s">
        <v>21</v>
      </c>
      <c r="C6" s="232" t="s">
        <v>22</v>
      </c>
      <c r="D6" s="270" t="s">
        <v>23</v>
      </c>
      <c r="E6" s="270" t="s">
        <v>23</v>
      </c>
      <c r="F6" s="266" t="s">
        <v>63</v>
      </c>
      <c r="G6" s="266" t="s">
        <v>63</v>
      </c>
      <c r="H6" s="266" t="s">
        <v>63</v>
      </c>
      <c r="I6" s="266" t="s">
        <v>63</v>
      </c>
      <c r="J6" s="270" t="s">
        <v>23</v>
      </c>
      <c r="K6" s="270" t="s">
        <v>23</v>
      </c>
      <c r="L6" s="264" t="s">
        <v>24</v>
      </c>
      <c r="M6" s="264" t="s">
        <v>24</v>
      </c>
      <c r="N6" s="264" t="s">
        <v>24</v>
      </c>
      <c r="O6" s="264" t="s">
        <v>24</v>
      </c>
      <c r="P6" s="270" t="s">
        <v>23</v>
      </c>
      <c r="Q6" s="270" t="s">
        <v>23</v>
      </c>
      <c r="R6" s="267" t="s">
        <v>39</v>
      </c>
      <c r="S6" s="267" t="s">
        <v>39</v>
      </c>
      <c r="T6" s="708" t="s">
        <v>30</v>
      </c>
      <c r="U6" s="267" t="s">
        <v>34</v>
      </c>
      <c r="V6" s="270" t="s">
        <v>23</v>
      </c>
      <c r="W6" s="270" t="s">
        <v>23</v>
      </c>
      <c r="X6" s="267" t="s">
        <v>39</v>
      </c>
      <c r="Y6" s="267" t="s">
        <v>34</v>
      </c>
      <c r="Z6" s="267" t="s">
        <v>34</v>
      </c>
      <c r="AA6" s="708" t="s">
        <v>30</v>
      </c>
      <c r="AB6" s="270" t="s">
        <v>23</v>
      </c>
      <c r="AC6" s="270" t="s">
        <v>23</v>
      </c>
      <c r="AD6" s="232" t="s">
        <v>22</v>
      </c>
      <c r="AE6" s="232" t="s">
        <v>22</v>
      </c>
      <c r="AF6" s="235" t="s">
        <v>22</v>
      </c>
      <c r="AH6" s="224">
        <f>VLOOKUP($B6,'MAR25'!$B:$AO,36,0)</f>
        <v>0</v>
      </c>
      <c r="AI6" s="225">
        <f>COUNTIF(C6:AF6,"UA")</f>
        <v>0</v>
      </c>
      <c r="AJ6" s="226">
        <f>AH6-AI6</f>
        <v>0</v>
      </c>
      <c r="AK6" s="66"/>
      <c r="AL6" s="227">
        <f>VLOOKUP($B6,'MAR25'!$B:$AO,40,0)</f>
        <v>19</v>
      </c>
      <c r="AM6" s="228">
        <f>COUNTIF(C6:AF6,"U")</f>
        <v>3</v>
      </c>
      <c r="AN6" s="229">
        <f>AL6-AM6</f>
        <v>16</v>
      </c>
    </row>
    <row r="7" spans="1:40" ht="18.75" customHeight="1">
      <c r="A7" s="602" t="s">
        <v>26</v>
      </c>
      <c r="B7" s="535" t="s">
        <v>27</v>
      </c>
      <c r="C7" s="232" t="s">
        <v>22</v>
      </c>
      <c r="D7" s="232" t="s">
        <v>22</v>
      </c>
      <c r="E7" s="232" t="s">
        <v>22</v>
      </c>
      <c r="F7" s="231" t="s">
        <v>23</v>
      </c>
      <c r="G7" s="231" t="s">
        <v>23</v>
      </c>
      <c r="H7" s="264" t="s">
        <v>24</v>
      </c>
      <c r="I7" s="264" t="s">
        <v>24</v>
      </c>
      <c r="J7" s="264" t="s">
        <v>24</v>
      </c>
      <c r="K7" s="264" t="s">
        <v>24</v>
      </c>
      <c r="L7" s="231" t="s">
        <v>23</v>
      </c>
      <c r="M7" s="231" t="s">
        <v>23</v>
      </c>
      <c r="N7" s="232" t="s">
        <v>22</v>
      </c>
      <c r="O7" s="232" t="s">
        <v>22</v>
      </c>
      <c r="P7" s="232" t="s">
        <v>22</v>
      </c>
      <c r="Q7" s="232" t="s">
        <v>22</v>
      </c>
      <c r="R7" s="231" t="s">
        <v>23</v>
      </c>
      <c r="S7" s="231" t="s">
        <v>23</v>
      </c>
      <c r="T7" s="708" t="s">
        <v>30</v>
      </c>
      <c r="U7" s="267" t="s">
        <v>34</v>
      </c>
      <c r="V7" s="708" t="s">
        <v>30</v>
      </c>
      <c r="W7" s="267" t="s">
        <v>34</v>
      </c>
      <c r="X7" s="231" t="s">
        <v>23</v>
      </c>
      <c r="Y7" s="231" t="s">
        <v>23</v>
      </c>
      <c r="Z7" s="232" t="s">
        <v>22</v>
      </c>
      <c r="AA7" s="232" t="s">
        <v>22</v>
      </c>
      <c r="AB7" s="232" t="s">
        <v>22</v>
      </c>
      <c r="AC7" s="232" t="s">
        <v>22</v>
      </c>
      <c r="AD7" s="231" t="s">
        <v>23</v>
      </c>
      <c r="AE7" s="231" t="s">
        <v>23</v>
      </c>
      <c r="AF7" s="265" t="s">
        <v>24</v>
      </c>
      <c r="AH7" s="224">
        <f>VLOOKUP($B7,'MAR25'!$B:$AO,36,0)</f>
        <v>0</v>
      </c>
      <c r="AI7" s="225">
        <f>COUNTIF(C7:AF7,"UA")</f>
        <v>0</v>
      </c>
      <c r="AJ7" s="226">
        <f>AH7-AI7</f>
        <v>0</v>
      </c>
      <c r="AK7" s="66"/>
      <c r="AL7" s="227">
        <f>VLOOKUP($B7,'MAR25'!$B:$AO,40,0)</f>
        <v>12</v>
      </c>
      <c r="AM7" s="225">
        <f>COUNTIF(C7:AF7,"U")</f>
        <v>2</v>
      </c>
      <c r="AN7" s="230">
        <f>AL7-AM7</f>
        <v>10</v>
      </c>
    </row>
    <row r="8" spans="1:40" ht="18.75" customHeight="1">
      <c r="A8" s="602" t="s">
        <v>28</v>
      </c>
      <c r="B8" s="535" t="s">
        <v>29</v>
      </c>
      <c r="C8" s="264" t="s">
        <v>24</v>
      </c>
      <c r="D8" s="231" t="s">
        <v>23</v>
      </c>
      <c r="E8" s="231" t="s">
        <v>23</v>
      </c>
      <c r="F8" s="232" t="s">
        <v>22</v>
      </c>
      <c r="G8" s="232" t="s">
        <v>22</v>
      </c>
      <c r="H8" s="232" t="s">
        <v>22</v>
      </c>
      <c r="I8" s="232" t="s">
        <v>22</v>
      </c>
      <c r="J8" s="231" t="s">
        <v>23</v>
      </c>
      <c r="K8" s="231" t="s">
        <v>23</v>
      </c>
      <c r="L8" s="264" t="s">
        <v>24</v>
      </c>
      <c r="M8" s="264" t="s">
        <v>24</v>
      </c>
      <c r="N8" s="264" t="s">
        <v>24</v>
      </c>
      <c r="O8" s="264" t="s">
        <v>24</v>
      </c>
      <c r="P8" s="231" t="s">
        <v>23</v>
      </c>
      <c r="Q8" s="231" t="s">
        <v>23</v>
      </c>
      <c r="R8" s="232" t="s">
        <v>22</v>
      </c>
      <c r="S8" s="232" t="s">
        <v>22</v>
      </c>
      <c r="T8" s="232" t="s">
        <v>22</v>
      </c>
      <c r="U8" s="232" t="s">
        <v>22</v>
      </c>
      <c r="V8" s="231" t="s">
        <v>23</v>
      </c>
      <c r="W8" s="231" t="s">
        <v>23</v>
      </c>
      <c r="X8" s="264" t="s">
        <v>24</v>
      </c>
      <c r="Y8" s="264" t="s">
        <v>24</v>
      </c>
      <c r="Z8" s="264" t="s">
        <v>24</v>
      </c>
      <c r="AA8" s="264" t="s">
        <v>24</v>
      </c>
      <c r="AB8" s="231" t="s">
        <v>23</v>
      </c>
      <c r="AC8" s="231" t="s">
        <v>23</v>
      </c>
      <c r="AD8" s="232" t="s">
        <v>22</v>
      </c>
      <c r="AE8" s="232" t="s">
        <v>22</v>
      </c>
      <c r="AF8" s="235" t="s">
        <v>22</v>
      </c>
      <c r="AH8" s="224">
        <f>VLOOKUP($B8,'MAR25'!$B:$AO,36,0)</f>
        <v>0</v>
      </c>
      <c r="AI8" s="225">
        <f t="shared" ref="AI8:AI9" si="0">COUNTIF(C8:AF8,"UA")</f>
        <v>0</v>
      </c>
      <c r="AJ8" s="226">
        <f t="shared" ref="AJ8:AJ9" si="1">AH8-AI8</f>
        <v>0</v>
      </c>
      <c r="AK8" s="66"/>
      <c r="AL8" s="227">
        <f>VLOOKUP($B8,'MAR25'!$B:$AO,40,0)</f>
        <v>23</v>
      </c>
      <c r="AM8" s="225">
        <f t="shared" ref="AM8:AM9" si="2">COUNTIF(C8:AF8,"U")</f>
        <v>0</v>
      </c>
      <c r="AN8" s="230">
        <f t="shared" ref="AN8:AN9" si="3">AL8-AM8</f>
        <v>23</v>
      </c>
    </row>
    <row r="9" spans="1:40" ht="18.75" customHeight="1">
      <c r="A9" s="602" t="s">
        <v>32</v>
      </c>
      <c r="B9" s="535" t="s">
        <v>33</v>
      </c>
      <c r="C9" s="231" t="s">
        <v>23</v>
      </c>
      <c r="D9" s="264" t="s">
        <v>24</v>
      </c>
      <c r="E9" s="264" t="s">
        <v>24</v>
      </c>
      <c r="F9" s="264" t="s">
        <v>24</v>
      </c>
      <c r="G9" s="264" t="s">
        <v>24</v>
      </c>
      <c r="H9" s="231" t="s">
        <v>23</v>
      </c>
      <c r="I9" s="231" t="s">
        <v>23</v>
      </c>
      <c r="J9" s="232" t="s">
        <v>22</v>
      </c>
      <c r="K9" s="232" t="s">
        <v>22</v>
      </c>
      <c r="L9" s="232" t="s">
        <v>22</v>
      </c>
      <c r="M9" s="232" t="s">
        <v>22</v>
      </c>
      <c r="N9" s="231" t="s">
        <v>23</v>
      </c>
      <c r="O9" s="231" t="s">
        <v>23</v>
      </c>
      <c r="P9" s="264" t="s">
        <v>24</v>
      </c>
      <c r="Q9" s="264" t="s">
        <v>24</v>
      </c>
      <c r="R9" s="264" t="s">
        <v>24</v>
      </c>
      <c r="S9" s="264" t="s">
        <v>24</v>
      </c>
      <c r="T9" s="231" t="s">
        <v>23</v>
      </c>
      <c r="U9" s="231" t="s">
        <v>23</v>
      </c>
      <c r="V9" s="709" t="s">
        <v>48</v>
      </c>
      <c r="W9" s="709" t="s">
        <v>48</v>
      </c>
      <c r="X9" s="709" t="s">
        <v>48</v>
      </c>
      <c r="Y9" s="709" t="s">
        <v>48</v>
      </c>
      <c r="Z9" s="231" t="s">
        <v>23</v>
      </c>
      <c r="AA9" s="231" t="s">
        <v>23</v>
      </c>
      <c r="AB9" s="266" t="s">
        <v>63</v>
      </c>
      <c r="AC9" s="266" t="s">
        <v>63</v>
      </c>
      <c r="AD9" s="266" t="s">
        <v>63</v>
      </c>
      <c r="AE9" s="266" t="s">
        <v>63</v>
      </c>
      <c r="AF9" s="234" t="s">
        <v>23</v>
      </c>
      <c r="AH9" s="224">
        <f>VLOOKUP($B9,'MAR25'!$B:$AO,36,0)</f>
        <v>0</v>
      </c>
      <c r="AI9" s="225">
        <f t="shared" si="0"/>
        <v>0</v>
      </c>
      <c r="AJ9" s="226">
        <f t="shared" si="1"/>
        <v>0</v>
      </c>
      <c r="AK9" s="66"/>
      <c r="AL9" s="227">
        <f>VLOOKUP($B9,'MAR25'!$B:$AO,40,0)</f>
        <v>11</v>
      </c>
      <c r="AM9" s="225">
        <f t="shared" si="2"/>
        <v>0</v>
      </c>
      <c r="AN9" s="230">
        <f t="shared" si="3"/>
        <v>11</v>
      </c>
    </row>
    <row r="10" spans="1:40" ht="18.75" customHeight="1">
      <c r="A10" s="602" t="s">
        <v>35</v>
      </c>
      <c r="B10" s="535" t="s">
        <v>36</v>
      </c>
      <c r="C10" s="267" t="s">
        <v>34</v>
      </c>
      <c r="D10" s="267" t="s">
        <v>34</v>
      </c>
      <c r="E10" s="267" t="s">
        <v>34</v>
      </c>
      <c r="F10" s="231" t="s">
        <v>23</v>
      </c>
      <c r="G10" s="231" t="s">
        <v>23</v>
      </c>
      <c r="H10" s="264" t="s">
        <v>24</v>
      </c>
      <c r="I10" s="264" t="s">
        <v>24</v>
      </c>
      <c r="J10" s="264" t="s">
        <v>24</v>
      </c>
      <c r="K10" s="264" t="s">
        <v>24</v>
      </c>
      <c r="L10" s="231" t="s">
        <v>23</v>
      </c>
      <c r="M10" s="231" t="s">
        <v>23</v>
      </c>
      <c r="N10" s="232" t="s">
        <v>22</v>
      </c>
      <c r="O10" s="232" t="s">
        <v>22</v>
      </c>
      <c r="P10" s="232" t="s">
        <v>22</v>
      </c>
      <c r="Q10" s="232" t="s">
        <v>22</v>
      </c>
      <c r="R10" s="231" t="s">
        <v>23</v>
      </c>
      <c r="S10" s="231" t="s">
        <v>23</v>
      </c>
      <c r="T10" s="264" t="s">
        <v>24</v>
      </c>
      <c r="U10" s="264" t="s">
        <v>24</v>
      </c>
      <c r="V10" s="264" t="s">
        <v>24</v>
      </c>
      <c r="W10" s="264" t="s">
        <v>24</v>
      </c>
      <c r="X10" s="231" t="s">
        <v>23</v>
      </c>
      <c r="Y10" s="231" t="s">
        <v>23</v>
      </c>
      <c r="Z10" s="232" t="s">
        <v>22</v>
      </c>
      <c r="AA10" s="232" t="s">
        <v>22</v>
      </c>
      <c r="AB10" s="232" t="s">
        <v>22</v>
      </c>
      <c r="AC10" s="232" t="s">
        <v>22</v>
      </c>
      <c r="AD10" s="231" t="s">
        <v>23</v>
      </c>
      <c r="AE10" s="231" t="s">
        <v>23</v>
      </c>
      <c r="AF10" s="265" t="s">
        <v>24</v>
      </c>
      <c r="AH10" s="224">
        <f>VLOOKUP($B10,'MAR25'!$B:$AO,36,0)</f>
        <v>0</v>
      </c>
      <c r="AI10" s="225">
        <f>COUNTIF(C10:AF10,"UA")</f>
        <v>0</v>
      </c>
      <c r="AJ10" s="226">
        <f>AH10-AI10</f>
        <v>0</v>
      </c>
      <c r="AK10" s="66"/>
      <c r="AL10" s="227">
        <f>VLOOKUP($B10,'MAR25'!$B:$AO,40,0)</f>
        <v>21</v>
      </c>
      <c r="AM10" s="225">
        <f>COUNTIF(C10:AF10,"U")</f>
        <v>3</v>
      </c>
      <c r="AN10" s="230">
        <f>AL10-AM10</f>
        <v>18</v>
      </c>
    </row>
    <row r="11" spans="1:40" ht="18.75" customHeight="1">
      <c r="A11" s="602" t="s">
        <v>37</v>
      </c>
      <c r="B11" s="535" t="s">
        <v>38</v>
      </c>
      <c r="C11" s="264" t="s">
        <v>24</v>
      </c>
      <c r="D11" s="231" t="s">
        <v>23</v>
      </c>
      <c r="E11" s="231" t="s">
        <v>23</v>
      </c>
      <c r="F11" s="232" t="s">
        <v>22</v>
      </c>
      <c r="G11" s="232" t="s">
        <v>22</v>
      </c>
      <c r="H11" s="232" t="s">
        <v>22</v>
      </c>
      <c r="I11" s="232" t="s">
        <v>22</v>
      </c>
      <c r="J11" s="231" t="s">
        <v>23</v>
      </c>
      <c r="K11" s="231" t="s">
        <v>23</v>
      </c>
      <c r="L11" s="267" t="s">
        <v>34</v>
      </c>
      <c r="M11" s="267" t="s">
        <v>34</v>
      </c>
      <c r="N11" s="267" t="s">
        <v>34</v>
      </c>
      <c r="O11" s="267" t="s">
        <v>34</v>
      </c>
      <c r="P11" s="231" t="s">
        <v>23</v>
      </c>
      <c r="Q11" s="231" t="s">
        <v>23</v>
      </c>
      <c r="R11" s="232" t="s">
        <v>22</v>
      </c>
      <c r="S11" s="232" t="s">
        <v>22</v>
      </c>
      <c r="T11" s="232" t="s">
        <v>22</v>
      </c>
      <c r="U11" s="232" t="s">
        <v>22</v>
      </c>
      <c r="V11" s="231" t="s">
        <v>23</v>
      </c>
      <c r="W11" s="231" t="s">
        <v>23</v>
      </c>
      <c r="X11" s="264" t="s">
        <v>24</v>
      </c>
      <c r="Y11" s="264" t="s">
        <v>24</v>
      </c>
      <c r="Z11" s="264" t="s">
        <v>24</v>
      </c>
      <c r="AA11" s="231" t="s">
        <v>23</v>
      </c>
      <c r="AB11" s="231" t="s">
        <v>23</v>
      </c>
      <c r="AC11" s="709" t="s">
        <v>48</v>
      </c>
      <c r="AD11" s="709" t="s">
        <v>48</v>
      </c>
      <c r="AE11" s="332" t="s">
        <v>68</v>
      </c>
      <c r="AF11" s="736" t="s">
        <v>48</v>
      </c>
      <c r="AH11" s="224">
        <f>VLOOKUP($B11,'MAR25'!$B:$AO,36,0)</f>
        <v>0</v>
      </c>
      <c r="AI11" s="225">
        <f>COUNTIF(C11:AF11,"UA")</f>
        <v>0</v>
      </c>
      <c r="AJ11" s="226">
        <f>AH11-AI11</f>
        <v>0</v>
      </c>
      <c r="AK11" s="66"/>
      <c r="AL11" s="227">
        <f>VLOOKUP($B11,'MAR25'!$B:$AO,40,0)</f>
        <v>22</v>
      </c>
      <c r="AM11" s="225">
        <f>COUNTIF(C11:AF11,"U")</f>
        <v>4</v>
      </c>
      <c r="AN11" s="230">
        <f>AL11-AM11</f>
        <v>18</v>
      </c>
    </row>
    <row r="12" spans="1:40" ht="20.25" customHeight="1" thickBot="1">
      <c r="A12" s="680" t="s">
        <v>43</v>
      </c>
      <c r="B12" s="550" t="s">
        <v>44</v>
      </c>
      <c r="C12" s="238" t="s">
        <v>23</v>
      </c>
      <c r="D12" s="280" t="s">
        <v>24</v>
      </c>
      <c r="E12" s="280" t="s">
        <v>24</v>
      </c>
      <c r="F12" s="280" t="s">
        <v>24</v>
      </c>
      <c r="G12" s="280" t="s">
        <v>24</v>
      </c>
      <c r="H12" s="238" t="s">
        <v>23</v>
      </c>
      <c r="I12" s="238" t="s">
        <v>23</v>
      </c>
      <c r="J12" s="223" t="s">
        <v>22</v>
      </c>
      <c r="K12" s="223" t="s">
        <v>22</v>
      </c>
      <c r="L12" s="223" t="s">
        <v>22</v>
      </c>
      <c r="M12" s="223" t="s">
        <v>22</v>
      </c>
      <c r="N12" s="238" t="s">
        <v>23</v>
      </c>
      <c r="O12" s="238" t="s">
        <v>23</v>
      </c>
      <c r="P12" s="280" t="s">
        <v>24</v>
      </c>
      <c r="Q12" s="280" t="s">
        <v>24</v>
      </c>
      <c r="R12" s="280" t="s">
        <v>24</v>
      </c>
      <c r="S12" s="280" t="s">
        <v>24</v>
      </c>
      <c r="T12" s="238" t="s">
        <v>23</v>
      </c>
      <c r="U12" s="238" t="s">
        <v>23</v>
      </c>
      <c r="V12" s="223" t="s">
        <v>22</v>
      </c>
      <c r="W12" s="223" t="s">
        <v>22</v>
      </c>
      <c r="X12" s="223" t="s">
        <v>22</v>
      </c>
      <c r="Y12" s="223" t="s">
        <v>22</v>
      </c>
      <c r="Z12" s="238" t="s">
        <v>23</v>
      </c>
      <c r="AA12" s="238" t="s">
        <v>23</v>
      </c>
      <c r="AB12" s="280" t="s">
        <v>24</v>
      </c>
      <c r="AC12" s="280" t="s">
        <v>24</v>
      </c>
      <c r="AD12" s="280" t="s">
        <v>24</v>
      </c>
      <c r="AE12" s="280" t="s">
        <v>24</v>
      </c>
      <c r="AF12" s="239" t="s">
        <v>23</v>
      </c>
      <c r="AH12" s="240">
        <f>VLOOKUP($B12,'MAR25'!$B:$AO,36,0)</f>
        <v>0</v>
      </c>
      <c r="AI12" s="283">
        <f>COUNTIF(C12:AF12,"UA")</f>
        <v>0</v>
      </c>
      <c r="AJ12" s="287">
        <f>AH12-AI12</f>
        <v>0</v>
      </c>
      <c r="AK12" s="66"/>
      <c r="AL12" s="241">
        <f>VLOOKUP($B12,'MAR25'!$B:$AO,40,0)</f>
        <v>17</v>
      </c>
      <c r="AM12" s="283">
        <f>COUNTIF(C12:AF12,"U")</f>
        <v>0</v>
      </c>
      <c r="AN12" s="288">
        <f>AL12-AM12</f>
        <v>17</v>
      </c>
    </row>
    <row r="13" spans="1:40" ht="20.100000000000001" customHeight="1" thickBot="1">
      <c r="A13" s="242"/>
      <c r="B13" s="242"/>
      <c r="C13" s="243"/>
      <c r="D13" s="244"/>
      <c r="E13" s="244"/>
      <c r="F13" s="244"/>
      <c r="G13" s="244"/>
      <c r="H13" s="243"/>
      <c r="I13" s="243"/>
      <c r="J13" s="245"/>
      <c r="K13" s="245"/>
      <c r="L13" s="245"/>
      <c r="M13" s="245"/>
      <c r="N13" s="243"/>
      <c r="O13" s="243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3"/>
      <c r="AH13" s="246"/>
      <c r="AI13" s="247"/>
      <c r="AJ13" s="248"/>
      <c r="AK13" s="66"/>
      <c r="AL13" s="247"/>
      <c r="AM13" s="247"/>
      <c r="AN13" s="247"/>
    </row>
    <row r="14" spans="1:40" ht="24.95" customHeight="1" thickBot="1">
      <c r="A14" s="581" t="s">
        <v>154</v>
      </c>
      <c r="B14" s="514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650"/>
      <c r="AE14" s="650"/>
      <c r="AF14" s="651"/>
      <c r="AH14" s="246"/>
      <c r="AI14" s="247"/>
      <c r="AJ14" s="248"/>
      <c r="AK14" s="66"/>
      <c r="AL14" s="247"/>
      <c r="AM14" s="247"/>
      <c r="AN14" s="247"/>
    </row>
    <row r="15" spans="1:40" ht="20.25" customHeight="1">
      <c r="A15" s="566" t="s">
        <v>155</v>
      </c>
      <c r="B15" s="535" t="s">
        <v>156</v>
      </c>
      <c r="C15" s="270" t="s">
        <v>23</v>
      </c>
      <c r="D15" s="231" t="s">
        <v>23</v>
      </c>
      <c r="E15" s="264" t="s">
        <v>24</v>
      </c>
      <c r="F15" s="264" t="s">
        <v>24</v>
      </c>
      <c r="G15" s="264" t="s">
        <v>24</v>
      </c>
      <c r="H15" s="264" t="s">
        <v>24</v>
      </c>
      <c r="I15" s="270" t="s">
        <v>23</v>
      </c>
      <c r="J15" s="231" t="s">
        <v>23</v>
      </c>
      <c r="K15" s="710" t="s">
        <v>34</v>
      </c>
      <c r="L15" s="710" t="s">
        <v>34</v>
      </c>
      <c r="M15" s="710" t="s">
        <v>34</v>
      </c>
      <c r="N15" s="710" t="s">
        <v>34</v>
      </c>
      <c r="O15" s="711" t="s">
        <v>23</v>
      </c>
      <c r="P15" s="711" t="s">
        <v>23</v>
      </c>
      <c r="Q15" s="264" t="s">
        <v>24</v>
      </c>
      <c r="R15" s="264" t="s">
        <v>24</v>
      </c>
      <c r="S15" s="710" t="s">
        <v>34</v>
      </c>
      <c r="T15" s="710" t="s">
        <v>30</v>
      </c>
      <c r="U15" s="711" t="s">
        <v>23</v>
      </c>
      <c r="V15" s="711" t="s">
        <v>23</v>
      </c>
      <c r="W15" s="232" t="s">
        <v>22</v>
      </c>
      <c r="X15" s="232" t="s">
        <v>22</v>
      </c>
      <c r="Y15" s="232" t="s">
        <v>22</v>
      </c>
      <c r="Z15" s="232" t="s">
        <v>22</v>
      </c>
      <c r="AA15" s="712" t="s">
        <v>23</v>
      </c>
      <c r="AB15" s="712" t="s">
        <v>23</v>
      </c>
      <c r="AC15" s="264" t="s">
        <v>24</v>
      </c>
      <c r="AD15" s="332" t="s">
        <v>170</v>
      </c>
      <c r="AE15" s="264" t="s">
        <v>24</v>
      </c>
      <c r="AF15" s="265" t="s">
        <v>24</v>
      </c>
      <c r="AG15" s="249"/>
      <c r="AH15" s="333">
        <f>VLOOKUP($B15,'MAR25'!$B:$AO,36,0)</f>
        <v>0</v>
      </c>
      <c r="AI15" s="171">
        <f t="shared" ref="AI15:AI19" si="4">COUNTIF(C15:AF15,"UA")</f>
        <v>0</v>
      </c>
      <c r="AJ15" s="172">
        <f t="shared" ref="AJ15:AJ19" si="5">AH15-AI15</f>
        <v>0</v>
      </c>
      <c r="AK15" s="251"/>
      <c r="AL15" s="746">
        <f>VLOOKUP($B15,'MAR25'!$B:$AO,40,0)</f>
        <v>22</v>
      </c>
      <c r="AM15" s="171">
        <f t="shared" ref="AM15:AM19" si="6">COUNTIF(C15:AF15,"U")</f>
        <v>5</v>
      </c>
      <c r="AN15" s="190">
        <f t="shared" ref="AN15:AN19" si="7">AL15-AM15</f>
        <v>17</v>
      </c>
    </row>
    <row r="16" spans="1:40" ht="20.25" customHeight="1">
      <c r="A16" s="568" t="s">
        <v>157</v>
      </c>
      <c r="B16" s="535" t="s">
        <v>158</v>
      </c>
      <c r="C16" s="264" t="s">
        <v>24</v>
      </c>
      <c r="D16" s="264" t="s">
        <v>24</v>
      </c>
      <c r="E16" s="711" t="s">
        <v>23</v>
      </c>
      <c r="F16" s="711" t="s">
        <v>23</v>
      </c>
      <c r="G16" s="232" t="s">
        <v>22</v>
      </c>
      <c r="H16" s="232" t="s">
        <v>22</v>
      </c>
      <c r="I16" s="232" t="s">
        <v>22</v>
      </c>
      <c r="J16" s="232" t="s">
        <v>22</v>
      </c>
      <c r="K16" s="711" t="s">
        <v>23</v>
      </c>
      <c r="L16" s="711" t="s">
        <v>23</v>
      </c>
      <c r="M16" s="264" t="s">
        <v>24</v>
      </c>
      <c r="N16" s="264" t="s">
        <v>24</v>
      </c>
      <c r="O16" s="264" t="s">
        <v>24</v>
      </c>
      <c r="P16" s="264" t="s">
        <v>24</v>
      </c>
      <c r="Q16" s="711" t="s">
        <v>23</v>
      </c>
      <c r="R16" s="711" t="s">
        <v>23</v>
      </c>
      <c r="S16" s="331" t="s">
        <v>173</v>
      </c>
      <c r="T16" s="331" t="s">
        <v>173</v>
      </c>
      <c r="U16" s="713" t="s">
        <v>147</v>
      </c>
      <c r="V16" s="232" t="s">
        <v>22</v>
      </c>
      <c r="W16" s="712" t="s">
        <v>23</v>
      </c>
      <c r="X16" s="712" t="s">
        <v>23</v>
      </c>
      <c r="Y16" s="264" t="s">
        <v>24</v>
      </c>
      <c r="Z16" s="264" t="s">
        <v>24</v>
      </c>
      <c r="AA16" s="264" t="s">
        <v>24</v>
      </c>
      <c r="AB16" s="264" t="s">
        <v>24</v>
      </c>
      <c r="AC16" s="712" t="s">
        <v>23</v>
      </c>
      <c r="AD16" s="712" t="s">
        <v>23</v>
      </c>
      <c r="AE16" s="232" t="s">
        <v>22</v>
      </c>
      <c r="AF16" s="235" t="s">
        <v>22</v>
      </c>
      <c r="AG16" s="249"/>
      <c r="AH16" s="334">
        <f>VLOOKUP($B16,'MAR25'!$B:$AO,36,0)</f>
        <v>0</v>
      </c>
      <c r="AI16" s="169">
        <f t="shared" si="4"/>
        <v>0</v>
      </c>
      <c r="AJ16" s="174">
        <f t="shared" si="5"/>
        <v>0</v>
      </c>
      <c r="AK16" s="251"/>
      <c r="AL16" s="747">
        <f>VLOOKUP($B16,'MAR25'!$B:$AO,40,0)</f>
        <v>22</v>
      </c>
      <c r="AM16" s="169">
        <f t="shared" si="6"/>
        <v>0</v>
      </c>
      <c r="AN16" s="192">
        <f t="shared" si="7"/>
        <v>22</v>
      </c>
    </row>
    <row r="17" spans="1:40" ht="20.25" customHeight="1">
      <c r="A17" s="568" t="s">
        <v>159</v>
      </c>
      <c r="B17" s="535" t="s">
        <v>160</v>
      </c>
      <c r="C17" s="270" t="s">
        <v>23</v>
      </c>
      <c r="D17" s="270" t="s">
        <v>23</v>
      </c>
      <c r="E17" s="232" t="s">
        <v>22</v>
      </c>
      <c r="F17" s="232" t="s">
        <v>22</v>
      </c>
      <c r="G17" s="232" t="s">
        <v>22</v>
      </c>
      <c r="H17" s="232" t="s">
        <v>22</v>
      </c>
      <c r="I17" s="711" t="s">
        <v>23</v>
      </c>
      <c r="J17" s="711" t="s">
        <v>23</v>
      </c>
      <c r="K17" s="264" t="s">
        <v>24</v>
      </c>
      <c r="L17" s="264" t="s">
        <v>24</v>
      </c>
      <c r="M17" s="264" t="s">
        <v>24</v>
      </c>
      <c r="N17" s="264" t="s">
        <v>24</v>
      </c>
      <c r="O17" s="711" t="s">
        <v>23</v>
      </c>
      <c r="P17" s="711" t="s">
        <v>23</v>
      </c>
      <c r="Q17" s="232" t="s">
        <v>22</v>
      </c>
      <c r="R17" s="232" t="s">
        <v>22</v>
      </c>
      <c r="S17" s="232" t="s">
        <v>22</v>
      </c>
      <c r="T17" s="232" t="s">
        <v>22</v>
      </c>
      <c r="U17" s="711" t="s">
        <v>23</v>
      </c>
      <c r="V17" s="711" t="s">
        <v>23</v>
      </c>
      <c r="W17" s="714" t="s">
        <v>144</v>
      </c>
      <c r="X17" s="714" t="s">
        <v>144</v>
      </c>
      <c r="Y17" s="714" t="s">
        <v>144</v>
      </c>
      <c r="Z17" s="714" t="s">
        <v>42</v>
      </c>
      <c r="AA17" s="232" t="s">
        <v>22</v>
      </c>
      <c r="AB17" s="712" t="s">
        <v>23</v>
      </c>
      <c r="AC17" s="712" t="s">
        <v>23</v>
      </c>
      <c r="AD17" s="232" t="s">
        <v>22</v>
      </c>
      <c r="AE17" s="232" t="s">
        <v>22</v>
      </c>
      <c r="AF17" s="235" t="s">
        <v>22</v>
      </c>
      <c r="AG17" s="249"/>
      <c r="AH17" s="334">
        <f>VLOOKUP($B17,'MAR25'!$B:$AO,36,0)</f>
        <v>0</v>
      </c>
      <c r="AI17" s="169">
        <f t="shared" si="4"/>
        <v>0</v>
      </c>
      <c r="AJ17" s="174">
        <f t="shared" si="5"/>
        <v>0</v>
      </c>
      <c r="AK17" s="251"/>
      <c r="AL17" s="747">
        <f>VLOOKUP($B17,'MAR25'!$B:$AO,40,0)</f>
        <v>22</v>
      </c>
      <c r="AM17" s="169">
        <f t="shared" si="6"/>
        <v>0</v>
      </c>
      <c r="AN17" s="192">
        <f t="shared" si="7"/>
        <v>22</v>
      </c>
    </row>
    <row r="18" spans="1:40" ht="20.25" customHeight="1">
      <c r="A18" s="568" t="s">
        <v>161</v>
      </c>
      <c r="B18" s="535" t="s">
        <v>162</v>
      </c>
      <c r="C18" s="710" t="s">
        <v>23</v>
      </c>
      <c r="D18" s="710" t="s">
        <v>31</v>
      </c>
      <c r="E18" s="710" t="s">
        <v>31</v>
      </c>
      <c r="F18" s="332" t="s">
        <v>68</v>
      </c>
      <c r="G18" s="264" t="s">
        <v>24</v>
      </c>
      <c r="H18" s="231" t="s">
        <v>23</v>
      </c>
      <c r="I18" s="711" t="s">
        <v>23</v>
      </c>
      <c r="J18" s="232" t="s">
        <v>22</v>
      </c>
      <c r="K18" s="232" t="s">
        <v>22</v>
      </c>
      <c r="L18" s="232" t="s">
        <v>22</v>
      </c>
      <c r="M18" s="232" t="s">
        <v>22</v>
      </c>
      <c r="N18" s="711" t="s">
        <v>23</v>
      </c>
      <c r="O18" s="711" t="s">
        <v>23</v>
      </c>
      <c r="P18" s="332" t="s">
        <v>68</v>
      </c>
      <c r="Q18" s="714" t="s">
        <v>42</v>
      </c>
      <c r="R18" s="714" t="s">
        <v>147</v>
      </c>
      <c r="S18" s="714" t="s">
        <v>42</v>
      </c>
      <c r="T18" s="714" t="s">
        <v>42</v>
      </c>
      <c r="U18" s="711" t="s">
        <v>23</v>
      </c>
      <c r="V18" s="711" t="s">
        <v>23</v>
      </c>
      <c r="W18" s="264" t="s">
        <v>24</v>
      </c>
      <c r="X18" s="264" t="s">
        <v>24</v>
      </c>
      <c r="Y18" s="264" t="s">
        <v>24</v>
      </c>
      <c r="Z18" s="712" t="s">
        <v>23</v>
      </c>
      <c r="AA18" s="712" t="s">
        <v>23</v>
      </c>
      <c r="AB18" s="232" t="s">
        <v>147</v>
      </c>
      <c r="AC18" s="232" t="s">
        <v>22</v>
      </c>
      <c r="AD18" s="264" t="s">
        <v>24</v>
      </c>
      <c r="AE18" s="712" t="s">
        <v>23</v>
      </c>
      <c r="AF18" s="737" t="s">
        <v>23</v>
      </c>
      <c r="AG18" s="255"/>
      <c r="AH18" s="334">
        <f>VLOOKUP($B18,'MAR25'!$B:$AO,36,0)</f>
        <v>2</v>
      </c>
      <c r="AI18" s="169">
        <f t="shared" si="4"/>
        <v>2</v>
      </c>
      <c r="AJ18" s="174">
        <f t="shared" si="5"/>
        <v>0</v>
      </c>
      <c r="AK18" s="251"/>
      <c r="AL18" s="747">
        <f>VLOOKUP($B18,'MAR25'!$B:$AO,40,0)</f>
        <v>23</v>
      </c>
      <c r="AM18" s="169">
        <f t="shared" si="6"/>
        <v>0</v>
      </c>
      <c r="AN18" s="192">
        <f t="shared" si="7"/>
        <v>23</v>
      </c>
    </row>
    <row r="19" spans="1:40" ht="20.25" customHeight="1" thickBot="1">
      <c r="A19" s="687" t="s">
        <v>163</v>
      </c>
      <c r="B19" s="550" t="s">
        <v>164</v>
      </c>
      <c r="C19" s="223" t="s">
        <v>22</v>
      </c>
      <c r="D19" s="223" t="s">
        <v>22</v>
      </c>
      <c r="E19" s="238" t="s">
        <v>23</v>
      </c>
      <c r="F19" s="238" t="s">
        <v>23</v>
      </c>
      <c r="G19" s="223" t="s">
        <v>22</v>
      </c>
      <c r="H19" s="223" t="s">
        <v>22</v>
      </c>
      <c r="I19" s="223" t="s">
        <v>22</v>
      </c>
      <c r="J19" s="223" t="s">
        <v>22</v>
      </c>
      <c r="K19" s="297" t="s">
        <v>23</v>
      </c>
      <c r="L19" s="238" t="s">
        <v>23</v>
      </c>
      <c r="M19" s="223" t="s">
        <v>22</v>
      </c>
      <c r="N19" s="223" t="s">
        <v>22</v>
      </c>
      <c r="O19" s="223" t="s">
        <v>22</v>
      </c>
      <c r="P19" s="223" t="s">
        <v>22</v>
      </c>
      <c r="Q19" s="738" t="s">
        <v>23</v>
      </c>
      <c r="R19" s="738" t="s">
        <v>23</v>
      </c>
      <c r="S19" s="280" t="s">
        <v>24</v>
      </c>
      <c r="T19" s="280" t="s">
        <v>24</v>
      </c>
      <c r="U19" s="280" t="s">
        <v>24</v>
      </c>
      <c r="V19" s="280" t="s">
        <v>24</v>
      </c>
      <c r="W19" s="738" t="s">
        <v>23</v>
      </c>
      <c r="X19" s="738" t="s">
        <v>23</v>
      </c>
      <c r="Y19" s="223" t="s">
        <v>22</v>
      </c>
      <c r="Z19" s="223" t="s">
        <v>22</v>
      </c>
      <c r="AA19" s="739" t="s">
        <v>30</v>
      </c>
      <c r="AB19" s="223" t="s">
        <v>22</v>
      </c>
      <c r="AC19" s="740" t="s">
        <v>23</v>
      </c>
      <c r="AD19" s="740" t="s">
        <v>23</v>
      </c>
      <c r="AE19" s="223" t="s">
        <v>22</v>
      </c>
      <c r="AF19" s="222" t="s">
        <v>22</v>
      </c>
      <c r="AG19" s="249"/>
      <c r="AH19" s="335">
        <f>VLOOKUP($B19,'MAR25'!$B:$AO,36,0)</f>
        <v>0</v>
      </c>
      <c r="AI19" s="176">
        <f t="shared" si="4"/>
        <v>0</v>
      </c>
      <c r="AJ19" s="177">
        <f t="shared" si="5"/>
        <v>0</v>
      </c>
      <c r="AK19" s="251"/>
      <c r="AL19" s="193">
        <f>VLOOKUP($B19,'MAR25'!$B:$AO,40,0)</f>
        <v>23</v>
      </c>
      <c r="AM19" s="176">
        <f t="shared" si="6"/>
        <v>0</v>
      </c>
      <c r="AN19" s="487">
        <f t="shared" si="7"/>
        <v>23</v>
      </c>
    </row>
    <row r="20" spans="1:40" ht="20.100000000000001" customHeight="1" thickBot="1">
      <c r="A20" s="242"/>
      <c r="B20" s="242"/>
      <c r="C20" s="243"/>
      <c r="D20" s="244"/>
      <c r="E20" s="244"/>
      <c r="F20" s="244"/>
      <c r="G20" s="244"/>
      <c r="H20" s="243"/>
      <c r="I20" s="243"/>
      <c r="J20" s="245"/>
      <c r="K20" s="245"/>
      <c r="L20" s="245"/>
      <c r="M20" s="245"/>
      <c r="N20" s="243"/>
      <c r="O20" s="243"/>
      <c r="P20" s="244"/>
      <c r="Q20" s="244"/>
      <c r="R20" s="244"/>
      <c r="S20" s="244"/>
      <c r="T20" s="243"/>
      <c r="U20" s="243"/>
      <c r="V20" s="245"/>
      <c r="W20" s="245"/>
      <c r="X20" s="245"/>
      <c r="Y20" s="245"/>
      <c r="Z20" s="243"/>
      <c r="AA20" s="243"/>
      <c r="AB20" s="244"/>
      <c r="AC20" s="244"/>
      <c r="AD20" s="244"/>
      <c r="AE20" s="244"/>
      <c r="AF20" s="243"/>
      <c r="AH20" s="246"/>
      <c r="AI20" s="247"/>
      <c r="AJ20" s="248"/>
      <c r="AK20" s="66"/>
      <c r="AL20" s="247"/>
      <c r="AM20" s="247"/>
      <c r="AN20" s="247"/>
    </row>
    <row r="21" spans="1:40" ht="24.95" customHeight="1" thickBot="1">
      <c r="A21" s="581" t="s">
        <v>45</v>
      </c>
      <c r="B21" s="514"/>
      <c r="C21" s="514"/>
      <c r="D21" s="514"/>
      <c r="E21" s="514"/>
      <c r="F21" s="514"/>
      <c r="G21" s="514"/>
      <c r="H21" s="514"/>
      <c r="I21" s="514"/>
      <c r="J21" s="514"/>
      <c r="K21" s="514"/>
      <c r="L21" s="514"/>
      <c r="M21" s="514"/>
      <c r="N21" s="514"/>
      <c r="O21" s="514"/>
      <c r="P21" s="514"/>
      <c r="Q21" s="514"/>
      <c r="R21" s="514"/>
      <c r="S21" s="514"/>
      <c r="T21" s="514"/>
      <c r="U21" s="514"/>
      <c r="V21" s="514"/>
      <c r="W21" s="514"/>
      <c r="X21" s="514"/>
      <c r="Y21" s="514"/>
      <c r="Z21" s="514"/>
      <c r="AA21" s="514"/>
      <c r="AB21" s="514"/>
      <c r="AC21" s="514"/>
      <c r="AD21" s="650"/>
      <c r="AE21" s="650"/>
      <c r="AF21" s="651"/>
      <c r="AH21" s="246"/>
      <c r="AI21" s="247"/>
      <c r="AJ21" s="248"/>
      <c r="AK21" s="66"/>
      <c r="AL21" s="247"/>
      <c r="AM21" s="247"/>
      <c r="AN21" s="247"/>
    </row>
    <row r="22" spans="1:40" ht="18.75" customHeight="1">
      <c r="A22" s="718" t="s">
        <v>46</v>
      </c>
      <c r="B22" s="717" t="s">
        <v>47</v>
      </c>
      <c r="C22" s="714" t="s">
        <v>165</v>
      </c>
      <c r="D22" s="714" t="s">
        <v>165</v>
      </c>
      <c r="E22" s="714" t="s">
        <v>165</v>
      </c>
      <c r="F22" s="714" t="s">
        <v>165</v>
      </c>
      <c r="G22" s="712" t="s">
        <v>23</v>
      </c>
      <c r="H22" s="712" t="s">
        <v>23</v>
      </c>
      <c r="I22" s="637" t="s">
        <v>144</v>
      </c>
      <c r="J22" s="637" t="s">
        <v>144</v>
      </c>
      <c r="K22" s="637" t="s">
        <v>144</v>
      </c>
      <c r="L22" s="637" t="s">
        <v>144</v>
      </c>
      <c r="M22" s="637" t="s">
        <v>144</v>
      </c>
      <c r="N22" s="712" t="s">
        <v>23</v>
      </c>
      <c r="O22" s="712" t="s">
        <v>23</v>
      </c>
      <c r="P22" s="637" t="s">
        <v>144</v>
      </c>
      <c r="Q22" s="637" t="s">
        <v>144</v>
      </c>
      <c r="R22" s="637" t="s">
        <v>144</v>
      </c>
      <c r="S22" s="710" t="s">
        <v>34</v>
      </c>
      <c r="T22" s="710" t="s">
        <v>30</v>
      </c>
      <c r="U22" s="712" t="s">
        <v>23</v>
      </c>
      <c r="V22" s="712" t="s">
        <v>23</v>
      </c>
      <c r="W22" s="710" t="s">
        <v>34</v>
      </c>
      <c r="X22" s="710" t="s">
        <v>34</v>
      </c>
      <c r="Y22" s="710" t="s">
        <v>34</v>
      </c>
      <c r="Z22" s="710" t="s">
        <v>34</v>
      </c>
      <c r="AA22" s="710" t="s">
        <v>30</v>
      </c>
      <c r="AB22" s="712" t="s">
        <v>23</v>
      </c>
      <c r="AC22" s="712" t="s">
        <v>23</v>
      </c>
      <c r="AD22" s="637" t="s">
        <v>144</v>
      </c>
      <c r="AE22" s="714" t="s">
        <v>165</v>
      </c>
      <c r="AF22" s="741" t="s">
        <v>165</v>
      </c>
      <c r="AG22" s="258"/>
      <c r="AH22" s="170">
        <f>VLOOKUP($B22,'MAR25'!$B:$AO,36,0)</f>
        <v>0</v>
      </c>
      <c r="AI22" s="171">
        <f>COUNTIF(C22:AF22,"UA")</f>
        <v>0</v>
      </c>
      <c r="AJ22" s="172">
        <f>AH22-AI22</f>
        <v>0</v>
      </c>
      <c r="AK22" s="66"/>
      <c r="AL22" s="259">
        <f>VLOOKUP($B22,'MAR25'!$B:$AO,40,0)</f>
        <v>20</v>
      </c>
      <c r="AM22" s="250">
        <f>COUNTIF(C22:AF22,"U")</f>
        <v>5</v>
      </c>
      <c r="AN22" s="252">
        <f>AL22-AM22</f>
        <v>15</v>
      </c>
    </row>
    <row r="23" spans="1:40" ht="18.75" customHeight="1">
      <c r="A23" s="602" t="s">
        <v>51</v>
      </c>
      <c r="B23" s="535" t="s">
        <v>52</v>
      </c>
      <c r="C23" s="232" t="s">
        <v>22</v>
      </c>
      <c r="D23" s="232" t="s">
        <v>22</v>
      </c>
      <c r="E23" s="232" t="s">
        <v>22</v>
      </c>
      <c r="F23" s="232" t="s">
        <v>22</v>
      </c>
      <c r="G23" s="711" t="s">
        <v>23</v>
      </c>
      <c r="H23" s="711" t="s">
        <v>23</v>
      </c>
      <c r="I23" s="264" t="s">
        <v>24</v>
      </c>
      <c r="J23" s="264" t="s">
        <v>24</v>
      </c>
      <c r="K23" s="264" t="s">
        <v>24</v>
      </c>
      <c r="L23" s="264" t="s">
        <v>24</v>
      </c>
      <c r="M23" s="712" t="s">
        <v>23</v>
      </c>
      <c r="N23" s="712" t="s">
        <v>23</v>
      </c>
      <c r="O23" s="232" t="s">
        <v>22</v>
      </c>
      <c r="P23" s="232" t="s">
        <v>22</v>
      </c>
      <c r="Q23" s="264" t="s">
        <v>24</v>
      </c>
      <c r="R23" s="264" t="s">
        <v>24</v>
      </c>
      <c r="S23" s="711" t="s">
        <v>23</v>
      </c>
      <c r="T23" s="711" t="s">
        <v>23</v>
      </c>
      <c r="U23" s="264" t="s">
        <v>24</v>
      </c>
      <c r="V23" s="264" t="s">
        <v>24</v>
      </c>
      <c r="W23" s="264" t="s">
        <v>24</v>
      </c>
      <c r="X23" s="264" t="s">
        <v>24</v>
      </c>
      <c r="Y23" s="712" t="s">
        <v>23</v>
      </c>
      <c r="Z23" s="712" t="s">
        <v>23</v>
      </c>
      <c r="AA23" s="304" t="s">
        <v>30</v>
      </c>
      <c r="AB23" s="232" t="s">
        <v>22</v>
      </c>
      <c r="AC23" s="232" t="s">
        <v>22</v>
      </c>
      <c r="AD23" s="715" t="s">
        <v>174</v>
      </c>
      <c r="AE23" s="711" t="s">
        <v>23</v>
      </c>
      <c r="AF23" s="742" t="s">
        <v>23</v>
      </c>
      <c r="AG23" s="258"/>
      <c r="AH23" s="173">
        <f>VLOOKUP($B23,'MAR25'!$B:$AO,36,0)</f>
        <v>0</v>
      </c>
      <c r="AI23" s="169">
        <f>COUNTIF(C23:AF23,"UA")</f>
        <v>0</v>
      </c>
      <c r="AJ23" s="174">
        <f>AH23-AI23</f>
        <v>0</v>
      </c>
      <c r="AK23" s="66"/>
      <c r="AL23" s="260">
        <f>VLOOKUP($B23,'MAR25'!$B:$AO,40,0)</f>
        <v>12</v>
      </c>
      <c r="AM23" s="253">
        <f>COUNTIF(C23:AF23,"U")</f>
        <v>0</v>
      </c>
      <c r="AN23" s="254">
        <f>AL23-AM23</f>
        <v>12</v>
      </c>
    </row>
    <row r="24" spans="1:40" ht="18.75" customHeight="1">
      <c r="A24" s="602" t="s">
        <v>54</v>
      </c>
      <c r="B24" s="535" t="s">
        <v>55</v>
      </c>
      <c r="C24" s="712" t="s">
        <v>23</v>
      </c>
      <c r="D24" s="712" t="s">
        <v>23</v>
      </c>
      <c r="E24" s="267" t="s">
        <v>34</v>
      </c>
      <c r="F24" s="267" t="s">
        <v>34</v>
      </c>
      <c r="G24" s="267" t="s">
        <v>34</v>
      </c>
      <c r="H24" s="267" t="s">
        <v>34</v>
      </c>
      <c r="I24" s="711" t="s">
        <v>23</v>
      </c>
      <c r="J24" s="711" t="s">
        <v>23</v>
      </c>
      <c r="K24" s="232" t="s">
        <v>22</v>
      </c>
      <c r="L24" s="232" t="s">
        <v>22</v>
      </c>
      <c r="M24" s="232" t="s">
        <v>22</v>
      </c>
      <c r="N24" s="232" t="s">
        <v>22</v>
      </c>
      <c r="O24" s="712" t="s">
        <v>23</v>
      </c>
      <c r="P24" s="712" t="s">
        <v>23</v>
      </c>
      <c r="Q24" s="232" t="s">
        <v>22</v>
      </c>
      <c r="R24" s="232" t="s">
        <v>22</v>
      </c>
      <c r="S24" s="264" t="s">
        <v>24</v>
      </c>
      <c r="T24" s="264" t="s">
        <v>24</v>
      </c>
      <c r="U24" s="711" t="s">
        <v>23</v>
      </c>
      <c r="V24" s="711" t="s">
        <v>23</v>
      </c>
      <c r="W24" s="232" t="s">
        <v>22</v>
      </c>
      <c r="X24" s="232" t="s">
        <v>22</v>
      </c>
      <c r="Y24" s="232" t="s">
        <v>22</v>
      </c>
      <c r="Z24" s="232" t="s">
        <v>22</v>
      </c>
      <c r="AA24" s="232" t="s">
        <v>22</v>
      </c>
      <c r="AB24" s="712" t="s">
        <v>23</v>
      </c>
      <c r="AC24" s="712" t="s">
        <v>23</v>
      </c>
      <c r="AD24" s="232" t="s">
        <v>22</v>
      </c>
      <c r="AE24" s="264" t="s">
        <v>24</v>
      </c>
      <c r="AF24" s="265" t="s">
        <v>24</v>
      </c>
      <c r="AG24" s="258"/>
      <c r="AH24" s="173">
        <f>VLOOKUP($B24,'MAR25'!$B:$AO,36,0)</f>
        <v>0</v>
      </c>
      <c r="AI24" s="169">
        <f>COUNTIF(C24:AF24,"UA")</f>
        <v>0</v>
      </c>
      <c r="AJ24" s="174">
        <f>AH24-AI24</f>
        <v>0</v>
      </c>
      <c r="AK24" s="66"/>
      <c r="AL24" s="260">
        <f>VLOOKUP($B24,'MAR25'!$B:$AO,40,0)</f>
        <v>21</v>
      </c>
      <c r="AM24" s="253">
        <f>COUNTIF(C24:AF24,"U")</f>
        <v>4</v>
      </c>
      <c r="AN24" s="254">
        <f>AL24-AM24</f>
        <v>17</v>
      </c>
    </row>
    <row r="25" spans="1:40" ht="18.75" customHeight="1">
      <c r="A25" s="602" t="s">
        <v>56</v>
      </c>
      <c r="B25" s="535" t="s">
        <v>57</v>
      </c>
      <c r="C25" s="714" t="s">
        <v>165</v>
      </c>
      <c r="D25" s="714" t="s">
        <v>165</v>
      </c>
      <c r="E25" s="714" t="s">
        <v>165</v>
      </c>
      <c r="F25" s="336" t="s">
        <v>49</v>
      </c>
      <c r="G25" s="712" t="s">
        <v>23</v>
      </c>
      <c r="H25" s="712" t="s">
        <v>23</v>
      </c>
      <c r="I25" s="341" t="s">
        <v>49</v>
      </c>
      <c r="J25" s="341" t="s">
        <v>49</v>
      </c>
      <c r="K25" s="341" t="s">
        <v>49</v>
      </c>
      <c r="L25" s="341" t="s">
        <v>49</v>
      </c>
      <c r="M25" s="712" t="s">
        <v>23</v>
      </c>
      <c r="N25" s="332" t="s">
        <v>175</v>
      </c>
      <c r="O25" s="332" t="s">
        <v>175</v>
      </c>
      <c r="P25" s="332" t="s">
        <v>175</v>
      </c>
      <c r="Q25" s="332" t="s">
        <v>175</v>
      </c>
      <c r="R25" s="332" t="s">
        <v>175</v>
      </c>
      <c r="S25" s="332" t="s">
        <v>175</v>
      </c>
      <c r="T25" s="332" t="s">
        <v>175</v>
      </c>
      <c r="U25" s="332" t="s">
        <v>175</v>
      </c>
      <c r="V25" s="332" t="s">
        <v>175</v>
      </c>
      <c r="W25" s="332" t="s">
        <v>175</v>
      </c>
      <c r="X25" s="332" t="s">
        <v>175</v>
      </c>
      <c r="Y25" s="332" t="s">
        <v>175</v>
      </c>
      <c r="Z25" s="332" t="s">
        <v>175</v>
      </c>
      <c r="AA25" s="332" t="s">
        <v>175</v>
      </c>
      <c r="AB25" s="332" t="s">
        <v>175</v>
      </c>
      <c r="AC25" s="712" t="s">
        <v>23</v>
      </c>
      <c r="AD25" s="232" t="s">
        <v>58</v>
      </c>
      <c r="AE25" s="714" t="s">
        <v>176</v>
      </c>
      <c r="AF25" s="741" t="s">
        <v>176</v>
      </c>
      <c r="AG25" s="258"/>
      <c r="AH25" s="173">
        <f>VLOOKUP($B25,'MAR25'!$B:$AO,36,0)</f>
        <v>0</v>
      </c>
      <c r="AI25" s="169">
        <f>COUNTIF(C25:AF25,"UA")</f>
        <v>0</v>
      </c>
      <c r="AJ25" s="174">
        <f>AH25-AI25</f>
        <v>0</v>
      </c>
      <c r="AK25" s="66"/>
      <c r="AL25" s="260">
        <f>VLOOKUP($B25,'MAR25'!$B:$AO,40,0)</f>
        <v>21</v>
      </c>
      <c r="AM25" s="253">
        <f>COUNTIF(C25:AF25,"U")</f>
        <v>0</v>
      </c>
      <c r="AN25" s="254">
        <f>AL25-AM25</f>
        <v>21</v>
      </c>
    </row>
    <row r="26" spans="1:40" ht="18.75" customHeight="1" thickBot="1">
      <c r="A26" s="680" t="s">
        <v>166</v>
      </c>
      <c r="B26" s="550" t="s">
        <v>167</v>
      </c>
      <c r="C26" s="740" t="s">
        <v>23</v>
      </c>
      <c r="D26" s="280" t="s">
        <v>24</v>
      </c>
      <c r="E26" s="280" t="s">
        <v>24</v>
      </c>
      <c r="F26" s="739" t="s">
        <v>31</v>
      </c>
      <c r="G26" s="739" t="s">
        <v>31</v>
      </c>
      <c r="H26" s="738" t="s">
        <v>23</v>
      </c>
      <c r="I26" s="738" t="s">
        <v>23</v>
      </c>
      <c r="J26" s="739" t="s">
        <v>31</v>
      </c>
      <c r="K26" s="739" t="s">
        <v>31</v>
      </c>
      <c r="L26" s="743" t="s">
        <v>53</v>
      </c>
      <c r="M26" s="739" t="s">
        <v>31</v>
      </c>
      <c r="N26" s="740" t="s">
        <v>23</v>
      </c>
      <c r="O26" s="740" t="s">
        <v>23</v>
      </c>
      <c r="P26" s="280" t="s">
        <v>24</v>
      </c>
      <c r="Q26" s="280" t="s">
        <v>24</v>
      </c>
      <c r="R26" s="740" t="s">
        <v>23</v>
      </c>
      <c r="S26" s="223" t="s">
        <v>22</v>
      </c>
      <c r="T26" s="223" t="s">
        <v>22</v>
      </c>
      <c r="U26" s="223" t="s">
        <v>22</v>
      </c>
      <c r="V26" s="223" t="s">
        <v>22</v>
      </c>
      <c r="W26" s="740" t="s">
        <v>23</v>
      </c>
      <c r="X26" s="740" t="s">
        <v>23</v>
      </c>
      <c r="Y26" s="280" t="s">
        <v>24</v>
      </c>
      <c r="Z26" s="280" t="s">
        <v>24</v>
      </c>
      <c r="AA26" s="280" t="s">
        <v>24</v>
      </c>
      <c r="AB26" s="280" t="s">
        <v>24</v>
      </c>
      <c r="AC26" s="740" t="s">
        <v>23</v>
      </c>
      <c r="AD26" s="740" t="s">
        <v>23</v>
      </c>
      <c r="AE26" s="223" t="s">
        <v>22</v>
      </c>
      <c r="AF26" s="222" t="s">
        <v>22</v>
      </c>
      <c r="AG26" s="258"/>
      <c r="AH26" s="175">
        <f>VLOOKUP($B26,'MAR25'!$B:$AO,36,0)</f>
        <v>5</v>
      </c>
      <c r="AI26" s="176">
        <f>COUNTIF(C26:AF26,"UA")</f>
        <v>5</v>
      </c>
      <c r="AJ26" s="177">
        <f>AH26-AI26</f>
        <v>0</v>
      </c>
      <c r="AK26" s="247"/>
      <c r="AL26" s="261">
        <f>VLOOKUP($B26,'MAR25'!$B:$AO,40,0)</f>
        <v>22</v>
      </c>
      <c r="AM26" s="256">
        <f>COUNTIF(C26:AF26,"U")</f>
        <v>0</v>
      </c>
      <c r="AN26" s="257">
        <f>AL26-AM26</f>
        <v>22</v>
      </c>
    </row>
    <row r="27" spans="1:40" ht="20.100000000000001" customHeight="1" thickBot="1">
      <c r="A27" s="242"/>
      <c r="B27" s="242"/>
      <c r="C27" s="262"/>
      <c r="D27" s="262"/>
      <c r="E27" s="262"/>
      <c r="F27" s="262"/>
      <c r="G27" s="243"/>
      <c r="H27" s="243"/>
      <c r="I27" s="262"/>
      <c r="J27" s="245"/>
      <c r="K27" s="245"/>
      <c r="L27" s="245"/>
      <c r="M27" s="243"/>
      <c r="N27" s="243"/>
      <c r="O27" s="244"/>
      <c r="P27" s="244"/>
      <c r="Q27" s="244"/>
      <c r="R27" s="244"/>
      <c r="S27" s="243"/>
      <c r="T27" s="243"/>
      <c r="U27" s="245"/>
      <c r="V27" s="245"/>
      <c r="W27" s="245"/>
      <c r="X27" s="245"/>
      <c r="Y27" s="243"/>
      <c r="Z27" s="243"/>
      <c r="AA27" s="244"/>
      <c r="AB27" s="244"/>
      <c r="AC27" s="244"/>
      <c r="AD27" s="244"/>
      <c r="AE27" s="327"/>
      <c r="AF27" s="328"/>
      <c r="AG27" s="258"/>
      <c r="AH27" s="248"/>
      <c r="AI27" s="48"/>
      <c r="AJ27" s="247"/>
      <c r="AK27" s="247"/>
      <c r="AL27" s="247"/>
    </row>
    <row r="28" spans="1:40" ht="24.95" customHeight="1" thickBot="1">
      <c r="A28" s="581" t="s">
        <v>60</v>
      </c>
      <c r="B28" s="514"/>
      <c r="C28" s="514"/>
      <c r="D28" s="514"/>
      <c r="E28" s="514"/>
      <c r="F28" s="514"/>
      <c r="G28" s="514"/>
      <c r="H28" s="514"/>
      <c r="I28" s="514"/>
      <c r="J28" s="514"/>
      <c r="K28" s="514"/>
      <c r="L28" s="514"/>
      <c r="M28" s="514"/>
      <c r="N28" s="514"/>
      <c r="O28" s="514"/>
      <c r="P28" s="514"/>
      <c r="Q28" s="514"/>
      <c r="R28" s="514"/>
      <c r="S28" s="514"/>
      <c r="T28" s="514"/>
      <c r="U28" s="514"/>
      <c r="V28" s="514"/>
      <c r="W28" s="514"/>
      <c r="X28" s="514"/>
      <c r="Y28" s="514"/>
      <c r="Z28" s="514"/>
      <c r="AA28" s="514"/>
      <c r="AB28" s="514"/>
      <c r="AC28" s="514"/>
      <c r="AD28" s="650"/>
      <c r="AE28" s="650"/>
      <c r="AF28" s="651"/>
      <c r="AG28" s="258"/>
      <c r="AH28" s="248"/>
      <c r="AI28" s="48"/>
      <c r="AJ28" s="247"/>
      <c r="AK28" s="247"/>
      <c r="AL28" s="247"/>
    </row>
    <row r="29" spans="1:40" ht="18.75" customHeight="1">
      <c r="A29" s="602" t="s">
        <v>61</v>
      </c>
      <c r="B29" s="535" t="s">
        <v>62</v>
      </c>
      <c r="C29" s="266" t="s">
        <v>63</v>
      </c>
      <c r="D29" s="266" t="s">
        <v>63</v>
      </c>
      <c r="E29" s="266" t="s">
        <v>63</v>
      </c>
      <c r="F29" s="231" t="s">
        <v>23</v>
      </c>
      <c r="G29" s="231" t="s">
        <v>23</v>
      </c>
      <c r="H29" s="264" t="s">
        <v>24</v>
      </c>
      <c r="I29" s="264" t="s">
        <v>24</v>
      </c>
      <c r="J29" s="264" t="s">
        <v>24</v>
      </c>
      <c r="K29" s="264" t="s">
        <v>24</v>
      </c>
      <c r="L29" s="231" t="s">
        <v>23</v>
      </c>
      <c r="M29" s="231" t="s">
        <v>23</v>
      </c>
      <c r="N29" s="232" t="s">
        <v>22</v>
      </c>
      <c r="O29" s="232" t="s">
        <v>22</v>
      </c>
      <c r="P29" s="232" t="s">
        <v>22</v>
      </c>
      <c r="Q29" s="232" t="s">
        <v>22</v>
      </c>
      <c r="R29" s="231" t="s">
        <v>23</v>
      </c>
      <c r="S29" s="231" t="s">
        <v>23</v>
      </c>
      <c r="T29" s="708" t="s">
        <v>30</v>
      </c>
      <c r="U29" s="264" t="s">
        <v>24</v>
      </c>
      <c r="V29" s="264" t="s">
        <v>24</v>
      </c>
      <c r="W29" s="264" t="s">
        <v>24</v>
      </c>
      <c r="X29" s="231" t="s">
        <v>23</v>
      </c>
      <c r="Y29" s="231" t="s">
        <v>23</v>
      </c>
      <c r="Z29" s="232" t="s">
        <v>22</v>
      </c>
      <c r="AA29" s="232" t="s">
        <v>22</v>
      </c>
      <c r="AB29" s="232" t="s">
        <v>22</v>
      </c>
      <c r="AC29" s="232" t="s">
        <v>22</v>
      </c>
      <c r="AD29" s="231" t="s">
        <v>23</v>
      </c>
      <c r="AE29" s="231" t="s">
        <v>23</v>
      </c>
      <c r="AF29" s="263" t="s">
        <v>63</v>
      </c>
      <c r="AH29" s="217">
        <f>VLOOKUP($B29,'MAR25'!$B:$AO,36,0)</f>
        <v>0</v>
      </c>
      <c r="AI29" s="218">
        <f t="shared" ref="AI29:AI54" si="8">COUNTIF(C29:AF29,"UA")</f>
        <v>0</v>
      </c>
      <c r="AJ29" s="219">
        <f t="shared" ref="AJ29:AJ54" si="9">AH29-AI29</f>
        <v>0</v>
      </c>
      <c r="AK29" s="66"/>
      <c r="AL29" s="220">
        <f>VLOOKUP($B29,'MAR25'!$B:$AO,40,0)</f>
        <v>19</v>
      </c>
      <c r="AM29" s="218">
        <f t="shared" ref="AM29:AM54" si="10">COUNTIF(C29:AF29,"U")</f>
        <v>0</v>
      </c>
      <c r="AN29" s="221">
        <f t="shared" ref="AN29:AN54" si="11">AL29-AM29</f>
        <v>19</v>
      </c>
    </row>
    <row r="30" spans="1:40" ht="18.75" customHeight="1">
      <c r="A30" s="602" t="s">
        <v>64</v>
      </c>
      <c r="B30" s="535" t="s">
        <v>65</v>
      </c>
      <c r="C30" s="232" t="s">
        <v>22</v>
      </c>
      <c r="D30" s="231" t="s">
        <v>23</v>
      </c>
      <c r="E30" s="231" t="s">
        <v>23</v>
      </c>
      <c r="F30" s="267" t="s">
        <v>31</v>
      </c>
      <c r="G30" s="267" t="s">
        <v>31</v>
      </c>
      <c r="H30" s="267" t="s">
        <v>34</v>
      </c>
      <c r="I30" s="267" t="s">
        <v>34</v>
      </c>
      <c r="J30" s="231" t="s">
        <v>23</v>
      </c>
      <c r="K30" s="231" t="s">
        <v>23</v>
      </c>
      <c r="L30" s="264" t="s">
        <v>24</v>
      </c>
      <c r="M30" s="264" t="s">
        <v>24</v>
      </c>
      <c r="N30" s="264" t="s">
        <v>24</v>
      </c>
      <c r="O30" s="264" t="s">
        <v>24</v>
      </c>
      <c r="P30" s="231" t="s">
        <v>23</v>
      </c>
      <c r="Q30" s="231" t="s">
        <v>23</v>
      </c>
      <c r="R30" s="232" t="s">
        <v>22</v>
      </c>
      <c r="S30" s="232" t="s">
        <v>22</v>
      </c>
      <c r="T30" s="232" t="s">
        <v>22</v>
      </c>
      <c r="U30" s="232" t="s">
        <v>22</v>
      </c>
      <c r="V30" s="231" t="s">
        <v>23</v>
      </c>
      <c r="W30" s="231" t="s">
        <v>23</v>
      </c>
      <c r="X30" s="264" t="s">
        <v>24</v>
      </c>
      <c r="Y30" s="264" t="s">
        <v>24</v>
      </c>
      <c r="Z30" s="264" t="s">
        <v>24</v>
      </c>
      <c r="AA30" s="264" t="s">
        <v>24</v>
      </c>
      <c r="AB30" s="231" t="s">
        <v>23</v>
      </c>
      <c r="AC30" s="231" t="s">
        <v>23</v>
      </c>
      <c r="AD30" s="232" t="s">
        <v>22</v>
      </c>
      <c r="AE30" s="232" t="s">
        <v>22</v>
      </c>
      <c r="AF30" s="235" t="s">
        <v>22</v>
      </c>
      <c r="AH30" s="224">
        <f>VLOOKUP($B30,'MAR25'!$B:$AO,36,0)</f>
        <v>2</v>
      </c>
      <c r="AI30" s="225">
        <f t="shared" si="8"/>
        <v>2</v>
      </c>
      <c r="AJ30" s="226">
        <f t="shared" si="9"/>
        <v>0</v>
      </c>
      <c r="AK30" s="66"/>
      <c r="AL30" s="227">
        <f>VLOOKUP($B30,'MAR25'!$B:$AO,40,0)</f>
        <v>22</v>
      </c>
      <c r="AM30" s="225">
        <f t="shared" si="10"/>
        <v>2</v>
      </c>
      <c r="AN30" s="230">
        <f t="shared" si="11"/>
        <v>20</v>
      </c>
    </row>
    <row r="31" spans="1:40" ht="18.75" customHeight="1">
      <c r="A31" s="602" t="s">
        <v>66</v>
      </c>
      <c r="B31" s="535" t="s">
        <v>67</v>
      </c>
      <c r="C31" s="231" t="s">
        <v>23</v>
      </c>
      <c r="D31" s="232" t="s">
        <v>22</v>
      </c>
      <c r="E31" s="232" t="s">
        <v>22</v>
      </c>
      <c r="F31" s="232" t="s">
        <v>22</v>
      </c>
      <c r="G31" s="232" t="s">
        <v>22</v>
      </c>
      <c r="H31" s="231" t="s">
        <v>23</v>
      </c>
      <c r="I31" s="231" t="s">
        <v>23</v>
      </c>
      <c r="J31" s="266" t="s">
        <v>63</v>
      </c>
      <c r="K31" s="266" t="s">
        <v>63</v>
      </c>
      <c r="L31" s="266" t="s">
        <v>63</v>
      </c>
      <c r="M31" s="266" t="s">
        <v>63</v>
      </c>
      <c r="N31" s="231" t="s">
        <v>23</v>
      </c>
      <c r="O31" s="231" t="s">
        <v>23</v>
      </c>
      <c r="P31" s="264" t="s">
        <v>24</v>
      </c>
      <c r="Q31" s="264" t="s">
        <v>24</v>
      </c>
      <c r="R31" s="264" t="s">
        <v>24</v>
      </c>
      <c r="S31" s="264" t="s">
        <v>24</v>
      </c>
      <c r="T31" s="87" t="s">
        <v>53</v>
      </c>
      <c r="U31" s="231" t="s">
        <v>23</v>
      </c>
      <c r="V31" s="87" t="s">
        <v>148</v>
      </c>
      <c r="W31" s="232" t="s">
        <v>22</v>
      </c>
      <c r="X31" s="232" t="s">
        <v>22</v>
      </c>
      <c r="Y31" s="232" t="s">
        <v>22</v>
      </c>
      <c r="Z31" s="231" t="s">
        <v>23</v>
      </c>
      <c r="AA31" s="231" t="s">
        <v>23</v>
      </c>
      <c r="AB31" s="267" t="s">
        <v>34</v>
      </c>
      <c r="AC31" s="267" t="s">
        <v>34</v>
      </c>
      <c r="AD31" s="267" t="s">
        <v>34</v>
      </c>
      <c r="AE31" s="267" t="s">
        <v>34</v>
      </c>
      <c r="AF31" s="234" t="s">
        <v>23</v>
      </c>
      <c r="AH31" s="224">
        <f>VLOOKUP($B31,'MAR25'!$B:$AO,36,0)</f>
        <v>0</v>
      </c>
      <c r="AI31" s="225">
        <f t="shared" si="8"/>
        <v>0</v>
      </c>
      <c r="AJ31" s="226">
        <f t="shared" si="9"/>
        <v>0</v>
      </c>
      <c r="AK31" s="66"/>
      <c r="AL31" s="227">
        <f>VLOOKUP($B31,'MAR25'!$B:$AO,40,0)</f>
        <v>22</v>
      </c>
      <c r="AM31" s="225">
        <f t="shared" si="10"/>
        <v>4</v>
      </c>
      <c r="AN31" s="230">
        <f t="shared" si="11"/>
        <v>18</v>
      </c>
    </row>
    <row r="32" spans="1:40" ht="18.75" customHeight="1">
      <c r="A32" s="602" t="s">
        <v>69</v>
      </c>
      <c r="B32" s="535" t="s">
        <v>70</v>
      </c>
      <c r="C32" s="267" t="s">
        <v>31</v>
      </c>
      <c r="D32" s="267" t="s">
        <v>31</v>
      </c>
      <c r="E32" s="267" t="s">
        <v>31</v>
      </c>
      <c r="F32" s="231" t="s">
        <v>23</v>
      </c>
      <c r="G32" s="231" t="s">
        <v>23</v>
      </c>
      <c r="H32" s="267" t="s">
        <v>31</v>
      </c>
      <c r="I32" s="267" t="s">
        <v>31</v>
      </c>
      <c r="J32" s="232" t="s">
        <v>22</v>
      </c>
      <c r="K32" s="232" t="s">
        <v>22</v>
      </c>
      <c r="L32" s="231" t="s">
        <v>23</v>
      </c>
      <c r="M32" s="231" t="s">
        <v>23</v>
      </c>
      <c r="N32" s="266" t="s">
        <v>63</v>
      </c>
      <c r="O32" s="266" t="s">
        <v>63</v>
      </c>
      <c r="P32" s="266" t="s">
        <v>63</v>
      </c>
      <c r="Q32" s="266" t="s">
        <v>63</v>
      </c>
      <c r="R32" s="231" t="s">
        <v>23</v>
      </c>
      <c r="S32" s="331" t="s">
        <v>173</v>
      </c>
      <c r="T32" s="331" t="s">
        <v>173</v>
      </c>
      <c r="U32" s="331" t="s">
        <v>173</v>
      </c>
      <c r="V32" s="232" t="s">
        <v>22</v>
      </c>
      <c r="W32" s="232" t="s">
        <v>22</v>
      </c>
      <c r="X32" s="231" t="s">
        <v>23</v>
      </c>
      <c r="Y32" s="231" t="s">
        <v>23</v>
      </c>
      <c r="Z32" s="232" t="s">
        <v>22</v>
      </c>
      <c r="AA32" s="232" t="s">
        <v>22</v>
      </c>
      <c r="AB32" s="232" t="s">
        <v>22</v>
      </c>
      <c r="AC32" s="232" t="s">
        <v>22</v>
      </c>
      <c r="AD32" s="231" t="s">
        <v>23</v>
      </c>
      <c r="AE32" s="231" t="s">
        <v>23</v>
      </c>
      <c r="AF32" s="265" t="s">
        <v>24</v>
      </c>
      <c r="AH32" s="224">
        <f>VLOOKUP($B32,'MAR25'!$B:$AO,36,0)</f>
        <v>5</v>
      </c>
      <c r="AI32" s="225">
        <f t="shared" si="8"/>
        <v>5</v>
      </c>
      <c r="AJ32" s="226">
        <f t="shared" si="9"/>
        <v>0</v>
      </c>
      <c r="AK32" s="66"/>
      <c r="AL32" s="227">
        <f>VLOOKUP($B32,'MAR25'!$B:$AO,40,0)</f>
        <v>11</v>
      </c>
      <c r="AM32" s="225">
        <f t="shared" si="10"/>
        <v>0</v>
      </c>
      <c r="AN32" s="230">
        <f t="shared" si="11"/>
        <v>11</v>
      </c>
    </row>
    <row r="33" spans="1:40" ht="18.75" customHeight="1">
      <c r="A33" s="602" t="s">
        <v>71</v>
      </c>
      <c r="B33" s="535" t="s">
        <v>72</v>
      </c>
      <c r="C33" s="267" t="s">
        <v>34</v>
      </c>
      <c r="D33" s="231" t="s">
        <v>23</v>
      </c>
      <c r="E33" s="231" t="s">
        <v>23</v>
      </c>
      <c r="F33" s="264" t="s">
        <v>24</v>
      </c>
      <c r="G33" s="264" t="s">
        <v>24</v>
      </c>
      <c r="H33" s="264" t="s">
        <v>24</v>
      </c>
      <c r="I33" s="264" t="s">
        <v>24</v>
      </c>
      <c r="J33" s="231" t="s">
        <v>23</v>
      </c>
      <c r="K33" s="231" t="s">
        <v>23</v>
      </c>
      <c r="L33" s="232" t="s">
        <v>22</v>
      </c>
      <c r="M33" s="232" t="s">
        <v>22</v>
      </c>
      <c r="N33" s="232" t="s">
        <v>22</v>
      </c>
      <c r="O33" s="232" t="s">
        <v>22</v>
      </c>
      <c r="P33" s="231" t="s">
        <v>23</v>
      </c>
      <c r="Q33" s="231" t="s">
        <v>23</v>
      </c>
      <c r="R33" s="266" t="s">
        <v>63</v>
      </c>
      <c r="S33" s="266" t="s">
        <v>63</v>
      </c>
      <c r="T33" s="266" t="s">
        <v>63</v>
      </c>
      <c r="U33" s="266" t="s">
        <v>63</v>
      </c>
      <c r="V33" s="231" t="s">
        <v>23</v>
      </c>
      <c r="W33" s="231" t="s">
        <v>23</v>
      </c>
      <c r="X33" s="264" t="s">
        <v>24</v>
      </c>
      <c r="Y33" s="264" t="s">
        <v>24</v>
      </c>
      <c r="Z33" s="264" t="s">
        <v>24</v>
      </c>
      <c r="AA33" s="264" t="s">
        <v>24</v>
      </c>
      <c r="AB33" s="231" t="s">
        <v>23</v>
      </c>
      <c r="AC33" s="231" t="s">
        <v>23</v>
      </c>
      <c r="AD33" s="232" t="s">
        <v>22</v>
      </c>
      <c r="AE33" s="232" t="s">
        <v>22</v>
      </c>
      <c r="AF33" s="235" t="s">
        <v>22</v>
      </c>
      <c r="AH33" s="224">
        <f>VLOOKUP($B33,'MAR25'!$B:$AO,36,0)</f>
        <v>0</v>
      </c>
      <c r="AI33" s="225">
        <f t="shared" si="8"/>
        <v>0</v>
      </c>
      <c r="AJ33" s="226">
        <f t="shared" si="9"/>
        <v>0</v>
      </c>
      <c r="AK33" s="66"/>
      <c r="AL33" s="227">
        <f>VLOOKUP($B33,'MAR25'!$B:$AO,40,0)</f>
        <v>9</v>
      </c>
      <c r="AM33" s="225">
        <f t="shared" si="10"/>
        <v>1</v>
      </c>
      <c r="AN33" s="230">
        <f t="shared" si="11"/>
        <v>8</v>
      </c>
    </row>
    <row r="34" spans="1:40" ht="18.75" customHeight="1">
      <c r="A34" s="602" t="s">
        <v>73</v>
      </c>
      <c r="B34" s="535" t="s">
        <v>74</v>
      </c>
      <c r="C34" s="231" t="s">
        <v>23</v>
      </c>
      <c r="D34" s="232" t="s">
        <v>22</v>
      </c>
      <c r="E34" s="232" t="s">
        <v>22</v>
      </c>
      <c r="F34" s="232" t="s">
        <v>22</v>
      </c>
      <c r="G34" s="232" t="s">
        <v>22</v>
      </c>
      <c r="H34" s="231" t="s">
        <v>23</v>
      </c>
      <c r="I34" s="231" t="s">
        <v>23</v>
      </c>
      <c r="J34" s="264" t="s">
        <v>24</v>
      </c>
      <c r="K34" s="264" t="s">
        <v>24</v>
      </c>
      <c r="L34" s="264" t="s">
        <v>24</v>
      </c>
      <c r="M34" s="264" t="s">
        <v>24</v>
      </c>
      <c r="N34" s="231" t="s">
        <v>23</v>
      </c>
      <c r="O34" s="231" t="s">
        <v>23</v>
      </c>
      <c r="P34" s="232" t="s">
        <v>22</v>
      </c>
      <c r="Q34" s="232" t="s">
        <v>22</v>
      </c>
      <c r="R34" s="232" t="s">
        <v>22</v>
      </c>
      <c r="S34" s="232" t="s">
        <v>22</v>
      </c>
      <c r="T34" s="231" t="s">
        <v>23</v>
      </c>
      <c r="U34" s="231" t="s">
        <v>23</v>
      </c>
      <c r="V34" s="266" t="s">
        <v>63</v>
      </c>
      <c r="W34" s="266" t="s">
        <v>63</v>
      </c>
      <c r="X34" s="266" t="s">
        <v>63</v>
      </c>
      <c r="Y34" s="266" t="s">
        <v>63</v>
      </c>
      <c r="Z34" s="231" t="s">
        <v>23</v>
      </c>
      <c r="AA34" s="231" t="s">
        <v>23</v>
      </c>
      <c r="AB34" s="267" t="s">
        <v>31</v>
      </c>
      <c r="AC34" s="264" t="s">
        <v>24</v>
      </c>
      <c r="AD34" s="264" t="s">
        <v>24</v>
      </c>
      <c r="AE34" s="264" t="s">
        <v>24</v>
      </c>
      <c r="AF34" s="234" t="s">
        <v>23</v>
      </c>
      <c r="AH34" s="224">
        <f>VLOOKUP($B34,'MAR25'!$B:$AO,36,0)</f>
        <v>1</v>
      </c>
      <c r="AI34" s="225">
        <f t="shared" si="8"/>
        <v>1</v>
      </c>
      <c r="AJ34" s="226">
        <f t="shared" si="9"/>
        <v>0</v>
      </c>
      <c r="AK34" s="66"/>
      <c r="AL34" s="227">
        <f>VLOOKUP($B34,'MAR25'!$B:$AO,40,0)</f>
        <v>10</v>
      </c>
      <c r="AM34" s="225">
        <f t="shared" si="10"/>
        <v>0</v>
      </c>
      <c r="AN34" s="230">
        <f t="shared" si="11"/>
        <v>10</v>
      </c>
    </row>
    <row r="35" spans="1:40" ht="18.75" customHeight="1">
      <c r="A35" s="602" t="s">
        <v>75</v>
      </c>
      <c r="B35" s="535" t="s">
        <v>76</v>
      </c>
      <c r="C35" s="264" t="s">
        <v>24</v>
      </c>
      <c r="D35" s="264" t="s">
        <v>24</v>
      </c>
      <c r="E35" s="264" t="s">
        <v>24</v>
      </c>
      <c r="F35" s="231" t="s">
        <v>23</v>
      </c>
      <c r="G35" s="231" t="s">
        <v>23</v>
      </c>
      <c r="H35" s="232" t="s">
        <v>22</v>
      </c>
      <c r="I35" s="232" t="s">
        <v>22</v>
      </c>
      <c r="J35" s="232" t="s">
        <v>22</v>
      </c>
      <c r="K35" s="232" t="s">
        <v>22</v>
      </c>
      <c r="L35" s="231" t="s">
        <v>23</v>
      </c>
      <c r="M35" s="231" t="s">
        <v>23</v>
      </c>
      <c r="N35" s="264" t="s">
        <v>24</v>
      </c>
      <c r="O35" s="264" t="s">
        <v>24</v>
      </c>
      <c r="P35" s="264" t="s">
        <v>24</v>
      </c>
      <c r="Q35" s="264" t="s">
        <v>24</v>
      </c>
      <c r="R35" s="231" t="s">
        <v>23</v>
      </c>
      <c r="S35" s="231" t="s">
        <v>23</v>
      </c>
      <c r="T35" s="708" t="s">
        <v>30</v>
      </c>
      <c r="U35" s="267" t="s">
        <v>31</v>
      </c>
      <c r="V35" s="708" t="s">
        <v>30</v>
      </c>
      <c r="W35" s="267" t="s">
        <v>31</v>
      </c>
      <c r="X35" s="231" t="s">
        <v>23</v>
      </c>
      <c r="Y35" s="231" t="s">
        <v>23</v>
      </c>
      <c r="Z35" s="266" t="s">
        <v>63</v>
      </c>
      <c r="AA35" s="266" t="s">
        <v>63</v>
      </c>
      <c r="AB35" s="266" t="s">
        <v>63</v>
      </c>
      <c r="AC35" s="266" t="s">
        <v>63</v>
      </c>
      <c r="AD35" s="231" t="s">
        <v>23</v>
      </c>
      <c r="AE35" s="231" t="s">
        <v>23</v>
      </c>
      <c r="AF35" s="265" t="s">
        <v>24</v>
      </c>
      <c r="AH35" s="224">
        <f>VLOOKUP($B35,'MAR25'!$B:$AO,36,0)</f>
        <v>2</v>
      </c>
      <c r="AI35" s="225">
        <f t="shared" si="8"/>
        <v>2</v>
      </c>
      <c r="AJ35" s="226">
        <f t="shared" si="9"/>
        <v>0</v>
      </c>
      <c r="AK35" s="66"/>
      <c r="AL35" s="227">
        <f>VLOOKUP($B35,'MAR25'!$B:$AO,40,0)</f>
        <v>22</v>
      </c>
      <c r="AM35" s="225">
        <f t="shared" si="10"/>
        <v>0</v>
      </c>
      <c r="AN35" s="230">
        <f t="shared" si="11"/>
        <v>22</v>
      </c>
    </row>
    <row r="36" spans="1:40" ht="18.75" customHeight="1">
      <c r="A36" s="602" t="s">
        <v>77</v>
      </c>
      <c r="B36" s="535" t="s">
        <v>78</v>
      </c>
      <c r="C36" s="266" t="s">
        <v>63</v>
      </c>
      <c r="D36" s="231" t="s">
        <v>23</v>
      </c>
      <c r="E36" s="231" t="s">
        <v>23</v>
      </c>
      <c r="F36" s="264" t="s">
        <v>24</v>
      </c>
      <c r="G36" s="264" t="s">
        <v>24</v>
      </c>
      <c r="H36" s="264" t="s">
        <v>24</v>
      </c>
      <c r="I36" s="264" t="s">
        <v>24</v>
      </c>
      <c r="J36" s="231" t="s">
        <v>23</v>
      </c>
      <c r="K36" s="231" t="s">
        <v>23</v>
      </c>
      <c r="L36" s="232" t="s">
        <v>22</v>
      </c>
      <c r="M36" s="232" t="s">
        <v>22</v>
      </c>
      <c r="N36" s="232" t="s">
        <v>22</v>
      </c>
      <c r="O36" s="232" t="s">
        <v>22</v>
      </c>
      <c r="P36" s="231" t="s">
        <v>23</v>
      </c>
      <c r="Q36" s="231" t="s">
        <v>23</v>
      </c>
      <c r="R36" s="264" t="s">
        <v>24</v>
      </c>
      <c r="S36" s="264" t="s">
        <v>24</v>
      </c>
      <c r="T36" s="264" t="s">
        <v>24</v>
      </c>
      <c r="U36" s="264" t="s">
        <v>24</v>
      </c>
      <c r="V36" s="231" t="s">
        <v>23</v>
      </c>
      <c r="W36" s="231" t="s">
        <v>23</v>
      </c>
      <c r="X36" s="232" t="s">
        <v>22</v>
      </c>
      <c r="Y36" s="232" t="s">
        <v>22</v>
      </c>
      <c r="Z36" s="232" t="s">
        <v>22</v>
      </c>
      <c r="AA36" s="232" t="s">
        <v>22</v>
      </c>
      <c r="AB36" s="231" t="s">
        <v>23</v>
      </c>
      <c r="AC36" s="231" t="s">
        <v>23</v>
      </c>
      <c r="AD36" s="266" t="s">
        <v>63</v>
      </c>
      <c r="AE36" s="266" t="s">
        <v>63</v>
      </c>
      <c r="AF36" s="263" t="s">
        <v>63</v>
      </c>
      <c r="AH36" s="224">
        <f>VLOOKUP($B36,'MAR25'!$B:$AO,36,0)</f>
        <v>0</v>
      </c>
      <c r="AI36" s="225">
        <f t="shared" si="8"/>
        <v>0</v>
      </c>
      <c r="AJ36" s="226">
        <f t="shared" si="9"/>
        <v>0</v>
      </c>
      <c r="AK36" s="66"/>
      <c r="AL36" s="227">
        <f>VLOOKUP($B36,'MAR25'!$B:$AO,40,0)</f>
        <v>22</v>
      </c>
      <c r="AM36" s="225">
        <f t="shared" si="10"/>
        <v>0</v>
      </c>
      <c r="AN36" s="230">
        <f t="shared" si="11"/>
        <v>22</v>
      </c>
    </row>
    <row r="37" spans="1:40" ht="18.75" customHeight="1">
      <c r="A37" s="602" t="s">
        <v>79</v>
      </c>
      <c r="B37" s="535" t="s">
        <v>80</v>
      </c>
      <c r="C37" s="231" t="s">
        <v>23</v>
      </c>
      <c r="D37" s="266" t="s">
        <v>63</v>
      </c>
      <c r="E37" s="266" t="s">
        <v>63</v>
      </c>
      <c r="F37" s="266" t="s">
        <v>63</v>
      </c>
      <c r="G37" s="266" t="s">
        <v>63</v>
      </c>
      <c r="H37" s="231" t="s">
        <v>23</v>
      </c>
      <c r="I37" s="231" t="s">
        <v>23</v>
      </c>
      <c r="J37" s="264" t="s">
        <v>24</v>
      </c>
      <c r="K37" s="264" t="s">
        <v>24</v>
      </c>
      <c r="L37" s="264" t="s">
        <v>24</v>
      </c>
      <c r="M37" s="264" t="s">
        <v>24</v>
      </c>
      <c r="N37" s="231" t="s">
        <v>23</v>
      </c>
      <c r="O37" s="231" t="s">
        <v>23</v>
      </c>
      <c r="P37" s="232" t="s">
        <v>22</v>
      </c>
      <c r="Q37" s="232" t="s">
        <v>22</v>
      </c>
      <c r="R37" s="232" t="s">
        <v>22</v>
      </c>
      <c r="S37" s="232" t="s">
        <v>22</v>
      </c>
      <c r="T37" s="231" t="s">
        <v>23</v>
      </c>
      <c r="U37" s="231" t="s">
        <v>23</v>
      </c>
      <c r="V37" s="264" t="s">
        <v>24</v>
      </c>
      <c r="W37" s="264" t="s">
        <v>24</v>
      </c>
      <c r="X37" s="264" t="s">
        <v>24</v>
      </c>
      <c r="Y37" s="264" t="s">
        <v>24</v>
      </c>
      <c r="Z37" s="231" t="s">
        <v>23</v>
      </c>
      <c r="AA37" s="231" t="s">
        <v>23</v>
      </c>
      <c r="AB37" s="232" t="s">
        <v>22</v>
      </c>
      <c r="AC37" s="232" t="s">
        <v>22</v>
      </c>
      <c r="AD37" s="232" t="s">
        <v>22</v>
      </c>
      <c r="AE37" s="232" t="s">
        <v>22</v>
      </c>
      <c r="AF37" s="234" t="s">
        <v>23</v>
      </c>
      <c r="AH37" s="224">
        <f>VLOOKUP($B37,'MAR25'!$B:$AO,36,0)</f>
        <v>0</v>
      </c>
      <c r="AI37" s="225">
        <f t="shared" si="8"/>
        <v>0</v>
      </c>
      <c r="AJ37" s="226">
        <f t="shared" si="9"/>
        <v>0</v>
      </c>
      <c r="AK37" s="66"/>
      <c r="AL37" s="227">
        <f>VLOOKUP($B37,'MAR25'!$B:$AO,40,0)</f>
        <v>22</v>
      </c>
      <c r="AM37" s="225">
        <f t="shared" si="10"/>
        <v>0</v>
      </c>
      <c r="AN37" s="230">
        <f t="shared" si="11"/>
        <v>22</v>
      </c>
    </row>
    <row r="38" spans="1:40" ht="18.75" customHeight="1">
      <c r="A38" s="602" t="s">
        <v>81</v>
      </c>
      <c r="B38" s="535" t="s">
        <v>82</v>
      </c>
      <c r="C38" s="157" t="s">
        <v>169</v>
      </c>
      <c r="D38" s="157" t="s">
        <v>169</v>
      </c>
      <c r="E38" s="157" t="s">
        <v>169</v>
      </c>
      <c r="F38" s="231" t="s">
        <v>23</v>
      </c>
      <c r="G38" s="231" t="s">
        <v>23</v>
      </c>
      <c r="H38" s="157" t="s">
        <v>169</v>
      </c>
      <c r="I38" s="157" t="s">
        <v>169</v>
      </c>
      <c r="J38" s="157" t="s">
        <v>169</v>
      </c>
      <c r="K38" s="157" t="s">
        <v>169</v>
      </c>
      <c r="L38" s="157" t="s">
        <v>169</v>
      </c>
      <c r="M38" s="157" t="s">
        <v>169</v>
      </c>
      <c r="N38" s="157" t="s">
        <v>169</v>
      </c>
      <c r="O38" s="157" t="s">
        <v>169</v>
      </c>
      <c r="P38" s="157" t="s">
        <v>169</v>
      </c>
      <c r="Q38" s="157" t="s">
        <v>169</v>
      </c>
      <c r="R38" s="157" t="s">
        <v>169</v>
      </c>
      <c r="S38" s="157" t="s">
        <v>169</v>
      </c>
      <c r="T38" s="157" t="s">
        <v>169</v>
      </c>
      <c r="U38" s="267" t="s">
        <v>34</v>
      </c>
      <c r="V38" s="708" t="s">
        <v>30</v>
      </c>
      <c r="W38" s="267" t="s">
        <v>34</v>
      </c>
      <c r="X38" s="231" t="s">
        <v>23</v>
      </c>
      <c r="Y38" s="231" t="s">
        <v>23</v>
      </c>
      <c r="Z38" s="157" t="s">
        <v>169</v>
      </c>
      <c r="AA38" s="157" t="s">
        <v>169</v>
      </c>
      <c r="AB38" s="157" t="s">
        <v>169</v>
      </c>
      <c r="AC38" s="157" t="s">
        <v>169</v>
      </c>
      <c r="AD38" s="231" t="s">
        <v>23</v>
      </c>
      <c r="AE38" s="231" t="s">
        <v>23</v>
      </c>
      <c r="AF38" s="135" t="s">
        <v>169</v>
      </c>
      <c r="AH38" s="224">
        <f>VLOOKUP($B38,'MAR25'!$B:$AO,36,0)</f>
        <v>0</v>
      </c>
      <c r="AI38" s="225">
        <f t="shared" si="8"/>
        <v>0</v>
      </c>
      <c r="AJ38" s="226">
        <f t="shared" si="9"/>
        <v>0</v>
      </c>
      <c r="AK38" s="66"/>
      <c r="AL38" s="227">
        <f>VLOOKUP($B38,'MAR25'!$B:$AO,40,0)</f>
        <v>22</v>
      </c>
      <c r="AM38" s="225">
        <f t="shared" si="10"/>
        <v>2</v>
      </c>
      <c r="AN38" s="230">
        <f t="shared" si="11"/>
        <v>20</v>
      </c>
    </row>
    <row r="39" spans="1:40" ht="18.75" customHeight="1">
      <c r="A39" s="602" t="s">
        <v>85</v>
      </c>
      <c r="B39" s="535" t="s">
        <v>86</v>
      </c>
      <c r="C39" s="264" t="s">
        <v>24</v>
      </c>
      <c r="D39" s="231" t="s">
        <v>23</v>
      </c>
      <c r="E39" s="231" t="s">
        <v>23</v>
      </c>
      <c r="F39" s="232" t="s">
        <v>22</v>
      </c>
      <c r="G39" s="232" t="s">
        <v>22</v>
      </c>
      <c r="H39" s="232" t="s">
        <v>22</v>
      </c>
      <c r="I39" s="232" t="s">
        <v>22</v>
      </c>
      <c r="J39" s="231" t="s">
        <v>23</v>
      </c>
      <c r="K39" s="231" t="s">
        <v>23</v>
      </c>
      <c r="L39" s="266" t="s">
        <v>63</v>
      </c>
      <c r="M39" s="266" t="s">
        <v>63</v>
      </c>
      <c r="N39" s="266" t="s">
        <v>63</v>
      </c>
      <c r="O39" s="266" t="s">
        <v>63</v>
      </c>
      <c r="P39" s="231" t="s">
        <v>23</v>
      </c>
      <c r="Q39" s="231" t="s">
        <v>23</v>
      </c>
      <c r="R39" s="264" t="s">
        <v>24</v>
      </c>
      <c r="S39" s="264" t="s">
        <v>24</v>
      </c>
      <c r="T39" s="264" t="s">
        <v>24</v>
      </c>
      <c r="U39" s="264" t="s">
        <v>24</v>
      </c>
      <c r="V39" s="231" t="s">
        <v>23</v>
      </c>
      <c r="W39" s="231" t="s">
        <v>23</v>
      </c>
      <c r="X39" s="232" t="s">
        <v>22</v>
      </c>
      <c r="Y39" s="232" t="s">
        <v>22</v>
      </c>
      <c r="Z39" s="232" t="s">
        <v>22</v>
      </c>
      <c r="AA39" s="232" t="s">
        <v>22</v>
      </c>
      <c r="AB39" s="231" t="s">
        <v>23</v>
      </c>
      <c r="AC39" s="231" t="s">
        <v>23</v>
      </c>
      <c r="AD39" s="264" t="s">
        <v>24</v>
      </c>
      <c r="AE39" s="264" t="s">
        <v>24</v>
      </c>
      <c r="AF39" s="265" t="s">
        <v>24</v>
      </c>
      <c r="AH39" s="224">
        <f>VLOOKUP($B39,'MAR25'!$B:$AO,36,0)</f>
        <v>0</v>
      </c>
      <c r="AI39" s="225">
        <f t="shared" si="8"/>
        <v>0</v>
      </c>
      <c r="AJ39" s="226">
        <f t="shared" si="9"/>
        <v>0</v>
      </c>
      <c r="AK39" s="66"/>
      <c r="AL39" s="227">
        <f>VLOOKUP($B39,'MAR25'!$B:$AO,40,0)</f>
        <v>18</v>
      </c>
      <c r="AM39" s="225">
        <f t="shared" si="10"/>
        <v>0</v>
      </c>
      <c r="AN39" s="230">
        <f t="shared" si="11"/>
        <v>18</v>
      </c>
    </row>
    <row r="40" spans="1:40" ht="18.75" customHeight="1">
      <c r="A40" s="602" t="s">
        <v>87</v>
      </c>
      <c r="B40" s="535" t="s">
        <v>88</v>
      </c>
      <c r="C40" s="231" t="s">
        <v>23</v>
      </c>
      <c r="D40" s="264" t="s">
        <v>24</v>
      </c>
      <c r="E40" s="332" t="s">
        <v>68</v>
      </c>
      <c r="F40" s="264" t="s">
        <v>24</v>
      </c>
      <c r="G40" s="264" t="s">
        <v>24</v>
      </c>
      <c r="H40" s="231" t="s">
        <v>23</v>
      </c>
      <c r="I40" s="231" t="s">
        <v>23</v>
      </c>
      <c r="J40" s="336" t="s">
        <v>19</v>
      </c>
      <c r="K40" s="336" t="s">
        <v>19</v>
      </c>
      <c r="L40" s="336" t="s">
        <v>19</v>
      </c>
      <c r="M40" s="336" t="s">
        <v>19</v>
      </c>
      <c r="N40" s="231" t="s">
        <v>23</v>
      </c>
      <c r="O40" s="231" t="s">
        <v>23</v>
      </c>
      <c r="P40" s="266" t="s">
        <v>63</v>
      </c>
      <c r="Q40" s="266" t="s">
        <v>63</v>
      </c>
      <c r="R40" s="266" t="s">
        <v>63</v>
      </c>
      <c r="S40" s="266" t="s">
        <v>63</v>
      </c>
      <c r="T40" s="231" t="s">
        <v>23</v>
      </c>
      <c r="U40" s="231" t="s">
        <v>23</v>
      </c>
      <c r="V40" s="708" t="s">
        <v>30</v>
      </c>
      <c r="W40" s="264" t="s">
        <v>24</v>
      </c>
      <c r="X40" s="264" t="s">
        <v>24</v>
      </c>
      <c r="Y40" s="264" t="s">
        <v>24</v>
      </c>
      <c r="Z40" s="231" t="s">
        <v>23</v>
      </c>
      <c r="AA40" s="231" t="s">
        <v>23</v>
      </c>
      <c r="AB40" s="232" t="s">
        <v>22</v>
      </c>
      <c r="AC40" s="232" t="s">
        <v>22</v>
      </c>
      <c r="AD40" s="232" t="s">
        <v>22</v>
      </c>
      <c r="AE40" s="232" t="s">
        <v>22</v>
      </c>
      <c r="AF40" s="234" t="s">
        <v>23</v>
      </c>
      <c r="AH40" s="224">
        <f>VLOOKUP($B40,'MAR25'!$B:$AO,36,0)</f>
        <v>0</v>
      </c>
      <c r="AI40" s="225">
        <f t="shared" si="8"/>
        <v>0</v>
      </c>
      <c r="AJ40" s="226">
        <f t="shared" si="9"/>
        <v>0</v>
      </c>
      <c r="AK40" s="66"/>
      <c r="AL40" s="227">
        <f>VLOOKUP($B40,'MAR25'!$B:$AO,40,0)</f>
        <v>19</v>
      </c>
      <c r="AM40" s="225">
        <f t="shared" si="10"/>
        <v>0</v>
      </c>
      <c r="AN40" s="230">
        <f t="shared" si="11"/>
        <v>19</v>
      </c>
    </row>
    <row r="41" spans="1:40" ht="18.75" customHeight="1">
      <c r="A41" s="602" t="s">
        <v>90</v>
      </c>
      <c r="B41" s="535" t="s">
        <v>91</v>
      </c>
      <c r="C41" s="232" t="s">
        <v>22</v>
      </c>
      <c r="D41" s="232" t="s">
        <v>22</v>
      </c>
      <c r="E41" s="232" t="s">
        <v>22</v>
      </c>
      <c r="F41" s="231" t="s">
        <v>23</v>
      </c>
      <c r="G41" s="231" t="s">
        <v>23</v>
      </c>
      <c r="H41" s="264" t="s">
        <v>24</v>
      </c>
      <c r="I41" s="264" t="s">
        <v>24</v>
      </c>
      <c r="J41" s="264" t="s">
        <v>24</v>
      </c>
      <c r="K41" s="264" t="s">
        <v>24</v>
      </c>
      <c r="L41" s="231" t="s">
        <v>23</v>
      </c>
      <c r="M41" s="231" t="s">
        <v>23</v>
      </c>
      <c r="N41" s="232" t="s">
        <v>22</v>
      </c>
      <c r="O41" s="232" t="s">
        <v>22</v>
      </c>
      <c r="P41" s="232" t="s">
        <v>22</v>
      </c>
      <c r="Q41" s="232" t="s">
        <v>22</v>
      </c>
      <c r="R41" s="231" t="s">
        <v>23</v>
      </c>
      <c r="S41" s="231" t="s">
        <v>23</v>
      </c>
      <c r="T41" s="266" t="s">
        <v>63</v>
      </c>
      <c r="U41" s="266" t="s">
        <v>63</v>
      </c>
      <c r="V41" s="266" t="s">
        <v>63</v>
      </c>
      <c r="W41" s="266" t="s">
        <v>63</v>
      </c>
      <c r="X41" s="231" t="s">
        <v>23</v>
      </c>
      <c r="Y41" s="231" t="s">
        <v>23</v>
      </c>
      <c r="Z41" s="264" t="s">
        <v>24</v>
      </c>
      <c r="AA41" s="264" t="s">
        <v>24</v>
      </c>
      <c r="AB41" s="264" t="s">
        <v>24</v>
      </c>
      <c r="AC41" s="264" t="s">
        <v>24</v>
      </c>
      <c r="AD41" s="231" t="s">
        <v>23</v>
      </c>
      <c r="AE41" s="231" t="s">
        <v>23</v>
      </c>
      <c r="AF41" s="235" t="s">
        <v>22</v>
      </c>
      <c r="AH41" s="224">
        <f>VLOOKUP($B41,'MAR25'!$B:$AO,36,0)</f>
        <v>0</v>
      </c>
      <c r="AI41" s="225">
        <f t="shared" si="8"/>
        <v>0</v>
      </c>
      <c r="AJ41" s="226">
        <f t="shared" si="9"/>
        <v>0</v>
      </c>
      <c r="AK41" s="66"/>
      <c r="AL41" s="227">
        <f>VLOOKUP($B41,'MAR25'!$B:$AO,40,0)</f>
        <v>11</v>
      </c>
      <c r="AM41" s="225">
        <f t="shared" si="10"/>
        <v>0</v>
      </c>
      <c r="AN41" s="230">
        <f t="shared" si="11"/>
        <v>11</v>
      </c>
    </row>
    <row r="42" spans="1:40" ht="18.75" customHeight="1">
      <c r="A42" s="602" t="s">
        <v>92</v>
      </c>
      <c r="B42" s="535" t="s">
        <v>93</v>
      </c>
      <c r="C42" s="264" t="s">
        <v>24</v>
      </c>
      <c r="D42" s="231" t="s">
        <v>23</v>
      </c>
      <c r="E42" s="231" t="s">
        <v>23</v>
      </c>
      <c r="F42" s="232" t="s">
        <v>22</v>
      </c>
      <c r="G42" s="232" t="s">
        <v>22</v>
      </c>
      <c r="H42" s="232" t="s">
        <v>22</v>
      </c>
      <c r="I42" s="232" t="s">
        <v>22</v>
      </c>
      <c r="J42" s="231" t="s">
        <v>23</v>
      </c>
      <c r="K42" s="231" t="s">
        <v>23</v>
      </c>
      <c r="L42" s="264" t="s">
        <v>24</v>
      </c>
      <c r="M42" s="264" t="s">
        <v>24</v>
      </c>
      <c r="N42" s="264" t="s">
        <v>24</v>
      </c>
      <c r="O42" s="264" t="s">
        <v>24</v>
      </c>
      <c r="P42" s="231" t="s">
        <v>23</v>
      </c>
      <c r="Q42" s="231" t="s">
        <v>23</v>
      </c>
      <c r="R42" s="232" t="s">
        <v>22</v>
      </c>
      <c r="S42" s="232" t="s">
        <v>22</v>
      </c>
      <c r="T42" s="232" t="s">
        <v>22</v>
      </c>
      <c r="U42" s="232" t="s">
        <v>22</v>
      </c>
      <c r="V42" s="231" t="s">
        <v>23</v>
      </c>
      <c r="W42" s="231" t="s">
        <v>23</v>
      </c>
      <c r="X42" s="266" t="s">
        <v>63</v>
      </c>
      <c r="Y42" s="266" t="s">
        <v>63</v>
      </c>
      <c r="Z42" s="348" t="s">
        <v>177</v>
      </c>
      <c r="AA42" s="348" t="s">
        <v>177</v>
      </c>
      <c r="AB42" s="231" t="s">
        <v>23</v>
      </c>
      <c r="AC42" s="231" t="s">
        <v>23</v>
      </c>
      <c r="AD42" s="264" t="s">
        <v>24</v>
      </c>
      <c r="AE42" s="267" t="s">
        <v>31</v>
      </c>
      <c r="AF42" s="268" t="s">
        <v>31</v>
      </c>
      <c r="AH42" s="224">
        <f>VLOOKUP($B42,'MAR25'!$B:$AO,36,0)</f>
        <v>2</v>
      </c>
      <c r="AI42" s="225">
        <f t="shared" si="8"/>
        <v>2</v>
      </c>
      <c r="AJ42" s="226">
        <f t="shared" si="9"/>
        <v>0</v>
      </c>
      <c r="AK42" s="66"/>
      <c r="AL42" s="227">
        <f>VLOOKUP($B42,'MAR25'!$B:$AO,40,0)</f>
        <v>22</v>
      </c>
      <c r="AM42" s="225">
        <f t="shared" si="10"/>
        <v>0</v>
      </c>
      <c r="AN42" s="230">
        <f t="shared" si="11"/>
        <v>22</v>
      </c>
    </row>
    <row r="43" spans="1:40" ht="19.5" customHeight="1" thickBot="1">
      <c r="A43" s="680" t="s">
        <v>94</v>
      </c>
      <c r="B43" s="550" t="s">
        <v>95</v>
      </c>
      <c r="C43" s="361" t="s">
        <v>19</v>
      </c>
      <c r="D43" s="361" t="s">
        <v>19</v>
      </c>
      <c r="E43" s="361" t="s">
        <v>19</v>
      </c>
      <c r="F43" s="361" t="s">
        <v>19</v>
      </c>
      <c r="G43" s="361" t="s">
        <v>19</v>
      </c>
      <c r="H43" s="361" t="s">
        <v>19</v>
      </c>
      <c r="I43" s="361" t="s">
        <v>19</v>
      </c>
      <c r="J43" s="361" t="s">
        <v>19</v>
      </c>
      <c r="K43" s="361" t="s">
        <v>19</v>
      </c>
      <c r="L43" s="361" t="s">
        <v>19</v>
      </c>
      <c r="M43" s="361" t="s">
        <v>19</v>
      </c>
      <c r="N43" s="361" t="s">
        <v>19</v>
      </c>
      <c r="O43" s="361" t="s">
        <v>19</v>
      </c>
      <c r="P43" s="361" t="s">
        <v>19</v>
      </c>
      <c r="Q43" s="361" t="s">
        <v>19</v>
      </c>
      <c r="R43" s="361" t="s">
        <v>19</v>
      </c>
      <c r="S43" s="361" t="s">
        <v>19</v>
      </c>
      <c r="T43" s="361" t="s">
        <v>19</v>
      </c>
      <c r="U43" s="361" t="s">
        <v>19</v>
      </c>
      <c r="V43" s="361" t="s">
        <v>19</v>
      </c>
      <c r="W43" s="361" t="s">
        <v>19</v>
      </c>
      <c r="X43" s="361" t="s">
        <v>19</v>
      </c>
      <c r="Y43" s="361" t="s">
        <v>19</v>
      </c>
      <c r="Z43" s="361" t="s">
        <v>19</v>
      </c>
      <c r="AA43" s="361" t="s">
        <v>19</v>
      </c>
      <c r="AB43" s="361" t="s">
        <v>19</v>
      </c>
      <c r="AC43" s="361" t="s">
        <v>19</v>
      </c>
      <c r="AD43" s="361" t="s">
        <v>19</v>
      </c>
      <c r="AE43" s="361" t="s">
        <v>19</v>
      </c>
      <c r="AF43" s="349" t="s">
        <v>19</v>
      </c>
      <c r="AH43" s="240">
        <f>VLOOKUP($B43,'MAR25'!$B:$AO,36,0)</f>
        <v>0</v>
      </c>
      <c r="AI43" s="283">
        <f t="shared" si="8"/>
        <v>0</v>
      </c>
      <c r="AJ43" s="287">
        <f t="shared" si="9"/>
        <v>0</v>
      </c>
      <c r="AK43" s="66"/>
      <c r="AL43" s="241">
        <f>VLOOKUP($B43,'MAR25'!$B:$AO,40,0)</f>
        <v>22</v>
      </c>
      <c r="AM43" s="283">
        <f t="shared" si="10"/>
        <v>0</v>
      </c>
      <c r="AN43" s="288">
        <f t="shared" si="11"/>
        <v>22</v>
      </c>
    </row>
    <row r="44" spans="1:40" ht="20.100000000000001" customHeight="1" thickBot="1">
      <c r="A44" s="302"/>
      <c r="B44" s="302"/>
      <c r="C44" s="645"/>
      <c r="D44" s="645"/>
      <c r="E44" s="645"/>
      <c r="F44" s="645"/>
      <c r="G44" s="645"/>
      <c r="H44" s="645"/>
      <c r="I44" s="645"/>
      <c r="J44" s="645"/>
      <c r="K44" s="645"/>
      <c r="L44" s="645"/>
      <c r="M44" s="645"/>
      <c r="N44" s="645"/>
      <c r="O44" s="645"/>
      <c r="P44" s="645"/>
      <c r="Q44" s="645"/>
      <c r="R44" s="645"/>
      <c r="S44" s="645"/>
      <c r="T44" s="645"/>
      <c r="U44" s="645"/>
      <c r="V44" s="645"/>
      <c r="W44" s="645"/>
      <c r="X44" s="645"/>
      <c r="Y44" s="645"/>
      <c r="Z44" s="645"/>
      <c r="AA44" s="645"/>
      <c r="AB44" s="645"/>
      <c r="AC44" s="645"/>
      <c r="AD44" s="645"/>
      <c r="AE44" s="645"/>
      <c r="AF44" s="645"/>
      <c r="AH44" s="246"/>
      <c r="AI44" s="247"/>
      <c r="AJ44" s="248"/>
      <c r="AK44" s="66"/>
      <c r="AL44" s="247"/>
      <c r="AM44" s="247"/>
      <c r="AN44" s="247"/>
    </row>
    <row r="45" spans="1:40" ht="24.95" customHeight="1" thickBot="1">
      <c r="A45" s="581" t="s">
        <v>97</v>
      </c>
      <c r="B45" s="514"/>
      <c r="C45" s="514"/>
      <c r="D45" s="514"/>
      <c r="E45" s="514"/>
      <c r="F45" s="514"/>
      <c r="G45" s="514"/>
      <c r="H45" s="514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Y45" s="514"/>
      <c r="Z45" s="514"/>
      <c r="AA45" s="514"/>
      <c r="AB45" s="514"/>
      <c r="AC45" s="514"/>
      <c r="AD45" s="650"/>
      <c r="AE45" s="650"/>
      <c r="AF45" s="651"/>
      <c r="AH45" s="246"/>
      <c r="AI45" s="247"/>
      <c r="AJ45" s="248"/>
      <c r="AK45" s="66"/>
      <c r="AL45" s="247"/>
      <c r="AM45" s="247"/>
      <c r="AN45" s="247"/>
    </row>
    <row r="46" spans="1:40" ht="18" customHeight="1">
      <c r="A46" s="602" t="s">
        <v>98</v>
      </c>
      <c r="B46" s="535" t="s">
        <v>99</v>
      </c>
      <c r="C46" s="272" t="s">
        <v>83</v>
      </c>
      <c r="D46" s="272" t="s">
        <v>83</v>
      </c>
      <c r="E46" s="269" t="s">
        <v>23</v>
      </c>
      <c r="F46" s="269" t="s">
        <v>23</v>
      </c>
      <c r="G46" s="274" t="s">
        <v>100</v>
      </c>
      <c r="H46" s="274" t="s">
        <v>100</v>
      </c>
      <c r="I46" s="274" t="s">
        <v>100</v>
      </c>
      <c r="J46" s="274" t="s">
        <v>100</v>
      </c>
      <c r="K46" s="269" t="s">
        <v>23</v>
      </c>
      <c r="L46" s="269" t="s">
        <v>23</v>
      </c>
      <c r="M46" s="272" t="s">
        <v>83</v>
      </c>
      <c r="N46" s="272" t="s">
        <v>83</v>
      </c>
      <c r="O46" s="272" t="s">
        <v>83</v>
      </c>
      <c r="P46" s="272" t="s">
        <v>83</v>
      </c>
      <c r="Q46" s="269" t="s">
        <v>23</v>
      </c>
      <c r="R46" s="269" t="s">
        <v>23</v>
      </c>
      <c r="S46" s="276" t="s">
        <v>103</v>
      </c>
      <c r="T46" s="276" t="s">
        <v>103</v>
      </c>
      <c r="U46" s="276" t="s">
        <v>103</v>
      </c>
      <c r="V46" s="276" t="s">
        <v>103</v>
      </c>
      <c r="W46" s="269" t="s">
        <v>23</v>
      </c>
      <c r="X46" s="269" t="s">
        <v>23</v>
      </c>
      <c r="Y46" s="274" t="s">
        <v>100</v>
      </c>
      <c r="Z46" s="274" t="s">
        <v>100</v>
      </c>
      <c r="AA46" s="274" t="s">
        <v>100</v>
      </c>
      <c r="AB46" s="274" t="s">
        <v>100</v>
      </c>
      <c r="AC46" s="269" t="s">
        <v>23</v>
      </c>
      <c r="AD46" s="269" t="s">
        <v>23</v>
      </c>
      <c r="AE46" s="276" t="s">
        <v>103</v>
      </c>
      <c r="AF46" s="277" t="s">
        <v>103</v>
      </c>
      <c r="AH46" s="217">
        <f>VLOOKUP($B46,'MAR25'!$B:$AO,36,0)</f>
        <v>0</v>
      </c>
      <c r="AI46" s="218">
        <f t="shared" si="8"/>
        <v>0</v>
      </c>
      <c r="AJ46" s="219">
        <f t="shared" si="9"/>
        <v>0</v>
      </c>
      <c r="AK46" s="66"/>
      <c r="AL46" s="220">
        <f>VLOOKUP($B46,'MAR25'!$B:$AO,40,0)</f>
        <v>21</v>
      </c>
      <c r="AM46" s="218">
        <f t="shared" si="10"/>
        <v>0</v>
      </c>
      <c r="AN46" s="221">
        <f t="shared" si="11"/>
        <v>21</v>
      </c>
    </row>
    <row r="47" spans="1:40" ht="18.75" customHeight="1">
      <c r="A47" s="602" t="s">
        <v>104</v>
      </c>
      <c r="B47" s="535" t="s">
        <v>105</v>
      </c>
      <c r="C47" s="278" t="s">
        <v>31</v>
      </c>
      <c r="D47" s="278" t="s">
        <v>31</v>
      </c>
      <c r="E47" s="278" t="s">
        <v>31</v>
      </c>
      <c r="F47" s="278" t="s">
        <v>31</v>
      </c>
      <c r="G47" s="269" t="s">
        <v>23</v>
      </c>
      <c r="H47" s="269" t="s">
        <v>23</v>
      </c>
      <c r="I47" s="278" t="s">
        <v>31</v>
      </c>
      <c r="J47" s="278" t="s">
        <v>31</v>
      </c>
      <c r="K47" s="267" t="s">
        <v>34</v>
      </c>
      <c r="L47" s="267" t="s">
        <v>34</v>
      </c>
      <c r="M47" s="269" t="s">
        <v>23</v>
      </c>
      <c r="N47" s="269" t="s">
        <v>23</v>
      </c>
      <c r="O47" s="267" t="s">
        <v>34</v>
      </c>
      <c r="P47" s="267" t="s">
        <v>34</v>
      </c>
      <c r="Q47" s="267" t="s">
        <v>34</v>
      </c>
      <c r="R47" s="267" t="s">
        <v>34</v>
      </c>
      <c r="S47" s="269" t="s">
        <v>23</v>
      </c>
      <c r="T47" s="269" t="s">
        <v>23</v>
      </c>
      <c r="U47" s="336" t="s">
        <v>39</v>
      </c>
      <c r="V47" s="708" t="s">
        <v>30</v>
      </c>
      <c r="W47" s="716"/>
      <c r="X47" s="716"/>
      <c r="Y47" s="716"/>
      <c r="Z47" s="716"/>
      <c r="AA47" s="716"/>
      <c r="AB47" s="716"/>
      <c r="AC47" s="716"/>
      <c r="AD47" s="716"/>
      <c r="AE47" s="716"/>
      <c r="AF47" s="744"/>
      <c r="AH47" s="224">
        <f>VLOOKUP($B47,'MAR25'!$B:$AO,36,0)</f>
        <v>6</v>
      </c>
      <c r="AI47" s="225">
        <f t="shared" si="8"/>
        <v>6</v>
      </c>
      <c r="AJ47" s="226">
        <f t="shared" si="9"/>
        <v>0</v>
      </c>
      <c r="AK47" s="66"/>
      <c r="AL47" s="227">
        <f>VLOOKUP($B47,'MAR25'!$B:$AO,40,0)</f>
        <v>8</v>
      </c>
      <c r="AM47" s="225">
        <f t="shared" si="10"/>
        <v>6</v>
      </c>
      <c r="AN47" s="230">
        <f t="shared" si="11"/>
        <v>2</v>
      </c>
    </row>
    <row r="48" spans="1:40" ht="18.75" customHeight="1">
      <c r="A48" s="602" t="s">
        <v>109</v>
      </c>
      <c r="B48" s="535" t="s">
        <v>110</v>
      </c>
      <c r="C48" s="272" t="s">
        <v>83</v>
      </c>
      <c r="D48" s="272" t="s">
        <v>83</v>
      </c>
      <c r="E48" s="269" t="s">
        <v>23</v>
      </c>
      <c r="F48" s="269" t="s">
        <v>23</v>
      </c>
      <c r="G48" s="266" t="s">
        <v>63</v>
      </c>
      <c r="H48" s="266" t="s">
        <v>63</v>
      </c>
      <c r="I48" s="266" t="s">
        <v>63</v>
      </c>
      <c r="J48" s="266" t="s">
        <v>63</v>
      </c>
      <c r="K48" s="269" t="s">
        <v>23</v>
      </c>
      <c r="L48" s="269" t="s">
        <v>23</v>
      </c>
      <c r="M48" s="272" t="s">
        <v>83</v>
      </c>
      <c r="N48" s="272" t="s">
        <v>83</v>
      </c>
      <c r="O48" s="272" t="s">
        <v>83</v>
      </c>
      <c r="P48" s="272" t="s">
        <v>83</v>
      </c>
      <c r="Q48" s="269" t="s">
        <v>23</v>
      </c>
      <c r="R48" s="269" t="s">
        <v>23</v>
      </c>
      <c r="S48" s="274" t="s">
        <v>100</v>
      </c>
      <c r="T48" s="274" t="s">
        <v>100</v>
      </c>
      <c r="U48" s="274" t="s">
        <v>100</v>
      </c>
      <c r="V48" s="274" t="s">
        <v>100</v>
      </c>
      <c r="W48" s="269" t="s">
        <v>23</v>
      </c>
      <c r="X48" s="269" t="s">
        <v>23</v>
      </c>
      <c r="Y48" s="278" t="s">
        <v>31</v>
      </c>
      <c r="Z48" s="267" t="s">
        <v>34</v>
      </c>
      <c r="AA48" s="706" t="s">
        <v>30</v>
      </c>
      <c r="AB48" s="267" t="s">
        <v>34</v>
      </c>
      <c r="AC48" s="269" t="s">
        <v>23</v>
      </c>
      <c r="AD48" s="269" t="s">
        <v>23</v>
      </c>
      <c r="AE48" s="267" t="s">
        <v>34</v>
      </c>
      <c r="AF48" s="268" t="s">
        <v>34</v>
      </c>
      <c r="AH48" s="224">
        <f>VLOOKUP($B48,'MAR25'!$B:$AO,36,0)</f>
        <v>1</v>
      </c>
      <c r="AI48" s="225">
        <f t="shared" si="8"/>
        <v>1</v>
      </c>
      <c r="AJ48" s="226">
        <f t="shared" si="9"/>
        <v>0</v>
      </c>
      <c r="AK48" s="66"/>
      <c r="AL48" s="227">
        <f>VLOOKUP($B48,'MAR25'!$B:$AO,40,0)</f>
        <v>22</v>
      </c>
      <c r="AM48" s="225">
        <f t="shared" si="10"/>
        <v>4</v>
      </c>
      <c r="AN48" s="230">
        <f t="shared" si="11"/>
        <v>18</v>
      </c>
    </row>
    <row r="49" spans="1:40" ht="18.75" customHeight="1">
      <c r="A49" s="602" t="s">
        <v>111</v>
      </c>
      <c r="B49" s="535" t="s">
        <v>112</v>
      </c>
      <c r="C49" s="269" t="s">
        <v>23</v>
      </c>
      <c r="D49" s="269" t="s">
        <v>23</v>
      </c>
      <c r="E49" s="274" t="s">
        <v>100</v>
      </c>
      <c r="F49" s="274" t="s">
        <v>100</v>
      </c>
      <c r="G49" s="274" t="s">
        <v>100</v>
      </c>
      <c r="H49" s="274" t="s">
        <v>100</v>
      </c>
      <c r="I49" s="269" t="s">
        <v>23</v>
      </c>
      <c r="J49" s="269" t="s">
        <v>23</v>
      </c>
      <c r="K49" s="266" t="s">
        <v>63</v>
      </c>
      <c r="L49" s="266" t="s">
        <v>63</v>
      </c>
      <c r="M49" s="266" t="s">
        <v>63</v>
      </c>
      <c r="N49" s="266" t="s">
        <v>63</v>
      </c>
      <c r="O49" s="269" t="s">
        <v>23</v>
      </c>
      <c r="P49" s="269" t="s">
        <v>23</v>
      </c>
      <c r="Q49" s="272" t="s">
        <v>83</v>
      </c>
      <c r="R49" s="272" t="s">
        <v>83</v>
      </c>
      <c r="S49" s="272" t="s">
        <v>83</v>
      </c>
      <c r="T49" s="272" t="s">
        <v>83</v>
      </c>
      <c r="U49" s="269" t="s">
        <v>23</v>
      </c>
      <c r="V49" s="269" t="s">
        <v>23</v>
      </c>
      <c r="W49" s="274" t="s">
        <v>100</v>
      </c>
      <c r="X49" s="158" t="s">
        <v>19</v>
      </c>
      <c r="Y49" s="158" t="s">
        <v>19</v>
      </c>
      <c r="Z49" s="158" t="s">
        <v>19</v>
      </c>
      <c r="AA49" s="158" t="s">
        <v>19</v>
      </c>
      <c r="AB49" s="158" t="s">
        <v>19</v>
      </c>
      <c r="AC49" s="158" t="s">
        <v>19</v>
      </c>
      <c r="AD49" s="158" t="s">
        <v>19</v>
      </c>
      <c r="AE49" s="158" t="s">
        <v>19</v>
      </c>
      <c r="AF49" s="136" t="s">
        <v>19</v>
      </c>
      <c r="AH49" s="224">
        <f>VLOOKUP($B49,'MAR25'!$B:$AO,36,0)</f>
        <v>0</v>
      </c>
      <c r="AI49" s="225">
        <f t="shared" si="8"/>
        <v>0</v>
      </c>
      <c r="AJ49" s="226">
        <f t="shared" si="9"/>
        <v>0</v>
      </c>
      <c r="AK49" s="66"/>
      <c r="AL49" s="227">
        <f>VLOOKUP($B49,'MAR25'!$B:$AO,40,0)</f>
        <v>22</v>
      </c>
      <c r="AM49" s="225">
        <f t="shared" si="10"/>
        <v>0</v>
      </c>
      <c r="AN49" s="230">
        <f t="shared" si="11"/>
        <v>22</v>
      </c>
    </row>
    <row r="50" spans="1:40" ht="18.75" customHeight="1">
      <c r="A50" s="602" t="s">
        <v>113</v>
      </c>
      <c r="B50" s="535" t="s">
        <v>114</v>
      </c>
      <c r="C50" s="276" t="s">
        <v>103</v>
      </c>
      <c r="D50" s="276" t="s">
        <v>103</v>
      </c>
      <c r="E50" s="276" t="s">
        <v>103</v>
      </c>
      <c r="F50" s="276" t="s">
        <v>103</v>
      </c>
      <c r="G50" s="269" t="s">
        <v>23</v>
      </c>
      <c r="H50" s="269" t="s">
        <v>23</v>
      </c>
      <c r="I50" s="274" t="s">
        <v>100</v>
      </c>
      <c r="J50" s="274" t="s">
        <v>100</v>
      </c>
      <c r="K50" s="274" t="s">
        <v>100</v>
      </c>
      <c r="L50" s="341" t="s">
        <v>19</v>
      </c>
      <c r="M50" s="269" t="s">
        <v>23</v>
      </c>
      <c r="N50" s="269" t="s">
        <v>23</v>
      </c>
      <c r="O50" s="266" t="s">
        <v>63</v>
      </c>
      <c r="P50" s="266" t="s">
        <v>63</v>
      </c>
      <c r="Q50" s="266" t="s">
        <v>63</v>
      </c>
      <c r="R50" s="266" t="s">
        <v>63</v>
      </c>
      <c r="S50" s="269" t="s">
        <v>23</v>
      </c>
      <c r="T50" s="269" t="s">
        <v>23</v>
      </c>
      <c r="U50" s="272" t="s">
        <v>83</v>
      </c>
      <c r="V50" s="272" t="s">
        <v>83</v>
      </c>
      <c r="W50" s="272" t="s">
        <v>83</v>
      </c>
      <c r="X50" s="272" t="s">
        <v>83</v>
      </c>
      <c r="Y50" s="269" t="s">
        <v>23</v>
      </c>
      <c r="Z50" s="269" t="s">
        <v>23</v>
      </c>
      <c r="AA50" s="274" t="s">
        <v>100</v>
      </c>
      <c r="AB50" s="274" t="s">
        <v>100</v>
      </c>
      <c r="AC50" s="274" t="s">
        <v>100</v>
      </c>
      <c r="AD50" s="274" t="s">
        <v>100</v>
      </c>
      <c r="AE50" s="269" t="s">
        <v>23</v>
      </c>
      <c r="AF50" s="271" t="s">
        <v>23</v>
      </c>
      <c r="AH50" s="224">
        <f>VLOOKUP($B50,'MAR25'!$B:$AO,36,0)</f>
        <v>0</v>
      </c>
      <c r="AI50" s="225">
        <f t="shared" si="8"/>
        <v>0</v>
      </c>
      <c r="AJ50" s="226">
        <f t="shared" si="9"/>
        <v>0</v>
      </c>
      <c r="AK50" s="66"/>
      <c r="AL50" s="227">
        <f>VLOOKUP($B50,'MAR25'!$B:$AO,40,0)</f>
        <v>11</v>
      </c>
      <c r="AM50" s="225">
        <f t="shared" si="10"/>
        <v>0</v>
      </c>
      <c r="AN50" s="230">
        <f t="shared" si="11"/>
        <v>11</v>
      </c>
    </row>
    <row r="51" spans="1:40" ht="18.75" customHeight="1">
      <c r="A51" s="602" t="s">
        <v>140</v>
      </c>
      <c r="B51" s="535" t="s">
        <v>141</v>
      </c>
      <c r="C51" s="278" t="s">
        <v>31</v>
      </c>
      <c r="D51" s="87" t="s">
        <v>53</v>
      </c>
      <c r="E51" s="269" t="s">
        <v>23</v>
      </c>
      <c r="F51" s="269" t="s">
        <v>23</v>
      </c>
      <c r="G51" s="278" t="s">
        <v>31</v>
      </c>
      <c r="H51" s="272" t="s">
        <v>83</v>
      </c>
      <c r="I51" s="272" t="s">
        <v>83</v>
      </c>
      <c r="J51" s="272" t="s">
        <v>83</v>
      </c>
      <c r="K51" s="269" t="s">
        <v>23</v>
      </c>
      <c r="L51" s="269" t="s">
        <v>23</v>
      </c>
      <c r="M51" s="274" t="s">
        <v>100</v>
      </c>
      <c r="N51" s="332" t="s">
        <v>19</v>
      </c>
      <c r="O51" s="332" t="s">
        <v>19</v>
      </c>
      <c r="P51" s="274" t="s">
        <v>100</v>
      </c>
      <c r="Q51" s="269" t="s">
        <v>23</v>
      </c>
      <c r="R51" s="269" t="s">
        <v>23</v>
      </c>
      <c r="S51" s="266" t="s">
        <v>63</v>
      </c>
      <c r="T51" s="266" t="s">
        <v>63</v>
      </c>
      <c r="U51" s="266" t="s">
        <v>63</v>
      </c>
      <c r="V51" s="266" t="s">
        <v>63</v>
      </c>
      <c r="W51" s="269" t="s">
        <v>23</v>
      </c>
      <c r="X51" s="269" t="s">
        <v>23</v>
      </c>
      <c r="Y51" s="272" t="s">
        <v>83</v>
      </c>
      <c r="Z51" s="272" t="s">
        <v>83</v>
      </c>
      <c r="AA51" s="272" t="s">
        <v>83</v>
      </c>
      <c r="AB51" s="272" t="s">
        <v>83</v>
      </c>
      <c r="AC51" s="272" t="s">
        <v>83</v>
      </c>
      <c r="AD51" s="269" t="s">
        <v>23</v>
      </c>
      <c r="AE51" s="269" t="s">
        <v>23</v>
      </c>
      <c r="AF51" s="273" t="s">
        <v>100</v>
      </c>
      <c r="AH51" s="224">
        <f>VLOOKUP($B51,'MAR25'!$B:$AO,36,0)</f>
        <v>2</v>
      </c>
      <c r="AI51" s="225">
        <f t="shared" si="8"/>
        <v>2</v>
      </c>
      <c r="AJ51" s="226">
        <f t="shared" si="9"/>
        <v>0</v>
      </c>
      <c r="AK51" s="66"/>
      <c r="AL51" s="227">
        <f>VLOOKUP($B51,'MAR25'!$B:$AO,40,0)</f>
        <v>22</v>
      </c>
      <c r="AM51" s="225">
        <f t="shared" si="10"/>
        <v>0</v>
      </c>
      <c r="AN51" s="230">
        <f t="shared" si="11"/>
        <v>22</v>
      </c>
    </row>
    <row r="52" spans="1:40" ht="18.75" customHeight="1">
      <c r="A52" s="602" t="s">
        <v>117</v>
      </c>
      <c r="B52" s="535" t="s">
        <v>118</v>
      </c>
      <c r="C52" s="269" t="s">
        <v>23</v>
      </c>
      <c r="D52" s="269" t="s">
        <v>23</v>
      </c>
      <c r="E52" s="272" t="s">
        <v>83</v>
      </c>
      <c r="F52" s="272" t="s">
        <v>83</v>
      </c>
      <c r="G52" s="272" t="s">
        <v>83</v>
      </c>
      <c r="H52" s="272" t="s">
        <v>83</v>
      </c>
      <c r="I52" s="269" t="s">
        <v>23</v>
      </c>
      <c r="J52" s="269" t="s">
        <v>23</v>
      </c>
      <c r="K52" s="276" t="s">
        <v>103</v>
      </c>
      <c r="L52" s="276" t="s">
        <v>103</v>
      </c>
      <c r="M52" s="276" t="s">
        <v>103</v>
      </c>
      <c r="N52" s="276" t="s">
        <v>103</v>
      </c>
      <c r="O52" s="269" t="s">
        <v>23</v>
      </c>
      <c r="P52" s="269" t="s">
        <v>23</v>
      </c>
      <c r="Q52" s="274" t="s">
        <v>100</v>
      </c>
      <c r="R52" s="274" t="s">
        <v>100</v>
      </c>
      <c r="S52" s="274" t="s">
        <v>100</v>
      </c>
      <c r="T52" s="274" t="s">
        <v>100</v>
      </c>
      <c r="U52" s="269" t="s">
        <v>23</v>
      </c>
      <c r="V52" s="269" t="s">
        <v>23</v>
      </c>
      <c r="W52" s="266" t="s">
        <v>63</v>
      </c>
      <c r="X52" s="332" t="s">
        <v>19</v>
      </c>
      <c r="Y52" s="266" t="s">
        <v>63</v>
      </c>
      <c r="Z52" s="266" t="s">
        <v>63</v>
      </c>
      <c r="AA52" s="269" t="s">
        <v>23</v>
      </c>
      <c r="AB52" s="269" t="s">
        <v>23</v>
      </c>
      <c r="AC52" s="267" t="s">
        <v>31</v>
      </c>
      <c r="AD52" s="272" t="s">
        <v>83</v>
      </c>
      <c r="AE52" s="272" t="s">
        <v>83</v>
      </c>
      <c r="AF52" s="275" t="s">
        <v>83</v>
      </c>
      <c r="AH52" s="224">
        <f>VLOOKUP($B52,'MAR25'!$B:$AO,36,0)</f>
        <v>1</v>
      </c>
      <c r="AI52" s="225">
        <f t="shared" si="8"/>
        <v>1</v>
      </c>
      <c r="AJ52" s="226">
        <f t="shared" si="9"/>
        <v>0</v>
      </c>
      <c r="AK52" s="66"/>
      <c r="AL52" s="227">
        <f>VLOOKUP($B52,'MAR25'!$B:$AO,40,0)</f>
        <v>11</v>
      </c>
      <c r="AM52" s="225">
        <f t="shared" si="10"/>
        <v>0</v>
      </c>
      <c r="AN52" s="230">
        <f t="shared" si="11"/>
        <v>11</v>
      </c>
    </row>
    <row r="53" spans="1:40" ht="18.75" customHeight="1">
      <c r="A53" s="602" t="s">
        <v>119</v>
      </c>
      <c r="B53" s="535" t="s">
        <v>120</v>
      </c>
      <c r="C53" s="274" t="s">
        <v>100</v>
      </c>
      <c r="D53" s="274" t="s">
        <v>100</v>
      </c>
      <c r="E53" s="274" t="s">
        <v>100</v>
      </c>
      <c r="F53" s="274" t="s">
        <v>100</v>
      </c>
      <c r="G53" s="269" t="s">
        <v>23</v>
      </c>
      <c r="H53" s="269" t="s">
        <v>23</v>
      </c>
      <c r="I53" s="272" t="s">
        <v>83</v>
      </c>
      <c r="J53" s="278" t="s">
        <v>31</v>
      </c>
      <c r="K53" s="278" t="s">
        <v>31</v>
      </c>
      <c r="L53" s="278" t="s">
        <v>31</v>
      </c>
      <c r="M53" s="269" t="s">
        <v>23</v>
      </c>
      <c r="N53" s="269" t="s">
        <v>23</v>
      </c>
      <c r="O53" s="278" t="s">
        <v>31</v>
      </c>
      <c r="P53" s="278" t="s">
        <v>31</v>
      </c>
      <c r="Q53" s="278" t="s">
        <v>31</v>
      </c>
      <c r="R53" s="278" t="s">
        <v>31</v>
      </c>
      <c r="S53" s="269" t="s">
        <v>23</v>
      </c>
      <c r="T53" s="269" t="s">
        <v>23</v>
      </c>
      <c r="U53" s="278" t="s">
        <v>31</v>
      </c>
      <c r="V53" s="708" t="s">
        <v>30</v>
      </c>
      <c r="W53" s="278" t="s">
        <v>31</v>
      </c>
      <c r="X53" s="278" t="s">
        <v>31</v>
      </c>
      <c r="Y53" s="269" t="s">
        <v>23</v>
      </c>
      <c r="Z53" s="269" t="s">
        <v>23</v>
      </c>
      <c r="AA53" s="278" t="s">
        <v>31</v>
      </c>
      <c r="AB53" s="708" t="s">
        <v>30</v>
      </c>
      <c r="AC53" s="278" t="s">
        <v>31</v>
      </c>
      <c r="AD53" s="278" t="s">
        <v>31</v>
      </c>
      <c r="AE53" s="269" t="s">
        <v>23</v>
      </c>
      <c r="AF53" s="271" t="s">
        <v>23</v>
      </c>
      <c r="AH53" s="224">
        <f>VLOOKUP($B53,'MAR25'!$B:$AO,36,0)</f>
        <v>13</v>
      </c>
      <c r="AI53" s="225">
        <f t="shared" si="8"/>
        <v>13</v>
      </c>
      <c r="AJ53" s="226">
        <f t="shared" si="9"/>
        <v>0</v>
      </c>
      <c r="AK53" s="66"/>
      <c r="AL53" s="227">
        <f>VLOOKUP($B53,'MAR25'!$B:$AO,40,0)</f>
        <v>22</v>
      </c>
      <c r="AM53" s="225">
        <f t="shared" si="10"/>
        <v>0</v>
      </c>
      <c r="AN53" s="230">
        <f t="shared" si="11"/>
        <v>22</v>
      </c>
    </row>
    <row r="54" spans="1:40" ht="19.5" thickBot="1">
      <c r="A54" s="690" t="s">
        <v>123</v>
      </c>
      <c r="B54" s="545" t="s">
        <v>124</v>
      </c>
      <c r="C54" s="279" t="s">
        <v>23</v>
      </c>
      <c r="D54" s="279" t="s">
        <v>23</v>
      </c>
      <c r="E54" s="280" t="s">
        <v>24</v>
      </c>
      <c r="F54" s="280" t="s">
        <v>24</v>
      </c>
      <c r="G54" s="280" t="s">
        <v>24</v>
      </c>
      <c r="H54" s="280" t="s">
        <v>24</v>
      </c>
      <c r="I54" s="279" t="s">
        <v>23</v>
      </c>
      <c r="J54" s="279" t="s">
        <v>23</v>
      </c>
      <c r="K54" s="223" t="s">
        <v>22</v>
      </c>
      <c r="L54" s="223" t="s">
        <v>22</v>
      </c>
      <c r="M54" s="223" t="s">
        <v>22</v>
      </c>
      <c r="N54" s="223" t="s">
        <v>22</v>
      </c>
      <c r="O54" s="279" t="s">
        <v>23</v>
      </c>
      <c r="P54" s="279" t="s">
        <v>23</v>
      </c>
      <c r="Q54" s="280" t="s">
        <v>24</v>
      </c>
      <c r="R54" s="280" t="s">
        <v>24</v>
      </c>
      <c r="S54" s="280" t="s">
        <v>24</v>
      </c>
      <c r="T54" s="280" t="s">
        <v>24</v>
      </c>
      <c r="U54" s="279" t="s">
        <v>23</v>
      </c>
      <c r="V54" s="279" t="s">
        <v>23</v>
      </c>
      <c r="W54" s="223" t="s">
        <v>22</v>
      </c>
      <c r="X54" s="223" t="s">
        <v>22</v>
      </c>
      <c r="Y54" s="223" t="s">
        <v>22</v>
      </c>
      <c r="Z54" s="223" t="s">
        <v>22</v>
      </c>
      <c r="AA54" s="223" t="s">
        <v>22</v>
      </c>
      <c r="AB54" s="279" t="s">
        <v>23</v>
      </c>
      <c r="AC54" s="279" t="s">
        <v>23</v>
      </c>
      <c r="AD54" s="280" t="s">
        <v>24</v>
      </c>
      <c r="AE54" s="280" t="s">
        <v>24</v>
      </c>
      <c r="AF54" s="281" t="s">
        <v>24</v>
      </c>
      <c r="AH54" s="240">
        <f>VLOOKUP($B54,'MAR25'!$B:$AO,36,0)</f>
        <v>0</v>
      </c>
      <c r="AI54" s="283">
        <f t="shared" si="8"/>
        <v>0</v>
      </c>
      <c r="AJ54" s="287">
        <f t="shared" si="9"/>
        <v>0</v>
      </c>
      <c r="AK54" s="66"/>
      <c r="AL54" s="241">
        <f>VLOOKUP($B54,'MAR25'!$B:$AO,40,0)</f>
        <v>19</v>
      </c>
      <c r="AM54" s="283">
        <f t="shared" si="10"/>
        <v>0</v>
      </c>
      <c r="AN54" s="288">
        <f t="shared" si="11"/>
        <v>19</v>
      </c>
    </row>
    <row r="55" spans="1:40" ht="9.9499999999999993" customHeight="1" thickBot="1">
      <c r="A55" s="1"/>
      <c r="B55" s="1"/>
      <c r="AH55" s="66"/>
      <c r="AI55" s="66"/>
      <c r="AJ55" s="66"/>
      <c r="AK55" s="66"/>
      <c r="AL55" s="66"/>
      <c r="AM55" s="66"/>
      <c r="AN55" s="66"/>
    </row>
    <row r="56" spans="1:40" ht="18">
      <c r="A56" s="719" t="s">
        <v>103</v>
      </c>
      <c r="B56" s="720"/>
      <c r="C56" s="220">
        <f t="shared" ref="C56:AF56" si="12">COUNTIF(C5:C54,$A$56)</f>
        <v>1</v>
      </c>
      <c r="D56" s="218">
        <f t="shared" si="12"/>
        <v>1</v>
      </c>
      <c r="E56" s="218">
        <f t="shared" si="12"/>
        <v>1</v>
      </c>
      <c r="F56" s="218">
        <f t="shared" si="12"/>
        <v>1</v>
      </c>
      <c r="G56" s="218">
        <f t="shared" si="12"/>
        <v>0</v>
      </c>
      <c r="H56" s="218">
        <f t="shared" si="12"/>
        <v>0</v>
      </c>
      <c r="I56" s="218">
        <f t="shared" si="12"/>
        <v>0</v>
      </c>
      <c r="J56" s="218">
        <f t="shared" si="12"/>
        <v>0</v>
      </c>
      <c r="K56" s="218">
        <f t="shared" si="12"/>
        <v>1</v>
      </c>
      <c r="L56" s="218">
        <f t="shared" si="12"/>
        <v>1</v>
      </c>
      <c r="M56" s="218">
        <f t="shared" si="12"/>
        <v>1</v>
      </c>
      <c r="N56" s="218">
        <f t="shared" si="12"/>
        <v>1</v>
      </c>
      <c r="O56" s="218">
        <f t="shared" si="12"/>
        <v>0</v>
      </c>
      <c r="P56" s="218">
        <f t="shared" si="12"/>
        <v>0</v>
      </c>
      <c r="Q56" s="218">
        <f t="shared" si="12"/>
        <v>0</v>
      </c>
      <c r="R56" s="218">
        <f t="shared" si="12"/>
        <v>0</v>
      </c>
      <c r="S56" s="218">
        <f t="shared" si="12"/>
        <v>1</v>
      </c>
      <c r="T56" s="218">
        <f t="shared" si="12"/>
        <v>1</v>
      </c>
      <c r="U56" s="218">
        <f t="shared" si="12"/>
        <v>1</v>
      </c>
      <c r="V56" s="218">
        <f t="shared" si="12"/>
        <v>1</v>
      </c>
      <c r="W56" s="218">
        <f t="shared" si="12"/>
        <v>0</v>
      </c>
      <c r="X56" s="218">
        <f t="shared" si="12"/>
        <v>0</v>
      </c>
      <c r="Y56" s="218">
        <f t="shared" si="12"/>
        <v>0</v>
      </c>
      <c r="Z56" s="218">
        <f t="shared" si="12"/>
        <v>0</v>
      </c>
      <c r="AA56" s="218">
        <f t="shared" si="12"/>
        <v>0</v>
      </c>
      <c r="AB56" s="218">
        <f t="shared" si="12"/>
        <v>0</v>
      </c>
      <c r="AC56" s="218">
        <f t="shared" si="12"/>
        <v>0</v>
      </c>
      <c r="AD56" s="218">
        <f t="shared" si="12"/>
        <v>0</v>
      </c>
      <c r="AE56" s="218">
        <f t="shared" si="12"/>
        <v>1</v>
      </c>
      <c r="AF56" s="221">
        <f t="shared" si="12"/>
        <v>1</v>
      </c>
      <c r="AH56" s="66"/>
      <c r="AI56" s="66"/>
      <c r="AJ56" s="66"/>
      <c r="AK56" s="66"/>
      <c r="AL56" s="66"/>
      <c r="AM56" s="66"/>
      <c r="AN56" s="66"/>
    </row>
    <row r="57" spans="1:40" ht="18">
      <c r="A57" s="721" t="s">
        <v>22</v>
      </c>
      <c r="B57" s="722"/>
      <c r="C57" s="227">
        <f t="shared" ref="C57:AF57" si="13">COUNTIF(C5:C54,$A$57)</f>
        <v>6</v>
      </c>
      <c r="D57" s="225">
        <f t="shared" si="13"/>
        <v>6</v>
      </c>
      <c r="E57" s="225">
        <f t="shared" si="13"/>
        <v>6</v>
      </c>
      <c r="F57" s="225">
        <f t="shared" si="13"/>
        <v>8</v>
      </c>
      <c r="G57" s="225">
        <f t="shared" si="13"/>
        <v>9</v>
      </c>
      <c r="H57" s="225">
        <f t="shared" si="13"/>
        <v>8</v>
      </c>
      <c r="I57" s="225">
        <f t="shared" si="13"/>
        <v>7</v>
      </c>
      <c r="J57" s="225">
        <f t="shared" si="13"/>
        <v>7</v>
      </c>
      <c r="K57" s="225">
        <f t="shared" si="13"/>
        <v>7</v>
      </c>
      <c r="L57" s="225">
        <f t="shared" si="13"/>
        <v>7</v>
      </c>
      <c r="M57" s="225">
        <f t="shared" si="13"/>
        <v>8</v>
      </c>
      <c r="N57" s="225">
        <f t="shared" si="13"/>
        <v>9</v>
      </c>
      <c r="O57" s="225">
        <f t="shared" si="13"/>
        <v>8</v>
      </c>
      <c r="P57" s="225">
        <f t="shared" si="13"/>
        <v>8</v>
      </c>
      <c r="Q57" s="225">
        <f t="shared" si="13"/>
        <v>8</v>
      </c>
      <c r="R57" s="225">
        <f t="shared" si="13"/>
        <v>8</v>
      </c>
      <c r="S57" s="225">
        <f t="shared" si="13"/>
        <v>8</v>
      </c>
      <c r="T57" s="225">
        <f t="shared" si="13"/>
        <v>6</v>
      </c>
      <c r="U57" s="225">
        <f t="shared" si="13"/>
        <v>5</v>
      </c>
      <c r="V57" s="225">
        <f t="shared" si="13"/>
        <v>4</v>
      </c>
      <c r="W57" s="225">
        <f t="shared" si="13"/>
        <v>6</v>
      </c>
      <c r="X57" s="225">
        <f t="shared" si="13"/>
        <v>7</v>
      </c>
      <c r="Y57" s="225">
        <f t="shared" si="13"/>
        <v>8</v>
      </c>
      <c r="Z57" s="225">
        <f t="shared" si="13"/>
        <v>10</v>
      </c>
      <c r="AA57" s="225">
        <f t="shared" si="13"/>
        <v>9</v>
      </c>
      <c r="AB57" s="225">
        <f t="shared" si="13"/>
        <v>8</v>
      </c>
      <c r="AC57" s="225">
        <f t="shared" si="13"/>
        <v>8</v>
      </c>
      <c r="AD57" s="225">
        <f t="shared" si="13"/>
        <v>8</v>
      </c>
      <c r="AE57" s="225">
        <f t="shared" si="13"/>
        <v>10</v>
      </c>
      <c r="AF57" s="230">
        <f t="shared" si="13"/>
        <v>9</v>
      </c>
      <c r="AH57" s="66"/>
      <c r="AI57" s="66"/>
      <c r="AJ57" s="66"/>
      <c r="AK57" s="66"/>
      <c r="AL57" s="66"/>
      <c r="AM57" s="66"/>
      <c r="AN57" s="66"/>
    </row>
    <row r="58" spans="1:40" ht="18">
      <c r="A58" s="723" t="s">
        <v>83</v>
      </c>
      <c r="B58" s="724"/>
      <c r="C58" s="227">
        <f t="shared" ref="C58:AF58" si="14">COUNTIF(C5:C54,$A$58)</f>
        <v>2</v>
      </c>
      <c r="D58" s="225">
        <f t="shared" si="14"/>
        <v>2</v>
      </c>
      <c r="E58" s="225">
        <f t="shared" si="14"/>
        <v>1</v>
      </c>
      <c r="F58" s="225">
        <f t="shared" si="14"/>
        <v>1</v>
      </c>
      <c r="G58" s="225">
        <f t="shared" si="14"/>
        <v>1</v>
      </c>
      <c r="H58" s="225">
        <f t="shared" si="14"/>
        <v>2</v>
      </c>
      <c r="I58" s="225">
        <f t="shared" si="14"/>
        <v>2</v>
      </c>
      <c r="J58" s="225">
        <f t="shared" si="14"/>
        <v>1</v>
      </c>
      <c r="K58" s="225">
        <f t="shared" si="14"/>
        <v>0</v>
      </c>
      <c r="L58" s="225">
        <f t="shared" si="14"/>
        <v>0</v>
      </c>
      <c r="M58" s="225">
        <f t="shared" si="14"/>
        <v>2</v>
      </c>
      <c r="N58" s="225">
        <f t="shared" si="14"/>
        <v>2</v>
      </c>
      <c r="O58" s="225">
        <f t="shared" si="14"/>
        <v>2</v>
      </c>
      <c r="P58" s="225">
        <f t="shared" si="14"/>
        <v>2</v>
      </c>
      <c r="Q58" s="225">
        <f t="shared" si="14"/>
        <v>1</v>
      </c>
      <c r="R58" s="225">
        <f t="shared" si="14"/>
        <v>1</v>
      </c>
      <c r="S58" s="225">
        <f t="shared" si="14"/>
        <v>1</v>
      </c>
      <c r="T58" s="225">
        <f t="shared" si="14"/>
        <v>1</v>
      </c>
      <c r="U58" s="225">
        <f t="shared" si="14"/>
        <v>1</v>
      </c>
      <c r="V58" s="225">
        <f t="shared" si="14"/>
        <v>1</v>
      </c>
      <c r="W58" s="225">
        <f t="shared" si="14"/>
        <v>1</v>
      </c>
      <c r="X58" s="225">
        <f t="shared" si="14"/>
        <v>1</v>
      </c>
      <c r="Y58" s="225">
        <f t="shared" si="14"/>
        <v>1</v>
      </c>
      <c r="Z58" s="225">
        <f t="shared" si="14"/>
        <v>1</v>
      </c>
      <c r="AA58" s="225">
        <f t="shared" si="14"/>
        <v>1</v>
      </c>
      <c r="AB58" s="225">
        <f t="shared" si="14"/>
        <v>1</v>
      </c>
      <c r="AC58" s="225">
        <f t="shared" si="14"/>
        <v>1</v>
      </c>
      <c r="AD58" s="225">
        <f t="shared" si="14"/>
        <v>1</v>
      </c>
      <c r="AE58" s="225">
        <f t="shared" si="14"/>
        <v>1</v>
      </c>
      <c r="AF58" s="230">
        <f t="shared" si="14"/>
        <v>1</v>
      </c>
      <c r="AH58" s="66"/>
      <c r="AI58" s="66"/>
      <c r="AJ58" s="66"/>
      <c r="AK58" s="66"/>
      <c r="AL58" s="66"/>
      <c r="AM58" s="66"/>
      <c r="AN58" s="66"/>
    </row>
    <row r="59" spans="1:40" ht="18">
      <c r="A59" s="725" t="s">
        <v>24</v>
      </c>
      <c r="B59" s="726"/>
      <c r="C59" s="227">
        <f t="shared" ref="C59:AF59" si="15">COUNTIF(C5:C54,"P14")+COUNTIF(C5:C54,"P14EW")</f>
        <v>6</v>
      </c>
      <c r="D59" s="225">
        <f t="shared" si="15"/>
        <v>6</v>
      </c>
      <c r="E59" s="225">
        <f t="shared" si="15"/>
        <v>6</v>
      </c>
      <c r="F59" s="225">
        <f t="shared" si="15"/>
        <v>7</v>
      </c>
      <c r="G59" s="225">
        <f t="shared" si="15"/>
        <v>8</v>
      </c>
      <c r="H59" s="225">
        <f t="shared" si="15"/>
        <v>8</v>
      </c>
      <c r="I59" s="225">
        <f t="shared" si="15"/>
        <v>7</v>
      </c>
      <c r="J59" s="225">
        <f t="shared" si="15"/>
        <v>7</v>
      </c>
      <c r="K59" s="225">
        <f t="shared" si="15"/>
        <v>8</v>
      </c>
      <c r="L59" s="225">
        <f t="shared" si="15"/>
        <v>8</v>
      </c>
      <c r="M59" s="225">
        <f t="shared" si="15"/>
        <v>8</v>
      </c>
      <c r="N59" s="225">
        <f t="shared" si="15"/>
        <v>7</v>
      </c>
      <c r="O59" s="225">
        <f t="shared" si="15"/>
        <v>6</v>
      </c>
      <c r="P59" s="225">
        <f t="shared" si="15"/>
        <v>6</v>
      </c>
      <c r="Q59" s="225">
        <f t="shared" si="15"/>
        <v>8</v>
      </c>
      <c r="R59" s="225">
        <f t="shared" si="15"/>
        <v>8</v>
      </c>
      <c r="S59" s="225">
        <f t="shared" si="15"/>
        <v>8</v>
      </c>
      <c r="T59" s="225">
        <f t="shared" si="15"/>
        <v>6</v>
      </c>
      <c r="U59" s="225">
        <f t="shared" si="15"/>
        <v>6</v>
      </c>
      <c r="V59" s="225">
        <f t="shared" si="15"/>
        <v>5</v>
      </c>
      <c r="W59" s="225">
        <f t="shared" si="15"/>
        <v>6</v>
      </c>
      <c r="X59" s="225">
        <f t="shared" si="15"/>
        <v>8</v>
      </c>
      <c r="Y59" s="225">
        <f t="shared" si="15"/>
        <v>9</v>
      </c>
      <c r="Z59" s="225">
        <f t="shared" si="15"/>
        <v>7</v>
      </c>
      <c r="AA59" s="225">
        <f t="shared" si="15"/>
        <v>6</v>
      </c>
      <c r="AB59" s="225">
        <f t="shared" si="15"/>
        <v>4</v>
      </c>
      <c r="AC59" s="225">
        <f t="shared" si="15"/>
        <v>4</v>
      </c>
      <c r="AD59" s="225">
        <f t="shared" si="15"/>
        <v>6</v>
      </c>
      <c r="AE59" s="225">
        <f t="shared" si="15"/>
        <v>6</v>
      </c>
      <c r="AF59" s="230">
        <f t="shared" si="15"/>
        <v>8</v>
      </c>
      <c r="AH59" s="66"/>
      <c r="AI59" s="66"/>
      <c r="AJ59" s="66"/>
      <c r="AK59" s="66"/>
      <c r="AL59" s="66"/>
      <c r="AM59" s="66"/>
      <c r="AN59" s="66"/>
    </row>
    <row r="60" spans="1:40" ht="20.25" thickBot="1">
      <c r="A60" s="727" t="s">
        <v>63</v>
      </c>
      <c r="B60" s="728"/>
      <c r="C60" s="241">
        <f t="shared" ref="C60:AF60" si="16">COUNTIF(C5:C54,$A$60)</f>
        <v>2</v>
      </c>
      <c r="D60" s="323">
        <f t="shared" si="16"/>
        <v>2</v>
      </c>
      <c r="E60" s="283">
        <f t="shared" si="16"/>
        <v>2</v>
      </c>
      <c r="F60" s="283">
        <f t="shared" si="16"/>
        <v>2</v>
      </c>
      <c r="G60" s="283">
        <f t="shared" si="16"/>
        <v>3</v>
      </c>
      <c r="H60" s="283">
        <f t="shared" si="16"/>
        <v>2</v>
      </c>
      <c r="I60" s="283">
        <f t="shared" si="16"/>
        <v>2</v>
      </c>
      <c r="J60" s="283">
        <f t="shared" si="16"/>
        <v>2</v>
      </c>
      <c r="K60" s="283">
        <f t="shared" si="16"/>
        <v>2</v>
      </c>
      <c r="L60" s="283">
        <f t="shared" si="16"/>
        <v>3</v>
      </c>
      <c r="M60" s="283">
        <f t="shared" si="16"/>
        <v>3</v>
      </c>
      <c r="N60" s="283">
        <f t="shared" si="16"/>
        <v>3</v>
      </c>
      <c r="O60" s="283">
        <f t="shared" si="16"/>
        <v>3</v>
      </c>
      <c r="P60" s="283">
        <f t="shared" si="16"/>
        <v>3</v>
      </c>
      <c r="Q60" s="283">
        <f t="shared" si="16"/>
        <v>3</v>
      </c>
      <c r="R60" s="283">
        <f t="shared" si="16"/>
        <v>3</v>
      </c>
      <c r="S60" s="283">
        <f t="shared" si="16"/>
        <v>3</v>
      </c>
      <c r="T60" s="283">
        <f t="shared" si="16"/>
        <v>3</v>
      </c>
      <c r="U60" s="283">
        <f t="shared" si="16"/>
        <v>3</v>
      </c>
      <c r="V60" s="283">
        <f t="shared" si="16"/>
        <v>3</v>
      </c>
      <c r="W60" s="283">
        <f t="shared" si="16"/>
        <v>3</v>
      </c>
      <c r="X60" s="283">
        <f t="shared" si="16"/>
        <v>2</v>
      </c>
      <c r="Y60" s="283">
        <f t="shared" si="16"/>
        <v>3</v>
      </c>
      <c r="Z60" s="283">
        <f t="shared" si="16"/>
        <v>2</v>
      </c>
      <c r="AA60" s="283">
        <f t="shared" si="16"/>
        <v>1</v>
      </c>
      <c r="AB60" s="283">
        <f t="shared" si="16"/>
        <v>2</v>
      </c>
      <c r="AC60" s="283">
        <f t="shared" si="16"/>
        <v>2</v>
      </c>
      <c r="AD60" s="283">
        <f t="shared" si="16"/>
        <v>2</v>
      </c>
      <c r="AE60" s="283">
        <f t="shared" si="16"/>
        <v>2</v>
      </c>
      <c r="AF60" s="288">
        <f t="shared" si="16"/>
        <v>2</v>
      </c>
      <c r="AH60" s="66"/>
      <c r="AI60" s="66"/>
      <c r="AJ60" s="66"/>
      <c r="AK60" s="66"/>
      <c r="AL60" s="66"/>
      <c r="AM60" s="66"/>
      <c r="AN60" s="66"/>
    </row>
    <row r="61" spans="1:40" ht="20.100000000000001" customHeight="1" thickBot="1">
      <c r="AH61" s="66"/>
      <c r="AI61" s="66"/>
      <c r="AJ61" s="66"/>
      <c r="AK61" s="66"/>
      <c r="AL61" s="66"/>
      <c r="AM61" s="66"/>
      <c r="AN61" s="66"/>
    </row>
    <row r="62" spans="1:40" ht="24.95" customHeight="1" thickBot="1">
      <c r="A62" s="513" t="s">
        <v>126</v>
      </c>
      <c r="B62" s="579"/>
      <c r="C62" s="579"/>
      <c r="D62" s="579"/>
      <c r="E62" s="579"/>
      <c r="F62" s="579"/>
      <c r="G62" s="579"/>
      <c r="H62" s="579"/>
      <c r="I62" s="579"/>
      <c r="J62" s="579"/>
      <c r="K62" s="579"/>
      <c r="L62" s="579"/>
      <c r="M62" s="579"/>
      <c r="N62" s="579"/>
      <c r="O62" s="579"/>
      <c r="P62" s="579"/>
      <c r="Q62" s="579"/>
      <c r="R62" s="579"/>
      <c r="S62" s="579"/>
      <c r="T62" s="579"/>
      <c r="U62" s="579"/>
      <c r="V62" s="579"/>
      <c r="W62" s="579"/>
      <c r="X62" s="579"/>
      <c r="Y62" s="579"/>
      <c r="Z62" s="579"/>
      <c r="AA62" s="579"/>
      <c r="AB62" s="579"/>
      <c r="AC62" s="579"/>
      <c r="AD62" s="579"/>
      <c r="AE62" s="579"/>
      <c r="AF62" s="580"/>
      <c r="AH62" s="66"/>
      <c r="AI62" s="66"/>
      <c r="AJ62" s="66"/>
      <c r="AK62" s="66"/>
      <c r="AL62" s="66"/>
      <c r="AM62" s="66"/>
      <c r="AN62" s="66"/>
    </row>
    <row r="63" spans="1:40" ht="18.75" customHeight="1">
      <c r="A63" s="602" t="s">
        <v>127</v>
      </c>
      <c r="B63" s="535" t="s">
        <v>128</v>
      </c>
      <c r="C63" s="276" t="s">
        <v>125</v>
      </c>
      <c r="D63" s="276" t="s">
        <v>125</v>
      </c>
      <c r="E63" s="276" t="s">
        <v>125</v>
      </c>
      <c r="F63" s="276" t="s">
        <v>125</v>
      </c>
      <c r="G63" s="269" t="s">
        <v>23</v>
      </c>
      <c r="H63" s="269" t="s">
        <v>23</v>
      </c>
      <c r="I63" s="284" t="s">
        <v>83</v>
      </c>
      <c r="J63" s="284" t="s">
        <v>83</v>
      </c>
      <c r="K63" s="284" t="s">
        <v>83</v>
      </c>
      <c r="L63" s="284" t="s">
        <v>83</v>
      </c>
      <c r="M63" s="269" t="s">
        <v>23</v>
      </c>
      <c r="N63" s="269" t="s">
        <v>23</v>
      </c>
      <c r="O63" s="276" t="s">
        <v>125</v>
      </c>
      <c r="P63" s="276" t="s">
        <v>125</v>
      </c>
      <c r="Q63" s="276" t="s">
        <v>125</v>
      </c>
      <c r="R63" s="276" t="s">
        <v>125</v>
      </c>
      <c r="S63" s="269" t="s">
        <v>23</v>
      </c>
      <c r="T63" s="269" t="s">
        <v>23</v>
      </c>
      <c r="U63" s="284" t="s">
        <v>83</v>
      </c>
      <c r="V63" s="284" t="s">
        <v>83</v>
      </c>
      <c r="W63" s="284" t="s">
        <v>83</v>
      </c>
      <c r="X63" s="284" t="s">
        <v>83</v>
      </c>
      <c r="Y63" s="269" t="s">
        <v>23</v>
      </c>
      <c r="Z63" s="269" t="s">
        <v>23</v>
      </c>
      <c r="AA63" s="708" t="s">
        <v>30</v>
      </c>
      <c r="AB63" s="267" t="s">
        <v>34</v>
      </c>
      <c r="AC63" s="267" t="s">
        <v>34</v>
      </c>
      <c r="AD63" s="267" t="s">
        <v>34</v>
      </c>
      <c r="AE63" s="269" t="s">
        <v>23</v>
      </c>
      <c r="AF63" s="271" t="s">
        <v>23</v>
      </c>
      <c r="AH63" s="217">
        <f>VLOOKUP($B63,'MAR25'!$B:$AO,36,0)</f>
        <v>0</v>
      </c>
      <c r="AI63" s="218">
        <f t="shared" ref="AI63:AI69" si="17">COUNTIF(C63:AF63,"UA")</f>
        <v>0</v>
      </c>
      <c r="AJ63" s="219">
        <f t="shared" ref="AJ63:AJ69" si="18">AH63-AI63</f>
        <v>0</v>
      </c>
      <c r="AK63" s="66"/>
      <c r="AL63" s="220">
        <f>VLOOKUP($B63,'MAR25'!$B:$AO,40,0)</f>
        <v>23</v>
      </c>
      <c r="AM63" s="218">
        <f t="shared" ref="AM63:AM69" si="19">COUNTIF(C63:AF63,"U")</f>
        <v>3</v>
      </c>
      <c r="AN63" s="221">
        <f t="shared" ref="AN63:AN69" si="20">AL63-AM63</f>
        <v>20</v>
      </c>
    </row>
    <row r="64" spans="1:40" ht="18.75" customHeight="1">
      <c r="A64" s="602" t="s">
        <v>129</v>
      </c>
      <c r="B64" s="535" t="s">
        <v>130</v>
      </c>
      <c r="C64" s="269" t="s">
        <v>23</v>
      </c>
      <c r="D64" s="269" t="s">
        <v>23</v>
      </c>
      <c r="E64" s="284" t="s">
        <v>83</v>
      </c>
      <c r="F64" s="284" t="s">
        <v>83</v>
      </c>
      <c r="G64" s="332" t="s">
        <v>68</v>
      </c>
      <c r="H64" s="284" t="s">
        <v>83</v>
      </c>
      <c r="I64" s="269" t="s">
        <v>23</v>
      </c>
      <c r="J64" s="269" t="s">
        <v>23</v>
      </c>
      <c r="K64" s="276" t="s">
        <v>125</v>
      </c>
      <c r="L64" s="276" t="s">
        <v>125</v>
      </c>
      <c r="M64" s="276" t="s">
        <v>125</v>
      </c>
      <c r="N64" s="276" t="s">
        <v>125</v>
      </c>
      <c r="O64" s="269" t="s">
        <v>23</v>
      </c>
      <c r="P64" s="269" t="s">
        <v>23</v>
      </c>
      <c r="Q64" s="284" t="s">
        <v>83</v>
      </c>
      <c r="R64" s="284" t="s">
        <v>83</v>
      </c>
      <c r="S64" s="284" t="s">
        <v>83</v>
      </c>
      <c r="T64" s="284" t="s">
        <v>83</v>
      </c>
      <c r="U64" s="269" t="s">
        <v>23</v>
      </c>
      <c r="V64" s="269" t="s">
        <v>23</v>
      </c>
      <c r="W64" s="276" t="s">
        <v>125</v>
      </c>
      <c r="X64" s="276" t="s">
        <v>125</v>
      </c>
      <c r="Y64" s="276" t="s">
        <v>125</v>
      </c>
      <c r="Z64" s="276" t="s">
        <v>125</v>
      </c>
      <c r="AA64" s="269" t="s">
        <v>23</v>
      </c>
      <c r="AB64" s="269" t="s">
        <v>23</v>
      </c>
      <c r="AC64" s="284" t="s">
        <v>83</v>
      </c>
      <c r="AD64" s="284" t="s">
        <v>83</v>
      </c>
      <c r="AE64" s="284" t="s">
        <v>83</v>
      </c>
      <c r="AF64" s="285" t="s">
        <v>83</v>
      </c>
      <c r="AH64" s="224">
        <f>VLOOKUP($B64,'MAR25'!$B:$AO,36,0)</f>
        <v>0</v>
      </c>
      <c r="AI64" s="225">
        <f>COUNTIF(C64:AF64,"UA")</f>
        <v>0</v>
      </c>
      <c r="AJ64" s="226">
        <f>AH64-AI64</f>
        <v>0</v>
      </c>
      <c r="AK64" s="66"/>
      <c r="AL64" s="227">
        <f>VLOOKUP($B64,'MAR25'!$B:$AO,40,0)</f>
        <v>22</v>
      </c>
      <c r="AM64" s="225">
        <f t="shared" si="19"/>
        <v>0</v>
      </c>
      <c r="AN64" s="230">
        <f>AL64-AM64</f>
        <v>22</v>
      </c>
    </row>
    <row r="65" spans="1:40" ht="18.75" customHeight="1">
      <c r="A65" s="602" t="s">
        <v>121</v>
      </c>
      <c r="B65" s="535" t="s">
        <v>122</v>
      </c>
      <c r="C65" s="8" t="s">
        <v>171</v>
      </c>
      <c r="D65" s="8" t="s">
        <v>171</v>
      </c>
      <c r="E65" s="269" t="s">
        <v>23</v>
      </c>
      <c r="F65" s="269" t="s">
        <v>23</v>
      </c>
      <c r="G65" s="276" t="s">
        <v>125</v>
      </c>
      <c r="H65" s="276" t="s">
        <v>125</v>
      </c>
      <c r="I65" s="276" t="s">
        <v>125</v>
      </c>
      <c r="J65" s="276" t="s">
        <v>125</v>
      </c>
      <c r="K65" s="269" t="s">
        <v>23</v>
      </c>
      <c r="L65" s="269" t="s">
        <v>23</v>
      </c>
      <c r="M65" s="8" t="s">
        <v>171</v>
      </c>
      <c r="N65" s="8" t="s">
        <v>171</v>
      </c>
      <c r="O65" s="8" t="s">
        <v>171</v>
      </c>
      <c r="P65" s="8" t="s">
        <v>171</v>
      </c>
      <c r="Q65" s="269" t="s">
        <v>23</v>
      </c>
      <c r="R65" s="269" t="s">
        <v>23</v>
      </c>
      <c r="S65" s="267" t="s">
        <v>34</v>
      </c>
      <c r="T65" s="708" t="s">
        <v>30</v>
      </c>
      <c r="U65" s="267" t="s">
        <v>34</v>
      </c>
      <c r="V65" s="708" t="s">
        <v>30</v>
      </c>
      <c r="W65" s="269" t="s">
        <v>23</v>
      </c>
      <c r="X65" s="269" t="s">
        <v>23</v>
      </c>
      <c r="Y65" s="8" t="s">
        <v>171</v>
      </c>
      <c r="Z65" s="8" t="s">
        <v>171</v>
      </c>
      <c r="AA65" s="8" t="s">
        <v>171</v>
      </c>
      <c r="AB65" s="8" t="s">
        <v>171</v>
      </c>
      <c r="AC65" s="269" t="s">
        <v>23</v>
      </c>
      <c r="AD65" s="269" t="s">
        <v>23</v>
      </c>
      <c r="AE65" s="276" t="s">
        <v>125</v>
      </c>
      <c r="AF65" s="277" t="s">
        <v>125</v>
      </c>
      <c r="AH65" s="224">
        <f>VLOOKUP($B65,'MAR25'!$B:$AO,36,0)</f>
        <v>0</v>
      </c>
      <c r="AI65" s="225">
        <f>COUNTIF(C65:AF65,"UA")</f>
        <v>0</v>
      </c>
      <c r="AJ65" s="226">
        <f>AH65-AI65</f>
        <v>0</v>
      </c>
      <c r="AK65" s="66"/>
      <c r="AL65" s="227">
        <f>VLOOKUP($B65,'MAR25'!$B:$AO,40,0)</f>
        <v>21</v>
      </c>
      <c r="AM65" s="225">
        <f t="shared" si="19"/>
        <v>2</v>
      </c>
      <c r="AN65" s="230">
        <f>AL65-AM65</f>
        <v>19</v>
      </c>
    </row>
    <row r="66" spans="1:40" ht="18.75" customHeight="1">
      <c r="A66" s="602" t="s">
        <v>131</v>
      </c>
      <c r="B66" s="535" t="s">
        <v>132</v>
      </c>
      <c r="C66" s="286" t="s">
        <v>108</v>
      </c>
      <c r="D66" s="286" t="s">
        <v>108</v>
      </c>
      <c r="E66" s="286" t="s">
        <v>108</v>
      </c>
      <c r="F66" s="286" t="s">
        <v>108</v>
      </c>
      <c r="G66" s="286" t="s">
        <v>108</v>
      </c>
      <c r="H66" s="286" t="s">
        <v>108</v>
      </c>
      <c r="I66" s="286" t="s">
        <v>108</v>
      </c>
      <c r="J66" s="286" t="s">
        <v>108</v>
      </c>
      <c r="K66" s="286" t="s">
        <v>108</v>
      </c>
      <c r="L66" s="286" t="s">
        <v>108</v>
      </c>
      <c r="M66" s="286" t="s">
        <v>108</v>
      </c>
      <c r="N66" s="286" t="s">
        <v>108</v>
      </c>
      <c r="O66" s="286" t="s">
        <v>108</v>
      </c>
      <c r="P66" s="286" t="s">
        <v>108</v>
      </c>
      <c r="Q66" s="286" t="s">
        <v>108</v>
      </c>
      <c r="R66" s="286" t="s">
        <v>108</v>
      </c>
      <c r="S66" s="286" t="s">
        <v>108</v>
      </c>
      <c r="T66" s="286" t="s">
        <v>108</v>
      </c>
      <c r="U66" s="286" t="s">
        <v>108</v>
      </c>
      <c r="V66" s="286" t="s">
        <v>108</v>
      </c>
      <c r="W66" s="286" t="s">
        <v>108</v>
      </c>
      <c r="X66" s="286" t="s">
        <v>108</v>
      </c>
      <c r="Y66" s="286" t="s">
        <v>108</v>
      </c>
      <c r="Z66" s="286" t="s">
        <v>108</v>
      </c>
      <c r="AA66" s="286" t="s">
        <v>108</v>
      </c>
      <c r="AB66" s="286" t="s">
        <v>108</v>
      </c>
      <c r="AC66" s="286" t="s">
        <v>108</v>
      </c>
      <c r="AD66" s="286" t="s">
        <v>108</v>
      </c>
      <c r="AE66" s="286" t="s">
        <v>108</v>
      </c>
      <c r="AF66" s="318" t="s">
        <v>108</v>
      </c>
      <c r="AH66" s="224">
        <f>VLOOKUP($B66,'MAR25'!$B:$AO,36,0)</f>
        <v>0</v>
      </c>
      <c r="AI66" s="225">
        <f t="shared" si="17"/>
        <v>0</v>
      </c>
      <c r="AJ66" s="226">
        <f t="shared" si="18"/>
        <v>0</v>
      </c>
      <c r="AK66" s="66"/>
      <c r="AL66" s="227">
        <f>VLOOKUP($B66,'MAR25'!$B:$AO,40,0)</f>
        <v>22</v>
      </c>
      <c r="AM66" s="225">
        <f t="shared" si="19"/>
        <v>0</v>
      </c>
      <c r="AN66" s="230">
        <f t="shared" si="20"/>
        <v>22</v>
      </c>
    </row>
    <row r="67" spans="1:40" ht="18.75" customHeight="1">
      <c r="A67" s="602" t="s">
        <v>137</v>
      </c>
      <c r="B67" s="535" t="s">
        <v>138</v>
      </c>
      <c r="C67" s="233" t="s">
        <v>24</v>
      </c>
      <c r="D67" s="233" t="s">
        <v>24</v>
      </c>
      <c r="E67" s="269" t="s">
        <v>23</v>
      </c>
      <c r="F67" s="269" t="s">
        <v>23</v>
      </c>
      <c r="G67" s="278" t="s">
        <v>31</v>
      </c>
      <c r="H67" s="278" t="s">
        <v>31</v>
      </c>
      <c r="I67" s="278" t="s">
        <v>31</v>
      </c>
      <c r="J67" s="278" t="s">
        <v>31</v>
      </c>
      <c r="K67" s="269" t="s">
        <v>23</v>
      </c>
      <c r="L67" s="269" t="s">
        <v>23</v>
      </c>
      <c r="M67" s="278" t="s">
        <v>31</v>
      </c>
      <c r="N67" s="278" t="s">
        <v>31</v>
      </c>
      <c r="O67" s="278" t="s">
        <v>31</v>
      </c>
      <c r="P67" s="278" t="s">
        <v>31</v>
      </c>
      <c r="Q67" s="269" t="s">
        <v>23</v>
      </c>
      <c r="R67" s="269" t="s">
        <v>23</v>
      </c>
      <c r="S67" s="276" t="s">
        <v>125</v>
      </c>
      <c r="T67" s="276" t="s">
        <v>125</v>
      </c>
      <c r="U67" s="276" t="s">
        <v>125</v>
      </c>
      <c r="V67" s="276" t="s">
        <v>125</v>
      </c>
      <c r="W67" s="269" t="s">
        <v>23</v>
      </c>
      <c r="X67" s="269" t="s">
        <v>23</v>
      </c>
      <c r="Y67" s="233" t="s">
        <v>178</v>
      </c>
      <c r="Z67" s="233" t="s">
        <v>178</v>
      </c>
      <c r="AA67" s="233" t="s">
        <v>178</v>
      </c>
      <c r="AB67" s="233" t="s">
        <v>178</v>
      </c>
      <c r="AC67" s="269" t="s">
        <v>23</v>
      </c>
      <c r="AD67" s="269" t="s">
        <v>23</v>
      </c>
      <c r="AE67" s="232" t="s">
        <v>22</v>
      </c>
      <c r="AF67" s="337" t="s">
        <v>19</v>
      </c>
      <c r="AH67" s="224">
        <f>VLOOKUP($B67,'MAR25'!$B:$AO,36,0)</f>
        <v>8</v>
      </c>
      <c r="AI67" s="225">
        <f>COUNTIF(C67:AF67,"UA")</f>
        <v>8</v>
      </c>
      <c r="AJ67" s="226">
        <f>AH67-AI67</f>
        <v>0</v>
      </c>
      <c r="AK67" s="66"/>
      <c r="AL67" s="227">
        <f>VLOOKUP($B67,'MAR25'!$B:$AO,40,0)</f>
        <v>22</v>
      </c>
      <c r="AM67" s="225">
        <f t="shared" si="19"/>
        <v>0</v>
      </c>
      <c r="AN67" s="230">
        <f>AL67-AM67</f>
        <v>22</v>
      </c>
    </row>
    <row r="68" spans="1:40" ht="18.75" customHeight="1">
      <c r="A68" s="602" t="s">
        <v>133</v>
      </c>
      <c r="B68" s="535" t="s">
        <v>134</v>
      </c>
      <c r="C68" s="267" t="s">
        <v>34</v>
      </c>
      <c r="D68" s="267" t="s">
        <v>34</v>
      </c>
      <c r="E68" s="267" t="s">
        <v>34</v>
      </c>
      <c r="F68" s="267" t="s">
        <v>34</v>
      </c>
      <c r="G68" s="269" t="s">
        <v>23</v>
      </c>
      <c r="H68" s="269" t="s">
        <v>23</v>
      </c>
      <c r="I68" s="233" t="s">
        <v>24</v>
      </c>
      <c r="J68" s="233" t="s">
        <v>24</v>
      </c>
      <c r="K68" s="233" t="s">
        <v>24</v>
      </c>
      <c r="L68" s="233" t="s">
        <v>24</v>
      </c>
      <c r="M68" s="269" t="s">
        <v>23</v>
      </c>
      <c r="N68" s="269" t="s">
        <v>23</v>
      </c>
      <c r="O68" s="232" t="s">
        <v>22</v>
      </c>
      <c r="P68" s="232" t="s">
        <v>22</v>
      </c>
      <c r="Q68" s="232" t="s">
        <v>22</v>
      </c>
      <c r="R68" s="158" t="s">
        <v>19</v>
      </c>
      <c r="S68" s="269" t="s">
        <v>23</v>
      </c>
      <c r="T68" s="269" t="s">
        <v>23</v>
      </c>
      <c r="U68" s="233" t="s">
        <v>24</v>
      </c>
      <c r="V68" s="233" t="s">
        <v>24</v>
      </c>
      <c r="W68" s="233" t="s">
        <v>24</v>
      </c>
      <c r="X68" s="233" t="s">
        <v>24</v>
      </c>
      <c r="Y68" s="269" t="s">
        <v>23</v>
      </c>
      <c r="Z68" s="269" t="s">
        <v>23</v>
      </c>
      <c r="AA68" s="276" t="s">
        <v>125</v>
      </c>
      <c r="AB68" s="276" t="s">
        <v>125</v>
      </c>
      <c r="AC68" s="276" t="s">
        <v>125</v>
      </c>
      <c r="AD68" s="276" t="s">
        <v>125</v>
      </c>
      <c r="AE68" s="269" t="s">
        <v>23</v>
      </c>
      <c r="AF68" s="271" t="s">
        <v>23</v>
      </c>
      <c r="AH68" s="224">
        <f>VLOOKUP($B68,'MAR25'!$B:$AO,36,0)</f>
        <v>0</v>
      </c>
      <c r="AI68" s="225">
        <f t="shared" si="17"/>
        <v>0</v>
      </c>
      <c r="AJ68" s="226">
        <f t="shared" si="18"/>
        <v>0</v>
      </c>
      <c r="AK68" s="66"/>
      <c r="AL68" s="227">
        <f>VLOOKUP($B68,'MAR25'!$B:$AO,40,0)</f>
        <v>20</v>
      </c>
      <c r="AM68" s="225">
        <f t="shared" si="19"/>
        <v>4</v>
      </c>
      <c r="AN68" s="230">
        <f t="shared" si="20"/>
        <v>16</v>
      </c>
    </row>
    <row r="69" spans="1:40" ht="18.75" customHeight="1" thickBot="1">
      <c r="A69" s="680" t="s">
        <v>151</v>
      </c>
      <c r="B69" s="550" t="s">
        <v>152</v>
      </c>
      <c r="C69" s="279" t="s">
        <v>23</v>
      </c>
      <c r="D69" s="279" t="s">
        <v>23</v>
      </c>
      <c r="E69" s="280" t="s">
        <v>24</v>
      </c>
      <c r="F69" s="280" t="s">
        <v>24</v>
      </c>
      <c r="G69" s="280" t="s">
        <v>24</v>
      </c>
      <c r="H69" s="280" t="s">
        <v>24</v>
      </c>
      <c r="I69" s="279" t="s">
        <v>23</v>
      </c>
      <c r="J69" s="279" t="s">
        <v>23</v>
      </c>
      <c r="K69" s="223" t="s">
        <v>22</v>
      </c>
      <c r="L69" s="223" t="s">
        <v>22</v>
      </c>
      <c r="M69" s="223" t="s">
        <v>22</v>
      </c>
      <c r="N69" s="223" t="s">
        <v>22</v>
      </c>
      <c r="O69" s="279" t="s">
        <v>23</v>
      </c>
      <c r="P69" s="279" t="s">
        <v>23</v>
      </c>
      <c r="Q69" s="280" t="s">
        <v>24</v>
      </c>
      <c r="R69" s="280" t="s">
        <v>24</v>
      </c>
      <c r="S69" s="330" t="s">
        <v>31</v>
      </c>
      <c r="T69" s="745" t="s">
        <v>30</v>
      </c>
      <c r="U69" s="279" t="s">
        <v>23</v>
      </c>
      <c r="V69" s="279" t="s">
        <v>23</v>
      </c>
      <c r="W69" s="330" t="s">
        <v>31</v>
      </c>
      <c r="X69" s="330" t="s">
        <v>31</v>
      </c>
      <c r="Y69" s="330" t="s">
        <v>31</v>
      </c>
      <c r="Z69" s="330" t="s">
        <v>31</v>
      </c>
      <c r="AA69" s="279" t="s">
        <v>23</v>
      </c>
      <c r="AB69" s="279" t="s">
        <v>23</v>
      </c>
      <c r="AC69" s="330" t="s">
        <v>31</v>
      </c>
      <c r="AD69" s="330" t="s">
        <v>31</v>
      </c>
      <c r="AE69" s="330" t="s">
        <v>31</v>
      </c>
      <c r="AF69" s="319" t="s">
        <v>31</v>
      </c>
      <c r="AH69" s="240">
        <f>VLOOKUP($B69,'MAR25'!$B:$AO,36,0)</f>
        <v>0</v>
      </c>
      <c r="AI69" s="283">
        <f t="shared" si="17"/>
        <v>9</v>
      </c>
      <c r="AJ69" s="287">
        <f t="shared" si="18"/>
        <v>-9</v>
      </c>
      <c r="AK69" s="66"/>
      <c r="AL69" s="241">
        <f>VLOOKUP($B69,'MAR25'!$B:$AO,40,0)</f>
        <v>13</v>
      </c>
      <c r="AM69" s="283">
        <f t="shared" si="19"/>
        <v>0</v>
      </c>
      <c r="AN69" s="288">
        <f t="shared" si="20"/>
        <v>13</v>
      </c>
    </row>
    <row r="70" spans="1:40" ht="9.9499999999999993" customHeight="1" thickBot="1">
      <c r="A70" s="1"/>
      <c r="B70" s="1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</row>
    <row r="71" spans="1:40" ht="18">
      <c r="A71" s="719" t="s">
        <v>125</v>
      </c>
      <c r="B71" s="720"/>
      <c r="C71" s="220">
        <f t="shared" ref="C71:AF71" si="21">COUNTIF(C54:C54,$A$71)+COUNTIF(C63:C66,$A$71)</f>
        <v>1</v>
      </c>
      <c r="D71" s="218">
        <f t="shared" si="21"/>
        <v>1</v>
      </c>
      <c r="E71" s="218">
        <f t="shared" si="21"/>
        <v>1</v>
      </c>
      <c r="F71" s="218">
        <f t="shared" si="21"/>
        <v>1</v>
      </c>
      <c r="G71" s="218">
        <f t="shared" si="21"/>
        <v>1</v>
      </c>
      <c r="H71" s="218">
        <f t="shared" si="21"/>
        <v>1</v>
      </c>
      <c r="I71" s="218">
        <f t="shared" si="21"/>
        <v>1</v>
      </c>
      <c r="J71" s="218">
        <f t="shared" si="21"/>
        <v>1</v>
      </c>
      <c r="K71" s="218">
        <f t="shared" si="21"/>
        <v>1</v>
      </c>
      <c r="L71" s="218">
        <f t="shared" si="21"/>
        <v>1</v>
      </c>
      <c r="M71" s="218">
        <f t="shared" si="21"/>
        <v>1</v>
      </c>
      <c r="N71" s="218">
        <f t="shared" si="21"/>
        <v>1</v>
      </c>
      <c r="O71" s="218">
        <f t="shared" si="21"/>
        <v>1</v>
      </c>
      <c r="P71" s="218">
        <f t="shared" si="21"/>
        <v>1</v>
      </c>
      <c r="Q71" s="218">
        <f t="shared" si="21"/>
        <v>1</v>
      </c>
      <c r="R71" s="218">
        <f t="shared" si="21"/>
        <v>1</v>
      </c>
      <c r="S71" s="218">
        <f t="shared" si="21"/>
        <v>0</v>
      </c>
      <c r="T71" s="218">
        <f t="shared" si="21"/>
        <v>0</v>
      </c>
      <c r="U71" s="218">
        <f t="shared" si="21"/>
        <v>0</v>
      </c>
      <c r="V71" s="218">
        <f t="shared" si="21"/>
        <v>0</v>
      </c>
      <c r="W71" s="218">
        <f t="shared" si="21"/>
        <v>1</v>
      </c>
      <c r="X71" s="218">
        <f t="shared" si="21"/>
        <v>1</v>
      </c>
      <c r="Y71" s="218">
        <f t="shared" si="21"/>
        <v>1</v>
      </c>
      <c r="Z71" s="218">
        <f t="shared" si="21"/>
        <v>1</v>
      </c>
      <c r="AA71" s="218">
        <f t="shared" si="21"/>
        <v>0</v>
      </c>
      <c r="AB71" s="218">
        <f t="shared" si="21"/>
        <v>0</v>
      </c>
      <c r="AC71" s="218">
        <f t="shared" si="21"/>
        <v>0</v>
      </c>
      <c r="AD71" s="218">
        <f t="shared" si="21"/>
        <v>0</v>
      </c>
      <c r="AE71" s="218">
        <f t="shared" si="21"/>
        <v>1</v>
      </c>
      <c r="AF71" s="221">
        <f t="shared" si="21"/>
        <v>1</v>
      </c>
    </row>
    <row r="72" spans="1:40" ht="18">
      <c r="A72" s="729" t="s">
        <v>142</v>
      </c>
      <c r="B72" s="730"/>
      <c r="C72" s="227">
        <f t="shared" ref="C72:AF72" si="22">COUNTIF(C68:C69,"P04/")+COUNTIF(C68:C69,"H04/")</f>
        <v>0</v>
      </c>
      <c r="D72" s="225">
        <f t="shared" si="22"/>
        <v>0</v>
      </c>
      <c r="E72" s="225">
        <f t="shared" si="22"/>
        <v>0</v>
      </c>
      <c r="F72" s="225">
        <f t="shared" si="22"/>
        <v>0</v>
      </c>
      <c r="G72" s="225">
        <f t="shared" si="22"/>
        <v>0</v>
      </c>
      <c r="H72" s="225">
        <f t="shared" si="22"/>
        <v>0</v>
      </c>
      <c r="I72" s="225">
        <f t="shared" si="22"/>
        <v>0</v>
      </c>
      <c r="J72" s="225">
        <f t="shared" si="22"/>
        <v>0</v>
      </c>
      <c r="K72" s="225">
        <f t="shared" si="22"/>
        <v>0</v>
      </c>
      <c r="L72" s="225">
        <f t="shared" si="22"/>
        <v>0</v>
      </c>
      <c r="M72" s="225">
        <f t="shared" si="22"/>
        <v>0</v>
      </c>
      <c r="N72" s="225">
        <f t="shared" si="22"/>
        <v>0</v>
      </c>
      <c r="O72" s="225">
        <f t="shared" si="22"/>
        <v>0</v>
      </c>
      <c r="P72" s="225">
        <f t="shared" si="22"/>
        <v>0</v>
      </c>
      <c r="Q72" s="225">
        <f t="shared" si="22"/>
        <v>0</v>
      </c>
      <c r="R72" s="225">
        <f t="shared" si="22"/>
        <v>0</v>
      </c>
      <c r="S72" s="225">
        <f t="shared" si="22"/>
        <v>0</v>
      </c>
      <c r="T72" s="225">
        <f t="shared" si="22"/>
        <v>0</v>
      </c>
      <c r="U72" s="225">
        <f t="shared" si="22"/>
        <v>0</v>
      </c>
      <c r="V72" s="225">
        <f t="shared" si="22"/>
        <v>0</v>
      </c>
      <c r="W72" s="225">
        <f t="shared" si="22"/>
        <v>0</v>
      </c>
      <c r="X72" s="225">
        <f t="shared" si="22"/>
        <v>0</v>
      </c>
      <c r="Y72" s="225">
        <f t="shared" si="22"/>
        <v>0</v>
      </c>
      <c r="Z72" s="225">
        <f t="shared" si="22"/>
        <v>0</v>
      </c>
      <c r="AA72" s="225">
        <f t="shared" si="22"/>
        <v>0</v>
      </c>
      <c r="AB72" s="225">
        <f t="shared" si="22"/>
        <v>0</v>
      </c>
      <c r="AC72" s="225">
        <f t="shared" si="22"/>
        <v>0</v>
      </c>
      <c r="AD72" s="225">
        <f t="shared" si="22"/>
        <v>0</v>
      </c>
      <c r="AE72" s="225">
        <f t="shared" si="22"/>
        <v>0</v>
      </c>
      <c r="AF72" s="230">
        <f t="shared" si="22"/>
        <v>0</v>
      </c>
    </row>
    <row r="73" spans="1:40" ht="18">
      <c r="A73" s="731" t="s">
        <v>136</v>
      </c>
      <c r="B73" s="732"/>
      <c r="C73" s="227">
        <f t="shared" ref="C73:AF73" si="23">COUNTIF(C68:C69,$A$73)</f>
        <v>0</v>
      </c>
      <c r="D73" s="225">
        <f t="shared" si="23"/>
        <v>0</v>
      </c>
      <c r="E73" s="225">
        <f t="shared" si="23"/>
        <v>0</v>
      </c>
      <c r="F73" s="225">
        <f t="shared" si="23"/>
        <v>0</v>
      </c>
      <c r="G73" s="225">
        <f t="shared" si="23"/>
        <v>0</v>
      </c>
      <c r="H73" s="225">
        <f t="shared" si="23"/>
        <v>0</v>
      </c>
      <c r="I73" s="225">
        <f t="shared" si="23"/>
        <v>0</v>
      </c>
      <c r="J73" s="225">
        <f t="shared" si="23"/>
        <v>0</v>
      </c>
      <c r="K73" s="225">
        <f t="shared" si="23"/>
        <v>0</v>
      </c>
      <c r="L73" s="225">
        <f t="shared" si="23"/>
        <v>0</v>
      </c>
      <c r="M73" s="225">
        <f t="shared" si="23"/>
        <v>0</v>
      </c>
      <c r="N73" s="225">
        <f t="shared" si="23"/>
        <v>0</v>
      </c>
      <c r="O73" s="225">
        <f t="shared" si="23"/>
        <v>0</v>
      </c>
      <c r="P73" s="225">
        <f t="shared" si="23"/>
        <v>0</v>
      </c>
      <c r="Q73" s="225">
        <f t="shared" si="23"/>
        <v>0</v>
      </c>
      <c r="R73" s="225">
        <f t="shared" si="23"/>
        <v>0</v>
      </c>
      <c r="S73" s="225">
        <f t="shared" si="23"/>
        <v>0</v>
      </c>
      <c r="T73" s="225">
        <f t="shared" si="23"/>
        <v>0</v>
      </c>
      <c r="U73" s="225">
        <f t="shared" si="23"/>
        <v>0</v>
      </c>
      <c r="V73" s="225">
        <f t="shared" si="23"/>
        <v>0</v>
      </c>
      <c r="W73" s="225">
        <f t="shared" si="23"/>
        <v>0</v>
      </c>
      <c r="X73" s="225">
        <f t="shared" si="23"/>
        <v>0</v>
      </c>
      <c r="Y73" s="225">
        <f t="shared" si="23"/>
        <v>0</v>
      </c>
      <c r="Z73" s="225">
        <f t="shared" si="23"/>
        <v>0</v>
      </c>
      <c r="AA73" s="225">
        <f t="shared" si="23"/>
        <v>0</v>
      </c>
      <c r="AB73" s="225">
        <f t="shared" si="23"/>
        <v>0</v>
      </c>
      <c r="AC73" s="225">
        <f t="shared" si="23"/>
        <v>0</v>
      </c>
      <c r="AD73" s="225">
        <f t="shared" si="23"/>
        <v>0</v>
      </c>
      <c r="AE73" s="225">
        <f t="shared" si="23"/>
        <v>0</v>
      </c>
      <c r="AF73" s="230">
        <f t="shared" si="23"/>
        <v>0</v>
      </c>
    </row>
    <row r="74" spans="1:40" ht="18.75" thickBot="1">
      <c r="A74" s="733" t="s">
        <v>83</v>
      </c>
      <c r="B74" s="734"/>
      <c r="C74" s="241">
        <f t="shared" ref="C74:AF74" si="24">COUNTIF(C54:C54,$A$74)+COUNTIF(C63:C66,$A$74)</f>
        <v>0</v>
      </c>
      <c r="D74" s="283">
        <f t="shared" si="24"/>
        <v>0</v>
      </c>
      <c r="E74" s="283">
        <f t="shared" si="24"/>
        <v>1</v>
      </c>
      <c r="F74" s="283">
        <f t="shared" si="24"/>
        <v>1</v>
      </c>
      <c r="G74" s="283">
        <f t="shared" si="24"/>
        <v>0</v>
      </c>
      <c r="H74" s="283">
        <f t="shared" si="24"/>
        <v>1</v>
      </c>
      <c r="I74" s="283">
        <f t="shared" si="24"/>
        <v>1</v>
      </c>
      <c r="J74" s="283">
        <f t="shared" si="24"/>
        <v>1</v>
      </c>
      <c r="K74" s="283">
        <f t="shared" si="24"/>
        <v>1</v>
      </c>
      <c r="L74" s="283">
        <f t="shared" si="24"/>
        <v>1</v>
      </c>
      <c r="M74" s="283">
        <f t="shared" si="24"/>
        <v>0</v>
      </c>
      <c r="N74" s="283">
        <f t="shared" si="24"/>
        <v>0</v>
      </c>
      <c r="O74" s="283">
        <f t="shared" si="24"/>
        <v>0</v>
      </c>
      <c r="P74" s="283">
        <f t="shared" si="24"/>
        <v>0</v>
      </c>
      <c r="Q74" s="283">
        <f t="shared" si="24"/>
        <v>1</v>
      </c>
      <c r="R74" s="283">
        <f t="shared" si="24"/>
        <v>1</v>
      </c>
      <c r="S74" s="283">
        <f t="shared" si="24"/>
        <v>1</v>
      </c>
      <c r="T74" s="283">
        <f t="shared" si="24"/>
        <v>1</v>
      </c>
      <c r="U74" s="283">
        <f t="shared" si="24"/>
        <v>1</v>
      </c>
      <c r="V74" s="283">
        <f t="shared" si="24"/>
        <v>1</v>
      </c>
      <c r="W74" s="283">
        <f t="shared" si="24"/>
        <v>1</v>
      </c>
      <c r="X74" s="283">
        <f t="shared" si="24"/>
        <v>1</v>
      </c>
      <c r="Y74" s="283">
        <f t="shared" si="24"/>
        <v>0</v>
      </c>
      <c r="Z74" s="283">
        <f t="shared" si="24"/>
        <v>0</v>
      </c>
      <c r="AA74" s="283">
        <f t="shared" si="24"/>
        <v>0</v>
      </c>
      <c r="AB74" s="283">
        <f t="shared" si="24"/>
        <v>0</v>
      </c>
      <c r="AC74" s="283">
        <f t="shared" si="24"/>
        <v>1</v>
      </c>
      <c r="AD74" s="283">
        <f t="shared" si="24"/>
        <v>1</v>
      </c>
      <c r="AE74" s="283">
        <f t="shared" si="24"/>
        <v>1</v>
      </c>
      <c r="AF74" s="288">
        <f t="shared" si="24"/>
        <v>1</v>
      </c>
    </row>
    <row r="77" spans="1:40">
      <c r="B77" s="922"/>
      <c r="C77" s="922"/>
      <c r="D77" s="922"/>
      <c r="E77" s="922"/>
      <c r="F77" s="922"/>
      <c r="G77" s="922"/>
      <c r="H77" s="922"/>
      <c r="I77" s="922"/>
      <c r="J77" s="922"/>
      <c r="K77" s="922"/>
      <c r="L77" s="922"/>
      <c r="M77" s="922"/>
      <c r="N77" s="922"/>
      <c r="O77" s="922"/>
      <c r="P77" s="922"/>
      <c r="Q77" s="922"/>
      <c r="R77" s="922"/>
      <c r="S77" s="922"/>
      <c r="T77" s="922"/>
      <c r="U77" s="922"/>
      <c r="V77" s="922"/>
      <c r="W77" s="922"/>
      <c r="X77" s="922"/>
      <c r="Y77" s="922"/>
      <c r="Z77" s="922"/>
      <c r="AA77" s="922"/>
      <c r="AB77" s="922"/>
      <c r="AC77" s="922"/>
      <c r="AD77" s="922"/>
      <c r="AE77" s="922"/>
      <c r="AF77" s="922"/>
      <c r="AG77" s="922"/>
      <c r="AH77" s="922"/>
      <c r="AI77" s="922"/>
      <c r="AJ77" s="922"/>
      <c r="AK77" s="922"/>
      <c r="AL77" s="922"/>
      <c r="AM77" s="922"/>
      <c r="AN77" s="922"/>
    </row>
  </sheetData>
  <mergeCells count="6">
    <mergeCell ref="AM3:AM4"/>
    <mergeCell ref="AN3:AN4"/>
    <mergeCell ref="AH3:AH4"/>
    <mergeCell ref="AI3:AI4"/>
    <mergeCell ref="AJ3:AJ4"/>
    <mergeCell ref="AL3:AL4"/>
  </mergeCells>
  <conditionalFormatting sqref="E60:AF60">
    <cfRule type="cellIs" dxfId="37" priority="1" operator="lessThan">
      <formula>1.5</formula>
    </cfRule>
    <cfRule type="cellIs" dxfId="36" priority="2" operator="lessThan">
      <formula>2.5</formula>
    </cfRule>
  </conditionalFormatting>
  <conditionalFormatting sqref="AH27:AH28 AJ29:AJ54 AJ63:AJ69">
    <cfRule type="cellIs" dxfId="35" priority="3" operator="equal">
      <formula>0</formula>
    </cfRule>
  </conditionalFormatting>
  <conditionalFormatting sqref="AJ5:AJ26">
    <cfRule type="cellIs" dxfId="34" priority="5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2A20-AE6F-468C-8B62-6035C61F71D2}">
  <dimension ref="A1:AL76"/>
  <sheetViews>
    <sheetView showGridLines="0" zoomScale="70" zoomScaleNormal="70" workbookViewId="0">
      <pane xSplit="2" ySplit="4" topLeftCell="C5" activePane="bottomRight" state="frozen"/>
      <selection pane="bottomRight" activeCell="C5" sqref="C5"/>
      <selection pane="bottomLeft" activeCell="C5" sqref="C5"/>
      <selection pane="topRight" activeCell="C5" sqref="C5"/>
    </sheetView>
  </sheetViews>
  <sheetFormatPr defaultColWidth="9.140625" defaultRowHeight="15"/>
  <cols>
    <col min="1" max="2" width="42.5703125" customWidth="1"/>
    <col min="7" max="9" width="9.140625" customWidth="1"/>
  </cols>
  <sheetData>
    <row r="1" spans="1:38" ht="20.100000000000001" customHeight="1" thickBot="1">
      <c r="A1" s="940" t="s">
        <v>0</v>
      </c>
      <c r="B1" s="584" t="s">
        <v>0</v>
      </c>
      <c r="C1" s="762" t="s">
        <v>1</v>
      </c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  <c r="AA1" s="763"/>
      <c r="AB1" s="763"/>
      <c r="AC1" s="763"/>
      <c r="AD1" s="763"/>
      <c r="AE1" s="763"/>
      <c r="AF1" s="763"/>
      <c r="AG1" s="764"/>
    </row>
    <row r="2" spans="1:38" ht="30" customHeight="1" thickBot="1">
      <c r="A2" s="588" t="s">
        <v>2</v>
      </c>
      <c r="B2" s="552"/>
      <c r="C2" s="574" t="s">
        <v>179</v>
      </c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83"/>
      <c r="AI2" s="618" t="s">
        <v>5</v>
      </c>
      <c r="AJ2" s="619"/>
      <c r="AK2" s="620"/>
    </row>
    <row r="3" spans="1:38" ht="24.95" customHeight="1">
      <c r="A3" s="590" t="s">
        <v>0</v>
      </c>
      <c r="B3" s="464" t="s">
        <v>0</v>
      </c>
      <c r="C3" s="759" t="s">
        <v>7</v>
      </c>
      <c r="D3" s="698" t="s">
        <v>8</v>
      </c>
      <c r="E3" s="701" t="s">
        <v>9</v>
      </c>
      <c r="F3" s="699" t="s">
        <v>10</v>
      </c>
      <c r="G3" s="700" t="s">
        <v>11</v>
      </c>
      <c r="H3" s="697" t="s">
        <v>12</v>
      </c>
      <c r="I3" s="697" t="s">
        <v>6</v>
      </c>
      <c r="J3" s="697" t="s">
        <v>7</v>
      </c>
      <c r="K3" s="698" t="s">
        <v>8</v>
      </c>
      <c r="L3" s="701" t="s">
        <v>9</v>
      </c>
      <c r="M3" s="699" t="s">
        <v>10</v>
      </c>
      <c r="N3" s="700" t="s">
        <v>11</v>
      </c>
      <c r="O3" s="697" t="s">
        <v>12</v>
      </c>
      <c r="P3" s="697" t="s">
        <v>6</v>
      </c>
      <c r="Q3" s="697" t="s">
        <v>7</v>
      </c>
      <c r="R3" s="698" t="s">
        <v>8</v>
      </c>
      <c r="S3" s="701" t="s">
        <v>9</v>
      </c>
      <c r="T3" s="699" t="s">
        <v>10</v>
      </c>
      <c r="U3" s="700" t="s">
        <v>11</v>
      </c>
      <c r="V3" s="697" t="s">
        <v>12</v>
      </c>
      <c r="W3" s="697" t="s">
        <v>6</v>
      </c>
      <c r="X3" s="697" t="s">
        <v>7</v>
      </c>
      <c r="Y3" s="698" t="s">
        <v>8</v>
      </c>
      <c r="Z3" s="701" t="s">
        <v>9</v>
      </c>
      <c r="AA3" s="699" t="s">
        <v>10</v>
      </c>
      <c r="AB3" s="700" t="s">
        <v>11</v>
      </c>
      <c r="AC3" s="697" t="s">
        <v>12</v>
      </c>
      <c r="AD3" s="697" t="s">
        <v>6</v>
      </c>
      <c r="AE3" s="697" t="s">
        <v>7</v>
      </c>
      <c r="AF3" s="698" t="s">
        <v>8</v>
      </c>
      <c r="AG3" s="760" t="s">
        <v>9</v>
      </c>
      <c r="AI3" s="1401">
        <v>2025</v>
      </c>
      <c r="AJ3" s="1397" t="s">
        <v>13</v>
      </c>
      <c r="AK3" s="1399" t="s">
        <v>14</v>
      </c>
    </row>
    <row r="4" spans="1:38" ht="24.95" customHeight="1" thickBot="1">
      <c r="A4" s="591" t="s">
        <v>15</v>
      </c>
      <c r="B4" s="466" t="s">
        <v>16</v>
      </c>
      <c r="C4" s="73">
        <v>1</v>
      </c>
      <c r="D4" s="74">
        <v>2</v>
      </c>
      <c r="E4" s="216">
        <v>3</v>
      </c>
      <c r="F4" s="215">
        <v>4</v>
      </c>
      <c r="G4" s="89">
        <v>5</v>
      </c>
      <c r="H4" s="88">
        <v>6</v>
      </c>
      <c r="I4" s="88">
        <v>7</v>
      </c>
      <c r="J4" s="88">
        <v>8</v>
      </c>
      <c r="K4" s="90">
        <v>9</v>
      </c>
      <c r="L4" s="216">
        <v>10</v>
      </c>
      <c r="M4" s="215">
        <v>11</v>
      </c>
      <c r="N4" s="89">
        <v>12</v>
      </c>
      <c r="O4" s="88">
        <v>13</v>
      </c>
      <c r="P4" s="88">
        <v>14</v>
      </c>
      <c r="Q4" s="88">
        <v>15</v>
      </c>
      <c r="R4" s="90">
        <v>16</v>
      </c>
      <c r="S4" s="216">
        <v>17</v>
      </c>
      <c r="T4" s="215">
        <v>18</v>
      </c>
      <c r="U4" s="89">
        <v>19</v>
      </c>
      <c r="V4" s="88">
        <v>20</v>
      </c>
      <c r="W4" s="88">
        <v>21</v>
      </c>
      <c r="X4" s="88">
        <v>22</v>
      </c>
      <c r="Y4" s="90">
        <v>23</v>
      </c>
      <c r="Z4" s="216">
        <v>24</v>
      </c>
      <c r="AA4" s="215">
        <v>25</v>
      </c>
      <c r="AB4" s="89">
        <v>26</v>
      </c>
      <c r="AC4" s="88">
        <v>27</v>
      </c>
      <c r="AD4" s="88">
        <v>28</v>
      </c>
      <c r="AE4" s="88">
        <v>29</v>
      </c>
      <c r="AF4" s="90">
        <v>30</v>
      </c>
      <c r="AG4" s="290">
        <v>31</v>
      </c>
      <c r="AI4" s="1402"/>
      <c r="AJ4" s="1398"/>
      <c r="AK4" s="1400"/>
    </row>
    <row r="5" spans="1:38" ht="18.75" customHeight="1">
      <c r="A5" s="718" t="s">
        <v>17</v>
      </c>
      <c r="B5" s="695" t="s">
        <v>18</v>
      </c>
      <c r="C5" s="336" t="s">
        <v>19</v>
      </c>
      <c r="D5" s="336" t="s">
        <v>19</v>
      </c>
      <c r="E5" s="336" t="s">
        <v>19</v>
      </c>
      <c r="F5" s="336" t="s">
        <v>19</v>
      </c>
      <c r="G5" s="336" t="s">
        <v>19</v>
      </c>
      <c r="H5" s="336" t="s">
        <v>19</v>
      </c>
      <c r="I5" s="336" t="s">
        <v>19</v>
      </c>
      <c r="J5" s="336" t="s">
        <v>19</v>
      </c>
      <c r="K5" s="336" t="s">
        <v>19</v>
      </c>
      <c r="L5" s="336" t="s">
        <v>19</v>
      </c>
      <c r="M5" s="336" t="s">
        <v>19</v>
      </c>
      <c r="N5" s="336" t="s">
        <v>19</v>
      </c>
      <c r="O5" s="336" t="s">
        <v>19</v>
      </c>
      <c r="P5" s="336" t="s">
        <v>19</v>
      </c>
      <c r="Q5" s="336" t="s">
        <v>19</v>
      </c>
      <c r="R5" s="336" t="s">
        <v>19</v>
      </c>
      <c r="S5" s="336" t="s">
        <v>19</v>
      </c>
      <c r="T5" s="336" t="s">
        <v>19</v>
      </c>
      <c r="U5" s="336" t="s">
        <v>19</v>
      </c>
      <c r="V5" s="336" t="s">
        <v>19</v>
      </c>
      <c r="W5" s="336" t="s">
        <v>19</v>
      </c>
      <c r="X5" s="336" t="s">
        <v>19</v>
      </c>
      <c r="Y5" s="336" t="s">
        <v>19</v>
      </c>
      <c r="Z5" s="336" t="s">
        <v>19</v>
      </c>
      <c r="AA5" s="336" t="s">
        <v>19</v>
      </c>
      <c r="AB5" s="336" t="s">
        <v>19</v>
      </c>
      <c r="AC5" s="336" t="s">
        <v>19</v>
      </c>
      <c r="AD5" s="336" t="s">
        <v>19</v>
      </c>
      <c r="AE5" s="336" t="s">
        <v>19</v>
      </c>
      <c r="AF5" s="336" t="s">
        <v>19</v>
      </c>
      <c r="AG5" s="351" t="s">
        <v>19</v>
      </c>
      <c r="AI5" s="220">
        <f>VLOOKUP(B5,'APR25'!$B:$AN,39,0)</f>
        <v>22</v>
      </c>
      <c r="AJ5" s="218">
        <f>COUNTIF(C5:AG5,"U")</f>
        <v>0</v>
      </c>
      <c r="AK5" s="221">
        <f>AI5-AJ5</f>
        <v>22</v>
      </c>
    </row>
    <row r="6" spans="1:38" ht="19.5" customHeight="1">
      <c r="A6" s="718" t="s">
        <v>20</v>
      </c>
      <c r="B6" s="695" t="s">
        <v>21</v>
      </c>
      <c r="C6" s="710" t="s">
        <v>30</v>
      </c>
      <c r="D6" s="270" t="s">
        <v>23</v>
      </c>
      <c r="E6" s="270" t="s">
        <v>23</v>
      </c>
      <c r="F6" s="264" t="s">
        <v>24</v>
      </c>
      <c r="G6" s="264" t="s">
        <v>24</v>
      </c>
      <c r="H6" s="264" t="s">
        <v>24</v>
      </c>
      <c r="I6" s="264" t="s">
        <v>24</v>
      </c>
      <c r="J6" s="270" t="s">
        <v>23</v>
      </c>
      <c r="K6" s="270" t="s">
        <v>23</v>
      </c>
      <c r="L6" s="232" t="s">
        <v>22</v>
      </c>
      <c r="M6" s="332" t="s">
        <v>68</v>
      </c>
      <c r="N6" s="232" t="s">
        <v>22</v>
      </c>
      <c r="O6" s="332" t="s">
        <v>19</v>
      </c>
      <c r="P6" s="332" t="s">
        <v>19</v>
      </c>
      <c r="Q6" s="270" t="s">
        <v>23</v>
      </c>
      <c r="R6" s="270" t="s">
        <v>23</v>
      </c>
      <c r="S6" s="264" t="s">
        <v>24</v>
      </c>
      <c r="T6" s="264" t="s">
        <v>24</v>
      </c>
      <c r="U6" s="264" t="s">
        <v>24</v>
      </c>
      <c r="V6" s="270" t="s">
        <v>23</v>
      </c>
      <c r="W6" s="270" t="s">
        <v>23</v>
      </c>
      <c r="X6" s="232" t="s">
        <v>22</v>
      </c>
      <c r="Y6" s="232" t="s">
        <v>22</v>
      </c>
      <c r="Z6" s="232" t="s">
        <v>22</v>
      </c>
      <c r="AA6" s="232" t="s">
        <v>22</v>
      </c>
      <c r="AB6" s="270" t="s">
        <v>23</v>
      </c>
      <c r="AC6" s="270" t="s">
        <v>23</v>
      </c>
      <c r="AD6" s="264" t="s">
        <v>24</v>
      </c>
      <c r="AE6" s="264" t="s">
        <v>24</v>
      </c>
      <c r="AF6" s="264" t="s">
        <v>24</v>
      </c>
      <c r="AG6" s="265" t="s">
        <v>24</v>
      </c>
      <c r="AI6" s="227">
        <f>VLOOKUP(B6,'APR25'!$B:$AN,39,0)</f>
        <v>16</v>
      </c>
      <c r="AJ6" s="225">
        <f>COUNTIF(C6:AG6,"U")</f>
        <v>0</v>
      </c>
      <c r="AK6" s="230">
        <f>AI6-AJ6</f>
        <v>16</v>
      </c>
    </row>
    <row r="7" spans="1:38" ht="18.75" customHeight="1">
      <c r="A7" s="602" t="s">
        <v>26</v>
      </c>
      <c r="B7" s="509" t="s">
        <v>27</v>
      </c>
      <c r="C7" s="233" t="s">
        <v>24</v>
      </c>
      <c r="D7" s="233" t="s">
        <v>24</v>
      </c>
      <c r="E7" s="233" t="s">
        <v>24</v>
      </c>
      <c r="F7" s="231" t="s">
        <v>23</v>
      </c>
      <c r="G7" s="231" t="s">
        <v>23</v>
      </c>
      <c r="H7" s="232" t="s">
        <v>22</v>
      </c>
      <c r="I7" s="232" t="s">
        <v>22</v>
      </c>
      <c r="J7" s="232" t="s">
        <v>22</v>
      </c>
      <c r="K7" s="232" t="s">
        <v>22</v>
      </c>
      <c r="L7" s="231" t="s">
        <v>23</v>
      </c>
      <c r="M7" s="231" t="s">
        <v>23</v>
      </c>
      <c r="N7" s="709" t="s">
        <v>150</v>
      </c>
      <c r="O7" s="709" t="s">
        <v>48</v>
      </c>
      <c r="P7" s="709" t="s">
        <v>48</v>
      </c>
      <c r="Q7" s="709" t="s">
        <v>150</v>
      </c>
      <c r="R7" s="231" t="s">
        <v>23</v>
      </c>
      <c r="S7" s="231" t="s">
        <v>23</v>
      </c>
      <c r="T7" s="232" t="s">
        <v>22</v>
      </c>
      <c r="U7" s="232" t="s">
        <v>22</v>
      </c>
      <c r="V7" s="232" t="s">
        <v>22</v>
      </c>
      <c r="W7" s="232" t="s">
        <v>22</v>
      </c>
      <c r="X7" s="231" t="s">
        <v>23</v>
      </c>
      <c r="Y7" s="231" t="s">
        <v>23</v>
      </c>
      <c r="Z7" s="233" t="s">
        <v>24</v>
      </c>
      <c r="AA7" s="233" t="s">
        <v>24</v>
      </c>
      <c r="AB7" s="233" t="s">
        <v>24</v>
      </c>
      <c r="AC7" s="233" t="s">
        <v>24</v>
      </c>
      <c r="AD7" s="231" t="s">
        <v>23</v>
      </c>
      <c r="AE7" s="231" t="s">
        <v>23</v>
      </c>
      <c r="AF7" s="232" t="s">
        <v>22</v>
      </c>
      <c r="AG7" s="235" t="s">
        <v>22</v>
      </c>
      <c r="AI7" s="227">
        <f>VLOOKUP(B7,'APR25'!$B:$AN,39,0)</f>
        <v>10</v>
      </c>
      <c r="AJ7" s="225">
        <f>COUNTIF(C7:AG7,"U")</f>
        <v>0</v>
      </c>
      <c r="AK7" s="230">
        <f>AI7-AJ7</f>
        <v>10</v>
      </c>
    </row>
    <row r="8" spans="1:38" ht="18.75" customHeight="1">
      <c r="A8" s="602" t="s">
        <v>28</v>
      </c>
      <c r="B8" s="509" t="s">
        <v>29</v>
      </c>
      <c r="C8" s="232" t="s">
        <v>22</v>
      </c>
      <c r="D8" s="231" t="s">
        <v>23</v>
      </c>
      <c r="E8" s="231" t="s">
        <v>23</v>
      </c>
      <c r="F8" s="267" t="s">
        <v>34</v>
      </c>
      <c r="G8" s="267" t="s">
        <v>34</v>
      </c>
      <c r="H8" s="233" t="s">
        <v>24</v>
      </c>
      <c r="I8" s="233" t="s">
        <v>24</v>
      </c>
      <c r="J8" s="231" t="s">
        <v>23</v>
      </c>
      <c r="K8" s="231" t="s">
        <v>23</v>
      </c>
      <c r="L8" s="232" t="s">
        <v>22</v>
      </c>
      <c r="M8" s="232" t="s">
        <v>22</v>
      </c>
      <c r="N8" s="232" t="s">
        <v>22</v>
      </c>
      <c r="O8" s="232" t="s">
        <v>22</v>
      </c>
      <c r="P8" s="231" t="s">
        <v>23</v>
      </c>
      <c r="Q8" s="231" t="s">
        <v>23</v>
      </c>
      <c r="R8" s="232" t="s">
        <v>22</v>
      </c>
      <c r="S8" s="232" t="s">
        <v>22</v>
      </c>
      <c r="T8" s="232" t="s">
        <v>22</v>
      </c>
      <c r="U8" s="232" t="s">
        <v>22</v>
      </c>
      <c r="V8" s="231" t="s">
        <v>23</v>
      </c>
      <c r="W8" s="231" t="s">
        <v>23</v>
      </c>
      <c r="X8" s="87" t="s">
        <v>53</v>
      </c>
      <c r="Y8" s="92" t="s">
        <v>34</v>
      </c>
      <c r="Z8" s="92" t="s">
        <v>34</v>
      </c>
      <c r="AA8" s="92" t="s">
        <v>34</v>
      </c>
      <c r="AB8" s="231" t="s">
        <v>23</v>
      </c>
      <c r="AC8" s="266" t="s">
        <v>63</v>
      </c>
      <c r="AD8" s="266" t="s">
        <v>63</v>
      </c>
      <c r="AE8" s="266" t="s">
        <v>63</v>
      </c>
      <c r="AF8" s="266" t="s">
        <v>63</v>
      </c>
      <c r="AG8" s="263" t="s">
        <v>63</v>
      </c>
      <c r="AI8" s="227">
        <f>VLOOKUP(B8,'APR25'!$B:$AN,39,0)</f>
        <v>23</v>
      </c>
      <c r="AJ8" s="225">
        <f t="shared" ref="AJ8:AJ9" si="0">COUNTIF(C8:AG8,"U")</f>
        <v>5</v>
      </c>
      <c r="AK8" s="230">
        <f t="shared" ref="AK8:AK9" si="1">AI8-AJ8</f>
        <v>18</v>
      </c>
    </row>
    <row r="9" spans="1:38" ht="18.75" customHeight="1">
      <c r="A9" s="602" t="s">
        <v>32</v>
      </c>
      <c r="B9" s="509" t="s">
        <v>33</v>
      </c>
      <c r="C9" s="231" t="s">
        <v>23</v>
      </c>
      <c r="D9" s="232" t="s">
        <v>22</v>
      </c>
      <c r="E9" s="267" t="s">
        <v>34</v>
      </c>
      <c r="F9" s="232" t="s">
        <v>22</v>
      </c>
      <c r="G9" s="232" t="s">
        <v>22</v>
      </c>
      <c r="H9" s="231" t="s">
        <v>23</v>
      </c>
      <c r="I9" s="231" t="s">
        <v>23</v>
      </c>
      <c r="J9" s="233" t="s">
        <v>24</v>
      </c>
      <c r="K9" s="233" t="s">
        <v>24</v>
      </c>
      <c r="L9" s="233" t="s">
        <v>24</v>
      </c>
      <c r="M9" s="233" t="s">
        <v>24</v>
      </c>
      <c r="N9" s="231" t="s">
        <v>23</v>
      </c>
      <c r="O9" s="231" t="s">
        <v>23</v>
      </c>
      <c r="P9" s="232" t="s">
        <v>22</v>
      </c>
      <c r="Q9" s="232" t="s">
        <v>22</v>
      </c>
      <c r="R9" s="232" t="s">
        <v>22</v>
      </c>
      <c r="S9" s="232" t="s">
        <v>22</v>
      </c>
      <c r="T9" s="231" t="s">
        <v>23</v>
      </c>
      <c r="U9" s="231" t="s">
        <v>23</v>
      </c>
      <c r="V9" s="233" t="s">
        <v>24</v>
      </c>
      <c r="W9" s="233" t="s">
        <v>24</v>
      </c>
      <c r="X9" s="233" t="s">
        <v>24</v>
      </c>
      <c r="Y9" s="233" t="s">
        <v>24</v>
      </c>
      <c r="Z9" s="231" t="s">
        <v>23</v>
      </c>
      <c r="AA9" s="231" t="s">
        <v>23</v>
      </c>
      <c r="AB9" s="232" t="s">
        <v>22</v>
      </c>
      <c r="AC9" s="232" t="s">
        <v>22</v>
      </c>
      <c r="AD9" s="232" t="s">
        <v>22</v>
      </c>
      <c r="AE9" s="232" t="s">
        <v>22</v>
      </c>
      <c r="AF9" s="231" t="s">
        <v>23</v>
      </c>
      <c r="AG9" s="234" t="s">
        <v>23</v>
      </c>
      <c r="AI9" s="227">
        <f>VLOOKUP(B9,'APR25'!$B:$AN,39,0)</f>
        <v>11</v>
      </c>
      <c r="AJ9" s="225">
        <f t="shared" si="0"/>
        <v>1</v>
      </c>
      <c r="AK9" s="230">
        <f t="shared" si="1"/>
        <v>10</v>
      </c>
    </row>
    <row r="10" spans="1:38" ht="18.75" customHeight="1">
      <c r="A10" s="602" t="s">
        <v>35</v>
      </c>
      <c r="B10" s="509" t="s">
        <v>36</v>
      </c>
      <c r="C10" s="233" t="s">
        <v>24</v>
      </c>
      <c r="D10" s="233" t="s">
        <v>24</v>
      </c>
      <c r="E10" s="233" t="s">
        <v>24</v>
      </c>
      <c r="F10" s="231" t="s">
        <v>23</v>
      </c>
      <c r="G10" s="231" t="s">
        <v>23</v>
      </c>
      <c r="H10" s="709" t="s">
        <v>180</v>
      </c>
      <c r="I10" s="709" t="s">
        <v>180</v>
      </c>
      <c r="J10" s="709" t="s">
        <v>180</v>
      </c>
      <c r="K10" s="709" t="s">
        <v>180</v>
      </c>
      <c r="L10" s="231" t="s">
        <v>23</v>
      </c>
      <c r="M10" s="231" t="s">
        <v>23</v>
      </c>
      <c r="N10" s="233" t="s">
        <v>24</v>
      </c>
      <c r="O10" s="233" t="s">
        <v>24</v>
      </c>
      <c r="P10" s="233" t="s">
        <v>24</v>
      </c>
      <c r="Q10" s="233" t="s">
        <v>24</v>
      </c>
      <c r="R10" s="231" t="s">
        <v>23</v>
      </c>
      <c r="S10" s="231" t="s">
        <v>23</v>
      </c>
      <c r="T10" s="232" t="s">
        <v>22</v>
      </c>
      <c r="U10" s="232" t="s">
        <v>22</v>
      </c>
      <c r="V10" s="232" t="s">
        <v>22</v>
      </c>
      <c r="W10" s="232" t="s">
        <v>22</v>
      </c>
      <c r="X10" s="272" t="s">
        <v>146</v>
      </c>
      <c r="Y10" s="231" t="s">
        <v>23</v>
      </c>
      <c r="Z10" s="231" t="s">
        <v>23</v>
      </c>
      <c r="AA10" s="272" t="s">
        <v>146</v>
      </c>
      <c r="AB10" s="233" t="s">
        <v>24</v>
      </c>
      <c r="AC10" s="92" t="s">
        <v>34</v>
      </c>
      <c r="AD10" s="231" t="s">
        <v>23</v>
      </c>
      <c r="AE10" s="231" t="s">
        <v>23</v>
      </c>
      <c r="AF10" s="232" t="s">
        <v>22</v>
      </c>
      <c r="AG10" s="235" t="s">
        <v>22</v>
      </c>
      <c r="AI10" s="227">
        <f>VLOOKUP(B10,'APR25'!$B:$AN,39,0)</f>
        <v>18</v>
      </c>
      <c r="AJ10" s="225">
        <f>COUNTIF(C10:AG10,"U")</f>
        <v>1</v>
      </c>
      <c r="AK10" s="230">
        <f>AI10-AJ10</f>
        <v>17</v>
      </c>
    </row>
    <row r="11" spans="1:38" ht="18.75" customHeight="1">
      <c r="A11" s="602" t="s">
        <v>37</v>
      </c>
      <c r="B11" s="509" t="s">
        <v>38</v>
      </c>
      <c r="C11" s="231" t="s">
        <v>23</v>
      </c>
      <c r="D11" s="231" t="s">
        <v>23</v>
      </c>
      <c r="E11" s="233" t="s">
        <v>24</v>
      </c>
      <c r="F11" s="233" t="s">
        <v>24</v>
      </c>
      <c r="G11" s="233" t="s">
        <v>24</v>
      </c>
      <c r="H11" s="233" t="s">
        <v>24</v>
      </c>
      <c r="I11" s="233" t="s">
        <v>24</v>
      </c>
      <c r="J11" s="231" t="s">
        <v>23</v>
      </c>
      <c r="K11" s="231" t="s">
        <v>23</v>
      </c>
      <c r="L11" s="232" t="s">
        <v>22</v>
      </c>
      <c r="M11" s="232" t="s">
        <v>22</v>
      </c>
      <c r="N11" s="272" t="s">
        <v>146</v>
      </c>
      <c r="O11" s="233" t="s">
        <v>24</v>
      </c>
      <c r="P11" s="231" t="s">
        <v>23</v>
      </c>
      <c r="Q11" s="231" t="s">
        <v>23</v>
      </c>
      <c r="R11" s="233" t="s">
        <v>24</v>
      </c>
      <c r="S11" s="233" t="s">
        <v>24</v>
      </c>
      <c r="T11" s="233" t="s">
        <v>24</v>
      </c>
      <c r="U11" s="233" t="s">
        <v>24</v>
      </c>
      <c r="V11" s="231" t="s">
        <v>23</v>
      </c>
      <c r="W11" s="231" t="s">
        <v>23</v>
      </c>
      <c r="X11" s="232" t="s">
        <v>22</v>
      </c>
      <c r="Y11" s="232" t="s">
        <v>22</v>
      </c>
      <c r="Z11" s="232" t="s">
        <v>22</v>
      </c>
      <c r="AA11" s="232" t="s">
        <v>22</v>
      </c>
      <c r="AB11" s="231" t="s">
        <v>23</v>
      </c>
      <c r="AC11" s="231" t="s">
        <v>23</v>
      </c>
      <c r="AD11" s="233" t="s">
        <v>24</v>
      </c>
      <c r="AE11" s="233" t="s">
        <v>24</v>
      </c>
      <c r="AF11" s="233" t="s">
        <v>24</v>
      </c>
      <c r="AG11" s="236" t="s">
        <v>24</v>
      </c>
      <c r="AI11" s="227">
        <f>VLOOKUP(B11,'APR25'!$B:$AN,39,0)</f>
        <v>18</v>
      </c>
      <c r="AJ11" s="225">
        <f>COUNTIF(C11:AG11,"U")</f>
        <v>0</v>
      </c>
      <c r="AK11" s="230">
        <f>AI11-AJ11</f>
        <v>18</v>
      </c>
    </row>
    <row r="12" spans="1:38" ht="19.5" customHeight="1" thickBot="1">
      <c r="A12" s="680" t="s">
        <v>43</v>
      </c>
      <c r="B12" s="508" t="s">
        <v>44</v>
      </c>
      <c r="C12" s="238" t="s">
        <v>23</v>
      </c>
      <c r="D12" s="223" t="s">
        <v>22</v>
      </c>
      <c r="E12" s="223" t="s">
        <v>22</v>
      </c>
      <c r="F12" s="765" t="s">
        <v>147</v>
      </c>
      <c r="G12" s="765" t="s">
        <v>147</v>
      </c>
      <c r="H12" s="238" t="s">
        <v>23</v>
      </c>
      <c r="I12" s="238" t="s">
        <v>23</v>
      </c>
      <c r="J12" s="766" t="s">
        <v>150</v>
      </c>
      <c r="K12" s="766" t="s">
        <v>150</v>
      </c>
      <c r="L12" s="766" t="s">
        <v>150</v>
      </c>
      <c r="M12" s="766" t="s">
        <v>150</v>
      </c>
      <c r="N12" s="238" t="s">
        <v>23</v>
      </c>
      <c r="O12" s="238" t="s">
        <v>23</v>
      </c>
      <c r="P12" s="223" t="s">
        <v>22</v>
      </c>
      <c r="Q12" s="223" t="s">
        <v>22</v>
      </c>
      <c r="R12" s="399" t="s">
        <v>34</v>
      </c>
      <c r="S12" s="399" t="s">
        <v>34</v>
      </c>
      <c r="T12" s="238" t="s">
        <v>23</v>
      </c>
      <c r="U12" s="238" t="s">
        <v>23</v>
      </c>
      <c r="V12" s="399" t="s">
        <v>34</v>
      </c>
      <c r="W12" s="399" t="s">
        <v>34</v>
      </c>
      <c r="X12" s="399" t="s">
        <v>34</v>
      </c>
      <c r="Y12" s="399" t="s">
        <v>34</v>
      </c>
      <c r="Z12" s="238" t="s">
        <v>23</v>
      </c>
      <c r="AA12" s="238" t="s">
        <v>23</v>
      </c>
      <c r="AB12" s="399" t="s">
        <v>34</v>
      </c>
      <c r="AC12" s="399" t="s">
        <v>34</v>
      </c>
      <c r="AD12" s="399" t="s">
        <v>34</v>
      </c>
      <c r="AE12" s="399" t="s">
        <v>34</v>
      </c>
      <c r="AF12" s="238" t="s">
        <v>23</v>
      </c>
      <c r="AG12" s="239" t="s">
        <v>23</v>
      </c>
      <c r="AI12" s="241">
        <f>VLOOKUP(B12,'APR25'!$B:$AN,39,0)</f>
        <v>17</v>
      </c>
      <c r="AJ12" s="283">
        <f>COUNTIF(C12:AG12,"U")</f>
        <v>10</v>
      </c>
      <c r="AK12" s="288">
        <f>AI12-AJ12</f>
        <v>7</v>
      </c>
    </row>
    <row r="13" spans="1:38" ht="20.100000000000001" customHeight="1" thickBot="1">
      <c r="A13" s="242"/>
      <c r="B13" s="242"/>
      <c r="C13" s="262"/>
      <c r="D13" s="262"/>
      <c r="E13" s="262"/>
      <c r="F13" s="262"/>
      <c r="G13" s="243"/>
      <c r="H13" s="243"/>
      <c r="I13" s="262"/>
      <c r="J13" s="245"/>
      <c r="K13" s="245"/>
      <c r="L13" s="245"/>
      <c r="M13" s="243"/>
      <c r="N13" s="243"/>
      <c r="O13" s="244"/>
      <c r="P13" s="244"/>
      <c r="Q13" s="244"/>
      <c r="R13" s="244"/>
      <c r="S13" s="243"/>
      <c r="T13" s="243"/>
      <c r="U13" s="245"/>
      <c r="V13" s="245"/>
      <c r="W13" s="245"/>
      <c r="X13" s="245"/>
      <c r="Y13" s="243"/>
      <c r="Z13" s="243"/>
      <c r="AA13" s="244"/>
      <c r="AB13" s="244"/>
      <c r="AC13" s="244"/>
      <c r="AD13" s="244"/>
      <c r="AE13" s="340"/>
      <c r="AF13" s="246"/>
      <c r="AG13" s="247"/>
      <c r="AH13" s="248"/>
      <c r="AI13" s="48"/>
      <c r="AJ13" s="247"/>
      <c r="AK13" s="247"/>
      <c r="AL13" s="247"/>
    </row>
    <row r="14" spans="1:38" ht="24.95" customHeight="1" thickBot="1">
      <c r="A14" s="581" t="s">
        <v>154</v>
      </c>
      <c r="B14" s="514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650"/>
      <c r="AE14" s="650"/>
      <c r="AF14" s="761"/>
      <c r="AG14" s="640"/>
      <c r="AH14" s="248"/>
      <c r="AI14" s="48"/>
      <c r="AJ14" s="247"/>
      <c r="AK14" s="247"/>
      <c r="AL14" s="247"/>
    </row>
    <row r="15" spans="1:38" s="338" customFormat="1" ht="19.5" customHeight="1">
      <c r="A15" s="566" t="s">
        <v>155</v>
      </c>
      <c r="B15" s="582" t="s">
        <v>156</v>
      </c>
      <c r="C15" s="712" t="s">
        <v>23</v>
      </c>
      <c r="D15" s="712" t="s">
        <v>23</v>
      </c>
      <c r="E15" s="710" t="s">
        <v>34</v>
      </c>
      <c r="F15" s="232" t="s">
        <v>22</v>
      </c>
      <c r="G15" s="232" t="s">
        <v>22</v>
      </c>
      <c r="H15" s="232" t="s">
        <v>22</v>
      </c>
      <c r="I15" s="712" t="s">
        <v>23</v>
      </c>
      <c r="J15" s="712" t="s">
        <v>23</v>
      </c>
      <c r="K15" s="264" t="s">
        <v>24</v>
      </c>
      <c r="L15" s="264" t="s">
        <v>24</v>
      </c>
      <c r="M15" s="264" t="s">
        <v>24</v>
      </c>
      <c r="N15" s="264" t="s">
        <v>24</v>
      </c>
      <c r="O15" s="712" t="s">
        <v>23</v>
      </c>
      <c r="P15" s="712" t="s">
        <v>23</v>
      </c>
      <c r="Q15" s="232" t="s">
        <v>22</v>
      </c>
      <c r="R15" s="232" t="s">
        <v>22</v>
      </c>
      <c r="S15" s="232" t="s">
        <v>22</v>
      </c>
      <c r="T15" s="232" t="s">
        <v>22</v>
      </c>
      <c r="U15" s="712" t="s">
        <v>23</v>
      </c>
      <c r="V15" s="712" t="s">
        <v>23</v>
      </c>
      <c r="W15" s="332" t="s">
        <v>68</v>
      </c>
      <c r="X15" s="264" t="s">
        <v>24</v>
      </c>
      <c r="Y15" s="264" t="s">
        <v>24</v>
      </c>
      <c r="Z15" s="264" t="s">
        <v>24</v>
      </c>
      <c r="AA15" s="712" t="s">
        <v>23</v>
      </c>
      <c r="AB15" s="712" t="s">
        <v>23</v>
      </c>
      <c r="AC15" s="232" t="s">
        <v>22</v>
      </c>
      <c r="AD15" s="232" t="s">
        <v>22</v>
      </c>
      <c r="AE15" s="232" t="s">
        <v>22</v>
      </c>
      <c r="AF15" s="232" t="s">
        <v>22</v>
      </c>
      <c r="AG15" s="737" t="s">
        <v>23</v>
      </c>
      <c r="AI15" s="259">
        <f>VLOOKUP(B15,'APR25'!$B:$AN,39,0)</f>
        <v>17</v>
      </c>
      <c r="AJ15" s="250">
        <v>0</v>
      </c>
      <c r="AK15" s="252">
        <v>17</v>
      </c>
    </row>
    <row r="16" spans="1:38" s="338" customFormat="1" ht="19.5" customHeight="1">
      <c r="A16" s="568" t="s">
        <v>157</v>
      </c>
      <c r="B16" s="582" t="s">
        <v>158</v>
      </c>
      <c r="C16" s="710" t="s">
        <v>30</v>
      </c>
      <c r="D16" s="710" t="s">
        <v>34</v>
      </c>
      <c r="E16" s="712" t="s">
        <v>23</v>
      </c>
      <c r="F16" s="712" t="s">
        <v>23</v>
      </c>
      <c r="G16" s="264" t="s">
        <v>24</v>
      </c>
      <c r="H16" s="264" t="s">
        <v>24</v>
      </c>
      <c r="I16" s="264" t="s">
        <v>24</v>
      </c>
      <c r="J16" s="264" t="s">
        <v>24</v>
      </c>
      <c r="K16" s="712" t="s">
        <v>23</v>
      </c>
      <c r="L16" s="712" t="s">
        <v>23</v>
      </c>
      <c r="M16" s="232" t="s">
        <v>22</v>
      </c>
      <c r="N16" s="232" t="s">
        <v>22</v>
      </c>
      <c r="O16" s="232" t="s">
        <v>22</v>
      </c>
      <c r="P16" s="232" t="s">
        <v>22</v>
      </c>
      <c r="Q16" s="712" t="s">
        <v>23</v>
      </c>
      <c r="R16" s="712" t="s">
        <v>23</v>
      </c>
      <c r="S16" s="264" t="s">
        <v>24</v>
      </c>
      <c r="T16" s="264" t="s">
        <v>24</v>
      </c>
      <c r="U16" s="264" t="s">
        <v>24</v>
      </c>
      <c r="V16" s="264" t="s">
        <v>24</v>
      </c>
      <c r="W16" s="712" t="s">
        <v>23</v>
      </c>
      <c r="X16" s="712" t="s">
        <v>23</v>
      </c>
      <c r="Y16" s="232" t="s">
        <v>22</v>
      </c>
      <c r="Z16" s="232" t="s">
        <v>22</v>
      </c>
      <c r="AA16" s="232" t="s">
        <v>22</v>
      </c>
      <c r="AB16" s="232" t="s">
        <v>22</v>
      </c>
      <c r="AC16" s="712" t="s">
        <v>23</v>
      </c>
      <c r="AD16" s="712" t="s">
        <v>23</v>
      </c>
      <c r="AE16" s="264" t="s">
        <v>24</v>
      </c>
      <c r="AF16" s="264" t="s">
        <v>24</v>
      </c>
      <c r="AG16" s="265" t="s">
        <v>24</v>
      </c>
      <c r="AI16" s="260">
        <f>VLOOKUP(B16,'APR25'!$B:$AN,39,0)</f>
        <v>22</v>
      </c>
      <c r="AJ16" s="253">
        <v>1</v>
      </c>
      <c r="AK16" s="254">
        <v>21</v>
      </c>
    </row>
    <row r="17" spans="1:38" s="338" customFormat="1" ht="19.5" customHeight="1">
      <c r="A17" s="568" t="s">
        <v>159</v>
      </c>
      <c r="B17" s="582" t="s">
        <v>160</v>
      </c>
      <c r="C17" s="712" t="s">
        <v>23</v>
      </c>
      <c r="D17" s="712" t="s">
        <v>23</v>
      </c>
      <c r="E17" s="264" t="s">
        <v>24</v>
      </c>
      <c r="F17" s="264" t="s">
        <v>24</v>
      </c>
      <c r="G17" s="264" t="s">
        <v>24</v>
      </c>
      <c r="H17" s="264" t="s">
        <v>24</v>
      </c>
      <c r="I17" s="712" t="s">
        <v>23</v>
      </c>
      <c r="J17" s="712" t="s">
        <v>23</v>
      </c>
      <c r="K17" s="232" t="s">
        <v>22</v>
      </c>
      <c r="L17" s="232" t="s">
        <v>22</v>
      </c>
      <c r="M17" s="232" t="s">
        <v>22</v>
      </c>
      <c r="N17" s="232" t="s">
        <v>22</v>
      </c>
      <c r="O17" s="712" t="s">
        <v>23</v>
      </c>
      <c r="P17" s="712" t="s">
        <v>23</v>
      </c>
      <c r="Q17" s="232" t="s">
        <v>22</v>
      </c>
      <c r="R17" s="232" t="s">
        <v>22</v>
      </c>
      <c r="S17" s="232" t="s">
        <v>22</v>
      </c>
      <c r="T17" s="232" t="s">
        <v>22</v>
      </c>
      <c r="U17" s="712" t="s">
        <v>23</v>
      </c>
      <c r="V17" s="712" t="s">
        <v>23</v>
      </c>
      <c r="W17" s="264" t="s">
        <v>24</v>
      </c>
      <c r="X17" s="264" t="s">
        <v>24</v>
      </c>
      <c r="Y17" s="264" t="s">
        <v>24</v>
      </c>
      <c r="Z17" s="712" t="s">
        <v>23</v>
      </c>
      <c r="AA17" s="712" t="s">
        <v>23</v>
      </c>
      <c r="AB17" s="232" t="s">
        <v>22</v>
      </c>
      <c r="AC17" s="232" t="s">
        <v>22</v>
      </c>
      <c r="AD17" s="232" t="s">
        <v>22</v>
      </c>
      <c r="AE17" s="232" t="s">
        <v>22</v>
      </c>
      <c r="AF17" s="232" t="s">
        <v>22</v>
      </c>
      <c r="AG17" s="737" t="s">
        <v>23</v>
      </c>
      <c r="AI17" s="260">
        <f>VLOOKUP(B17,'APR25'!$B:$AN,39,0)</f>
        <v>22</v>
      </c>
      <c r="AJ17" s="253">
        <v>0</v>
      </c>
      <c r="AK17" s="254">
        <v>22</v>
      </c>
    </row>
    <row r="18" spans="1:38" s="338" customFormat="1" ht="19.5" customHeight="1">
      <c r="A18" s="568" t="s">
        <v>161</v>
      </c>
      <c r="B18" s="582" t="s">
        <v>162</v>
      </c>
      <c r="C18" s="232" t="s">
        <v>22</v>
      </c>
      <c r="D18" s="232" t="s">
        <v>22</v>
      </c>
      <c r="E18" s="232" t="s">
        <v>22</v>
      </c>
      <c r="F18" s="232" t="s">
        <v>22</v>
      </c>
      <c r="G18" s="712" t="s">
        <v>23</v>
      </c>
      <c r="H18" s="712" t="s">
        <v>23</v>
      </c>
      <c r="I18" s="348" t="s">
        <v>147</v>
      </c>
      <c r="J18" s="348" t="s">
        <v>147</v>
      </c>
      <c r="K18" s="710" t="s">
        <v>34</v>
      </c>
      <c r="L18" s="710" t="s">
        <v>34</v>
      </c>
      <c r="M18" s="712" t="s">
        <v>23</v>
      </c>
      <c r="N18" s="712" t="s">
        <v>23</v>
      </c>
      <c r="O18" s="264" t="s">
        <v>24</v>
      </c>
      <c r="P18" s="264" t="s">
        <v>24</v>
      </c>
      <c r="Q18" s="264" t="s">
        <v>24</v>
      </c>
      <c r="R18" s="264" t="s">
        <v>24</v>
      </c>
      <c r="S18" s="712" t="s">
        <v>23</v>
      </c>
      <c r="T18" s="712" t="s">
        <v>23</v>
      </c>
      <c r="U18" s="232" t="s">
        <v>22</v>
      </c>
      <c r="V18" s="232" t="s">
        <v>144</v>
      </c>
      <c r="W18" s="232" t="s">
        <v>22</v>
      </c>
      <c r="X18" s="232" t="s">
        <v>22</v>
      </c>
      <c r="Y18" s="712" t="s">
        <v>23</v>
      </c>
      <c r="Z18" s="712" t="s">
        <v>23</v>
      </c>
      <c r="AA18" s="264" t="s">
        <v>24</v>
      </c>
      <c r="AB18" s="264" t="s">
        <v>24</v>
      </c>
      <c r="AC18" s="264" t="s">
        <v>24</v>
      </c>
      <c r="AD18" s="264" t="s">
        <v>24</v>
      </c>
      <c r="AE18" s="712" t="s">
        <v>23</v>
      </c>
      <c r="AF18" s="712" t="s">
        <v>23</v>
      </c>
      <c r="AG18" s="235" t="s">
        <v>22</v>
      </c>
      <c r="AI18" s="260">
        <f>VLOOKUP(B18,'APR25'!$B:$AN,39,0)</f>
        <v>23</v>
      </c>
      <c r="AJ18" s="253">
        <v>2</v>
      </c>
      <c r="AK18" s="254">
        <v>21</v>
      </c>
    </row>
    <row r="19" spans="1:38" s="338" customFormat="1" ht="19.5" customHeight="1" thickBot="1">
      <c r="A19" s="687" t="s">
        <v>163</v>
      </c>
      <c r="B19" s="592" t="s">
        <v>164</v>
      </c>
      <c r="C19" s="280" t="s">
        <v>24</v>
      </c>
      <c r="D19" s="280" t="s">
        <v>24</v>
      </c>
      <c r="E19" s="740" t="s">
        <v>23</v>
      </c>
      <c r="F19" s="740" t="s">
        <v>23</v>
      </c>
      <c r="G19" s="223" t="s">
        <v>22</v>
      </c>
      <c r="H19" s="223" t="s">
        <v>22</v>
      </c>
      <c r="I19" s="223" t="s">
        <v>22</v>
      </c>
      <c r="J19" s="223" t="s">
        <v>22</v>
      </c>
      <c r="K19" s="740" t="s">
        <v>23</v>
      </c>
      <c r="L19" s="740" t="s">
        <v>23</v>
      </c>
      <c r="M19" s="767"/>
      <c r="N19" s="767"/>
      <c r="O19" s="767"/>
      <c r="P19" s="768"/>
      <c r="Q19" s="768"/>
      <c r="R19" s="769"/>
      <c r="S19" s="769"/>
      <c r="T19" s="769"/>
      <c r="U19" s="769"/>
      <c r="V19" s="768"/>
      <c r="W19" s="768"/>
      <c r="X19" s="770"/>
      <c r="Y19" s="770"/>
      <c r="Z19" s="770"/>
      <c r="AA19" s="770"/>
      <c r="AB19" s="768"/>
      <c r="AC19" s="768"/>
      <c r="AD19" s="767"/>
      <c r="AE19" s="767"/>
      <c r="AF19" s="767"/>
      <c r="AG19" s="771"/>
      <c r="AI19" s="261">
        <f>VLOOKUP(B19,'APR25'!$B:$AN,39,0)</f>
        <v>23</v>
      </c>
      <c r="AJ19" s="256">
        <v>3</v>
      </c>
      <c r="AK19" s="257">
        <v>20</v>
      </c>
    </row>
    <row r="20" spans="1:38" s="338" customFormat="1" ht="20.100000000000001" customHeight="1" thickBot="1">
      <c r="A20" s="95"/>
      <c r="B20" s="95"/>
      <c r="C20" s="243"/>
      <c r="D20" s="245"/>
      <c r="E20" s="245"/>
      <c r="F20" s="245"/>
      <c r="G20" s="245"/>
      <c r="H20" s="243"/>
      <c r="I20" s="243"/>
      <c r="J20" s="244"/>
      <c r="K20" s="244"/>
      <c r="L20" s="244"/>
      <c r="M20" s="244"/>
      <c r="N20" s="243"/>
      <c r="O20" s="243"/>
      <c r="P20" s="245"/>
      <c r="Q20" s="245"/>
      <c r="R20" s="245"/>
      <c r="S20" s="245"/>
      <c r="T20" s="243"/>
      <c r="U20" s="243"/>
      <c r="V20" s="244"/>
      <c r="W20" s="244"/>
      <c r="X20" s="244"/>
      <c r="Y20" s="244"/>
      <c r="Z20" s="243"/>
      <c r="AA20" s="243"/>
      <c r="AB20" s="245"/>
      <c r="AC20" s="245"/>
      <c r="AD20" s="245"/>
      <c r="AE20" s="245"/>
      <c r="AF20" s="243"/>
      <c r="AG20" s="243"/>
      <c r="AI20" s="247"/>
      <c r="AJ20" s="247"/>
      <c r="AK20" s="247"/>
    </row>
    <row r="21" spans="1:38" s="338" customFormat="1" ht="24.95" customHeight="1" thickBot="1">
      <c r="A21" s="581" t="s">
        <v>45</v>
      </c>
      <c r="B21" s="514"/>
      <c r="C21" s="514"/>
      <c r="D21" s="514"/>
      <c r="E21" s="514"/>
      <c r="F21" s="514"/>
      <c r="G21" s="514"/>
      <c r="H21" s="514"/>
      <c r="I21" s="514"/>
      <c r="J21" s="514"/>
      <c r="K21" s="514"/>
      <c r="L21" s="514"/>
      <c r="M21" s="514"/>
      <c r="N21" s="514"/>
      <c r="O21" s="514"/>
      <c r="P21" s="514"/>
      <c r="Q21" s="514"/>
      <c r="R21" s="514"/>
      <c r="S21" s="514"/>
      <c r="T21" s="514"/>
      <c r="U21" s="514"/>
      <c r="V21" s="514"/>
      <c r="W21" s="514"/>
      <c r="X21" s="514"/>
      <c r="Y21" s="514"/>
      <c r="Z21" s="514"/>
      <c r="AA21" s="514"/>
      <c r="AB21" s="514"/>
      <c r="AC21" s="514"/>
      <c r="AD21" s="650"/>
      <c r="AE21" s="650"/>
      <c r="AF21" s="761"/>
      <c r="AG21" s="640"/>
      <c r="AI21" s="247"/>
      <c r="AJ21" s="247"/>
      <c r="AK21" s="247"/>
    </row>
    <row r="22" spans="1:38" ht="19.5" customHeight="1">
      <c r="A22" s="718" t="s">
        <v>46</v>
      </c>
      <c r="B22" s="695" t="s">
        <v>47</v>
      </c>
      <c r="C22" s="710" t="s">
        <v>30</v>
      </c>
      <c r="D22" s="752" t="s">
        <v>165</v>
      </c>
      <c r="E22" s="712" t="s">
        <v>23</v>
      </c>
      <c r="F22" s="712" t="s">
        <v>23</v>
      </c>
      <c r="G22" s="637" t="s">
        <v>144</v>
      </c>
      <c r="H22" s="752" t="s">
        <v>165</v>
      </c>
      <c r="I22" s="752" t="s">
        <v>165</v>
      </c>
      <c r="J22" s="752" t="s">
        <v>165</v>
      </c>
      <c r="K22" s="752" t="s">
        <v>165</v>
      </c>
      <c r="L22" s="712" t="s">
        <v>23</v>
      </c>
      <c r="M22" s="712" t="s">
        <v>23</v>
      </c>
      <c r="N22" s="752" t="s">
        <v>165</v>
      </c>
      <c r="O22" s="752" t="s">
        <v>165</v>
      </c>
      <c r="P22" s="752" t="s">
        <v>165</v>
      </c>
      <c r="Q22" s="231" t="s">
        <v>23</v>
      </c>
      <c r="R22" s="87" t="s">
        <v>148</v>
      </c>
      <c r="S22" s="712" t="s">
        <v>23</v>
      </c>
      <c r="T22" s="87" t="s">
        <v>53</v>
      </c>
      <c r="U22" s="752" t="s">
        <v>165</v>
      </c>
      <c r="V22" s="637" t="s">
        <v>144</v>
      </c>
      <c r="W22" s="752" t="s">
        <v>165</v>
      </c>
      <c r="X22" s="752" t="s">
        <v>165</v>
      </c>
      <c r="Y22" s="752" t="s">
        <v>165</v>
      </c>
      <c r="Z22" s="712" t="s">
        <v>23</v>
      </c>
      <c r="AA22" s="712" t="s">
        <v>23</v>
      </c>
      <c r="AB22" s="336" t="s">
        <v>49</v>
      </c>
      <c r="AC22" s="336" t="s">
        <v>49</v>
      </c>
      <c r="AD22" s="336" t="s">
        <v>49</v>
      </c>
      <c r="AE22" s="753" t="s">
        <v>181</v>
      </c>
      <c r="AF22" s="637" t="s">
        <v>144</v>
      </c>
      <c r="AG22" s="737" t="s">
        <v>23</v>
      </c>
      <c r="AH22" s="247"/>
      <c r="AI22" s="220">
        <f>VLOOKUP(B22,'APR25'!$B:$AN,39,0)</f>
        <v>15</v>
      </c>
      <c r="AJ22" s="218">
        <v>0</v>
      </c>
      <c r="AK22" s="221">
        <v>15</v>
      </c>
      <c r="AL22" s="247"/>
    </row>
    <row r="23" spans="1:38" ht="19.5" customHeight="1">
      <c r="A23" s="602" t="s">
        <v>51</v>
      </c>
      <c r="B23" s="509" t="s">
        <v>52</v>
      </c>
      <c r="C23" s="264" t="s">
        <v>24</v>
      </c>
      <c r="D23" s="264" t="s">
        <v>24</v>
      </c>
      <c r="E23" s="264" t="s">
        <v>24</v>
      </c>
      <c r="F23" s="264" t="s">
        <v>24</v>
      </c>
      <c r="G23" s="712" t="s">
        <v>23</v>
      </c>
      <c r="H23" s="712" t="s">
        <v>23</v>
      </c>
      <c r="I23" s="232" t="s">
        <v>22</v>
      </c>
      <c r="J23" s="232" t="s">
        <v>22</v>
      </c>
      <c r="K23" s="264" t="s">
        <v>24</v>
      </c>
      <c r="L23" s="264" t="s">
        <v>24</v>
      </c>
      <c r="M23" s="711" t="s">
        <v>23</v>
      </c>
      <c r="N23" s="339" t="s">
        <v>182</v>
      </c>
      <c r="O23" s="264" t="s">
        <v>24</v>
      </c>
      <c r="P23" s="264" t="s">
        <v>24</v>
      </c>
      <c r="Q23" s="264" t="s">
        <v>24</v>
      </c>
      <c r="R23" s="264" t="s">
        <v>24</v>
      </c>
      <c r="S23" s="712" t="s">
        <v>23</v>
      </c>
      <c r="T23" s="712" t="s">
        <v>23</v>
      </c>
      <c r="U23" s="232" t="s">
        <v>22</v>
      </c>
      <c r="V23" s="232" t="s">
        <v>22</v>
      </c>
      <c r="W23" s="264" t="s">
        <v>24</v>
      </c>
      <c r="X23" s="754" t="s">
        <v>23</v>
      </c>
      <c r="Y23" s="711" t="s">
        <v>23</v>
      </c>
      <c r="Z23" s="711" t="s">
        <v>23</v>
      </c>
      <c r="AA23" s="264" t="s">
        <v>24</v>
      </c>
      <c r="AB23" s="264" t="s">
        <v>24</v>
      </c>
      <c r="AC23" s="264" t="s">
        <v>24</v>
      </c>
      <c r="AD23" s="264" t="s">
        <v>24</v>
      </c>
      <c r="AE23" s="712" t="s">
        <v>23</v>
      </c>
      <c r="AF23" s="712" t="s">
        <v>23</v>
      </c>
      <c r="AG23" s="235" t="s">
        <v>22</v>
      </c>
      <c r="AH23" s="248"/>
      <c r="AI23" s="227">
        <f>VLOOKUP(B23,'APR25'!$B:$AN,39,0)</f>
        <v>12</v>
      </c>
      <c r="AJ23" s="225">
        <v>0</v>
      </c>
      <c r="AK23" s="230">
        <v>12</v>
      </c>
      <c r="AL23" s="247"/>
    </row>
    <row r="24" spans="1:38" ht="19.5" customHeight="1">
      <c r="A24" s="602" t="s">
        <v>54</v>
      </c>
      <c r="B24" s="509" t="s">
        <v>55</v>
      </c>
      <c r="C24" s="711" t="s">
        <v>23</v>
      </c>
      <c r="D24" s="711" t="s">
        <v>23</v>
      </c>
      <c r="E24" s="232" t="s">
        <v>22</v>
      </c>
      <c r="F24" s="232" t="s">
        <v>22</v>
      </c>
      <c r="G24" s="232" t="s">
        <v>22</v>
      </c>
      <c r="H24" s="232" t="s">
        <v>22</v>
      </c>
      <c r="I24" s="712" t="s">
        <v>23</v>
      </c>
      <c r="J24" s="712" t="s">
        <v>23</v>
      </c>
      <c r="K24" s="232" t="s">
        <v>22</v>
      </c>
      <c r="L24" s="232" t="s">
        <v>22</v>
      </c>
      <c r="M24" s="264" t="s">
        <v>24</v>
      </c>
      <c r="N24" s="264" t="s">
        <v>24</v>
      </c>
      <c r="O24" s="711" t="s">
        <v>23</v>
      </c>
      <c r="P24" s="711" t="s">
        <v>23</v>
      </c>
      <c r="Q24" s="232" t="s">
        <v>22</v>
      </c>
      <c r="R24" s="232" t="s">
        <v>22</v>
      </c>
      <c r="S24" s="232" t="s">
        <v>22</v>
      </c>
      <c r="T24" s="232" t="s">
        <v>22</v>
      </c>
      <c r="U24" s="712" t="s">
        <v>23</v>
      </c>
      <c r="V24" s="712" t="s">
        <v>23</v>
      </c>
      <c r="W24" s="232" t="s">
        <v>22</v>
      </c>
      <c r="X24" s="232" t="s">
        <v>22</v>
      </c>
      <c r="Y24" s="267" t="s">
        <v>34</v>
      </c>
      <c r="Z24" s="267" t="s">
        <v>34</v>
      </c>
      <c r="AA24" s="711" t="s">
        <v>23</v>
      </c>
      <c r="AB24" s="711" t="s">
        <v>23</v>
      </c>
      <c r="AC24" s="267" t="s">
        <v>34</v>
      </c>
      <c r="AD24" s="267" t="s">
        <v>34</v>
      </c>
      <c r="AE24" s="267" t="s">
        <v>34</v>
      </c>
      <c r="AF24" s="267" t="s">
        <v>34</v>
      </c>
      <c r="AG24" s="737" t="s">
        <v>23</v>
      </c>
      <c r="AH24" s="248"/>
      <c r="AI24" s="227">
        <f>VLOOKUP(B24,'APR25'!$B:$AN,39,0)</f>
        <v>17</v>
      </c>
      <c r="AJ24" s="225">
        <v>6</v>
      </c>
      <c r="AK24" s="230">
        <v>11</v>
      </c>
      <c r="AL24" s="247"/>
    </row>
    <row r="25" spans="1:38" ht="19.5" customHeight="1">
      <c r="A25" s="602" t="s">
        <v>56</v>
      </c>
      <c r="B25" s="509" t="s">
        <v>57</v>
      </c>
      <c r="C25" s="752" t="s">
        <v>176</v>
      </c>
      <c r="D25" s="752" t="s">
        <v>176</v>
      </c>
      <c r="E25" s="231" t="s">
        <v>23</v>
      </c>
      <c r="F25" s="231" t="s">
        <v>23</v>
      </c>
      <c r="G25" s="267" t="s">
        <v>34</v>
      </c>
      <c r="H25" s="267" t="s">
        <v>34</v>
      </c>
      <c r="I25" s="267" t="s">
        <v>34</v>
      </c>
      <c r="J25" s="267" t="s">
        <v>34</v>
      </c>
      <c r="K25" s="231" t="s">
        <v>23</v>
      </c>
      <c r="L25" s="231" t="s">
        <v>23</v>
      </c>
      <c r="M25" s="752" t="s">
        <v>176</v>
      </c>
      <c r="N25" s="341" t="s">
        <v>19</v>
      </c>
      <c r="O25" s="752" t="s">
        <v>176</v>
      </c>
      <c r="P25" s="752" t="s">
        <v>176</v>
      </c>
      <c r="Q25" s="231" t="s">
        <v>23</v>
      </c>
      <c r="R25" s="231" t="s">
        <v>23</v>
      </c>
      <c r="S25" s="267" t="s">
        <v>34</v>
      </c>
      <c r="T25" s="752" t="s">
        <v>176</v>
      </c>
      <c r="U25" s="752" t="s">
        <v>176</v>
      </c>
      <c r="V25" s="752" t="s">
        <v>176</v>
      </c>
      <c r="W25" s="231" t="s">
        <v>23</v>
      </c>
      <c r="X25" s="231" t="s">
        <v>23</v>
      </c>
      <c r="Y25" s="752" t="s">
        <v>176</v>
      </c>
      <c r="Z25" s="711" t="s">
        <v>23</v>
      </c>
      <c r="AA25" s="711" t="s">
        <v>23</v>
      </c>
      <c r="AB25" s="752" t="s">
        <v>183</v>
      </c>
      <c r="AC25" s="752" t="s">
        <v>183</v>
      </c>
      <c r="AD25" s="752" t="s">
        <v>176</v>
      </c>
      <c r="AE25" s="752" t="s">
        <v>176</v>
      </c>
      <c r="AF25" s="755" t="s">
        <v>68</v>
      </c>
      <c r="AG25" s="737" t="s">
        <v>23</v>
      </c>
      <c r="AH25" s="248"/>
      <c r="AI25" s="227">
        <f>VLOOKUP(B25,'APR25'!$B:$AN,39,0)</f>
        <v>21</v>
      </c>
      <c r="AJ25" s="225">
        <v>4</v>
      </c>
      <c r="AK25" s="230">
        <v>17</v>
      </c>
      <c r="AL25" s="247"/>
    </row>
    <row r="26" spans="1:38" ht="19.5" customHeight="1" thickBot="1">
      <c r="A26" s="680" t="s">
        <v>166</v>
      </c>
      <c r="B26" s="508" t="s">
        <v>167</v>
      </c>
      <c r="C26" s="223" t="s">
        <v>22</v>
      </c>
      <c r="D26" s="223" t="s">
        <v>22</v>
      </c>
      <c r="E26" s="772" t="s">
        <v>23</v>
      </c>
      <c r="F26" s="238" t="s">
        <v>23</v>
      </c>
      <c r="G26" s="330" t="s">
        <v>34</v>
      </c>
      <c r="H26" s="330" t="s">
        <v>34</v>
      </c>
      <c r="I26" s="330" t="s">
        <v>34</v>
      </c>
      <c r="J26" s="330" t="s">
        <v>34</v>
      </c>
      <c r="K26" s="238" t="s">
        <v>23</v>
      </c>
      <c r="L26" s="238" t="s">
        <v>23</v>
      </c>
      <c r="M26" s="330" t="s">
        <v>34</v>
      </c>
      <c r="N26" s="330" t="s">
        <v>34</v>
      </c>
      <c r="O26" s="223" t="s">
        <v>22</v>
      </c>
      <c r="P26" s="223" t="s">
        <v>22</v>
      </c>
      <c r="Q26" s="238" t="s">
        <v>23</v>
      </c>
      <c r="R26" s="238" t="s">
        <v>23</v>
      </c>
      <c r="S26" s="280" t="s">
        <v>24</v>
      </c>
      <c r="T26" s="280" t="s">
        <v>24</v>
      </c>
      <c r="U26" s="280" t="s">
        <v>24</v>
      </c>
      <c r="V26" s="280" t="s">
        <v>24</v>
      </c>
      <c r="W26" s="238" t="s">
        <v>23</v>
      </c>
      <c r="X26" s="238" t="s">
        <v>23</v>
      </c>
      <c r="Y26" s="773" t="s">
        <v>144</v>
      </c>
      <c r="Z26" s="223" t="s">
        <v>22</v>
      </c>
      <c r="AA26" s="238" t="s">
        <v>23</v>
      </c>
      <c r="AB26" s="773" t="s">
        <v>144</v>
      </c>
      <c r="AC26" s="773" t="s">
        <v>144</v>
      </c>
      <c r="AD26" s="238" t="s">
        <v>23</v>
      </c>
      <c r="AE26" s="280" t="s">
        <v>24</v>
      </c>
      <c r="AF26" s="280" t="s">
        <v>24</v>
      </c>
      <c r="AG26" s="281" t="s">
        <v>24</v>
      </c>
      <c r="AH26" s="248"/>
      <c r="AI26" s="241">
        <f>VLOOKUP(B26,'APR25'!$B:$AN,39,0)</f>
        <v>22</v>
      </c>
      <c r="AJ26" s="283">
        <v>6</v>
      </c>
      <c r="AK26" s="288">
        <v>16</v>
      </c>
      <c r="AL26" s="247"/>
    </row>
    <row r="27" spans="1:38" ht="20.100000000000001" customHeight="1" thickBot="1">
      <c r="A27" s="242"/>
      <c r="B27" s="242"/>
      <c r="C27" s="262"/>
      <c r="D27" s="262"/>
      <c r="E27" s="262"/>
      <c r="F27" s="262"/>
      <c r="G27" s="243"/>
      <c r="H27" s="243"/>
      <c r="I27" s="262"/>
      <c r="J27" s="245"/>
      <c r="K27" s="245"/>
      <c r="L27" s="245"/>
      <c r="M27" s="243"/>
      <c r="N27" s="243"/>
      <c r="O27" s="244"/>
      <c r="P27" s="244"/>
      <c r="Q27" s="244"/>
      <c r="R27" s="244"/>
      <c r="S27" s="243"/>
      <c r="T27" s="243"/>
      <c r="U27" s="245"/>
      <c r="V27" s="245"/>
      <c r="W27" s="245"/>
      <c r="X27" s="245"/>
      <c r="Y27" s="243"/>
      <c r="Z27" s="243"/>
      <c r="AA27" s="244"/>
      <c r="AB27" s="244"/>
      <c r="AC27" s="244"/>
      <c r="AD27" s="244"/>
      <c r="AF27" s="246"/>
      <c r="AG27" s="258"/>
      <c r="AH27" s="248"/>
      <c r="AI27" s="48"/>
      <c r="AJ27" s="247"/>
      <c r="AK27" s="247"/>
      <c r="AL27" s="247"/>
    </row>
    <row r="28" spans="1:38" ht="24.95" customHeight="1" thickBot="1">
      <c r="A28" s="581" t="s">
        <v>60</v>
      </c>
      <c r="B28" s="514"/>
      <c r="C28" s="514"/>
      <c r="D28" s="514"/>
      <c r="E28" s="514"/>
      <c r="F28" s="514"/>
      <c r="G28" s="514"/>
      <c r="H28" s="514"/>
      <c r="I28" s="514"/>
      <c r="J28" s="514"/>
      <c r="K28" s="514"/>
      <c r="L28" s="514"/>
      <c r="M28" s="514"/>
      <c r="N28" s="514"/>
      <c r="O28" s="514"/>
      <c r="P28" s="514"/>
      <c r="Q28" s="514"/>
      <c r="R28" s="514"/>
      <c r="S28" s="514"/>
      <c r="T28" s="514"/>
      <c r="U28" s="514"/>
      <c r="V28" s="514"/>
      <c r="W28" s="514"/>
      <c r="X28" s="514"/>
      <c r="Y28" s="514"/>
      <c r="Z28" s="514"/>
      <c r="AA28" s="514"/>
      <c r="AB28" s="514"/>
      <c r="AC28" s="514"/>
      <c r="AD28" s="650"/>
      <c r="AE28" s="650"/>
      <c r="AF28" s="761"/>
      <c r="AG28" s="640"/>
      <c r="AH28" s="248"/>
      <c r="AI28" s="48"/>
      <c r="AJ28" s="247"/>
      <c r="AK28" s="247"/>
      <c r="AL28" s="247"/>
    </row>
    <row r="29" spans="1:38" ht="18.75" customHeight="1">
      <c r="A29" s="602" t="s">
        <v>61</v>
      </c>
      <c r="B29" s="509" t="s">
        <v>62</v>
      </c>
      <c r="C29" s="266" t="s">
        <v>63</v>
      </c>
      <c r="D29" s="266" t="s">
        <v>63</v>
      </c>
      <c r="E29" s="266" t="s">
        <v>63</v>
      </c>
      <c r="F29" s="231" t="s">
        <v>23</v>
      </c>
      <c r="G29" s="231" t="s">
        <v>23</v>
      </c>
      <c r="H29" s="267" t="s">
        <v>34</v>
      </c>
      <c r="I29" s="267" t="s">
        <v>34</v>
      </c>
      <c r="J29" s="267" t="s">
        <v>34</v>
      </c>
      <c r="K29" s="267" t="s">
        <v>34</v>
      </c>
      <c r="L29" s="231" t="s">
        <v>23</v>
      </c>
      <c r="M29" s="231" t="s">
        <v>23</v>
      </c>
      <c r="N29" s="339" t="s">
        <v>184</v>
      </c>
      <c r="O29" s="339" t="s">
        <v>184</v>
      </c>
      <c r="P29" s="339" t="s">
        <v>184</v>
      </c>
      <c r="Q29" s="274" t="s">
        <v>100</v>
      </c>
      <c r="R29" s="231" t="s">
        <v>23</v>
      </c>
      <c r="S29" s="231" t="s">
        <v>23</v>
      </c>
      <c r="T29" s="233" t="s">
        <v>24</v>
      </c>
      <c r="U29" s="233" t="s">
        <v>24</v>
      </c>
      <c r="V29" s="233" t="s">
        <v>24</v>
      </c>
      <c r="W29" s="233" t="s">
        <v>24</v>
      </c>
      <c r="X29" s="231" t="s">
        <v>23</v>
      </c>
      <c r="Y29" s="231" t="s">
        <v>23</v>
      </c>
      <c r="Z29" s="232" t="s">
        <v>22</v>
      </c>
      <c r="AA29" s="232" t="s">
        <v>22</v>
      </c>
      <c r="AB29" s="232" t="s">
        <v>22</v>
      </c>
      <c r="AC29" s="232" t="s">
        <v>22</v>
      </c>
      <c r="AD29" s="231" t="s">
        <v>23</v>
      </c>
      <c r="AE29" s="231" t="s">
        <v>23</v>
      </c>
      <c r="AF29" s="266" t="s">
        <v>63</v>
      </c>
      <c r="AG29" s="263" t="s">
        <v>63</v>
      </c>
      <c r="AI29" s="220">
        <f>VLOOKUP(B29,'APR25'!$B:$AN,39,0)</f>
        <v>19</v>
      </c>
      <c r="AJ29" s="218">
        <f>COUNTIF(C29:AG29,"U")</f>
        <v>4</v>
      </c>
      <c r="AK29" s="221">
        <f>AI29-AJ29</f>
        <v>15</v>
      </c>
    </row>
    <row r="30" spans="1:38" ht="18.75" customHeight="1">
      <c r="A30" s="602" t="s">
        <v>64</v>
      </c>
      <c r="B30" s="509" t="s">
        <v>65</v>
      </c>
      <c r="C30" s="232" t="s">
        <v>22</v>
      </c>
      <c r="D30" s="231" t="s">
        <v>23</v>
      </c>
      <c r="E30" s="231" t="s">
        <v>23</v>
      </c>
      <c r="F30" s="266" t="s">
        <v>63</v>
      </c>
      <c r="G30" s="266" t="s">
        <v>63</v>
      </c>
      <c r="H30" s="266" t="s">
        <v>63</v>
      </c>
      <c r="I30" s="266" t="s">
        <v>63</v>
      </c>
      <c r="J30" s="231" t="s">
        <v>23</v>
      </c>
      <c r="K30" s="231" t="s">
        <v>23</v>
      </c>
      <c r="L30" s="264" t="s">
        <v>24</v>
      </c>
      <c r="M30" s="264" t="s">
        <v>24</v>
      </c>
      <c r="N30" s="272" t="s">
        <v>146</v>
      </c>
      <c r="O30" s="232" t="s">
        <v>22</v>
      </c>
      <c r="P30" s="87" t="s">
        <v>53</v>
      </c>
      <c r="Q30" s="231" t="s">
        <v>23</v>
      </c>
      <c r="R30" s="87" t="s">
        <v>148</v>
      </c>
      <c r="S30" s="232" t="s">
        <v>22</v>
      </c>
      <c r="T30" s="232" t="s">
        <v>22</v>
      </c>
      <c r="U30" s="232" t="s">
        <v>22</v>
      </c>
      <c r="V30" s="231" t="s">
        <v>23</v>
      </c>
      <c r="W30" s="231" t="s">
        <v>23</v>
      </c>
      <c r="X30" s="233" t="s">
        <v>24</v>
      </c>
      <c r="Y30" s="233" t="s">
        <v>24</v>
      </c>
      <c r="Z30" s="233" t="s">
        <v>24</v>
      </c>
      <c r="AA30" s="233" t="s">
        <v>24</v>
      </c>
      <c r="AB30" s="231" t="s">
        <v>23</v>
      </c>
      <c r="AC30" s="231" t="s">
        <v>23</v>
      </c>
      <c r="AD30" s="232" t="s">
        <v>22</v>
      </c>
      <c r="AE30" s="232" t="s">
        <v>22</v>
      </c>
      <c r="AF30" s="232" t="s">
        <v>22</v>
      </c>
      <c r="AG30" s="235" t="s">
        <v>22</v>
      </c>
      <c r="AI30" s="227">
        <f>VLOOKUP(B30,'APR25'!$B:$AN,39,0)</f>
        <v>20</v>
      </c>
      <c r="AJ30" s="225">
        <f t="shared" ref="AJ30:AJ53" si="2">COUNTIF(C30:AG30,"U")</f>
        <v>0</v>
      </c>
      <c r="AK30" s="230">
        <f t="shared" ref="AK30:AK53" si="3">AI30-AJ30</f>
        <v>20</v>
      </c>
    </row>
    <row r="31" spans="1:38" ht="18.75" customHeight="1">
      <c r="A31" s="602" t="s">
        <v>66</v>
      </c>
      <c r="B31" s="509" t="s">
        <v>67</v>
      </c>
      <c r="C31" s="231" t="s">
        <v>23</v>
      </c>
      <c r="D31" s="232" t="s">
        <v>22</v>
      </c>
      <c r="E31" s="232" t="s">
        <v>22</v>
      </c>
      <c r="F31" s="232" t="s">
        <v>22</v>
      </c>
      <c r="G31" s="232" t="s">
        <v>22</v>
      </c>
      <c r="H31" s="231" t="s">
        <v>23</v>
      </c>
      <c r="I31" s="231" t="s">
        <v>23</v>
      </c>
      <c r="J31" s="266" t="s">
        <v>63</v>
      </c>
      <c r="K31" s="266" t="s">
        <v>63</v>
      </c>
      <c r="L31" s="266" t="s">
        <v>63</v>
      </c>
      <c r="M31" s="266" t="s">
        <v>63</v>
      </c>
      <c r="N31" s="231" t="s">
        <v>23</v>
      </c>
      <c r="O31" s="231" t="s">
        <v>23</v>
      </c>
      <c r="P31" s="233" t="s">
        <v>24</v>
      </c>
      <c r="Q31" s="233" t="s">
        <v>24</v>
      </c>
      <c r="R31" s="233" t="s">
        <v>24</v>
      </c>
      <c r="S31" s="267" t="s">
        <v>34</v>
      </c>
      <c r="T31" s="231" t="s">
        <v>23</v>
      </c>
      <c r="U31" s="231" t="s">
        <v>23</v>
      </c>
      <c r="V31" s="232" t="s">
        <v>22</v>
      </c>
      <c r="W31" s="232" t="s">
        <v>22</v>
      </c>
      <c r="X31" s="232" t="s">
        <v>22</v>
      </c>
      <c r="Y31" s="232" t="s">
        <v>22</v>
      </c>
      <c r="Z31" s="231" t="s">
        <v>23</v>
      </c>
      <c r="AA31" s="231" t="s">
        <v>23</v>
      </c>
      <c r="AB31" s="233" t="s">
        <v>24</v>
      </c>
      <c r="AC31" s="233" t="s">
        <v>24</v>
      </c>
      <c r="AD31" s="233" t="s">
        <v>24</v>
      </c>
      <c r="AE31" s="233" t="s">
        <v>24</v>
      </c>
      <c r="AF31" s="233" t="s">
        <v>24</v>
      </c>
      <c r="AG31" s="234" t="s">
        <v>23</v>
      </c>
      <c r="AI31" s="227">
        <f>VLOOKUP(B31,'APR25'!$B:$AN,39,0)</f>
        <v>18</v>
      </c>
      <c r="AJ31" s="225">
        <f t="shared" si="2"/>
        <v>1</v>
      </c>
      <c r="AK31" s="230">
        <f t="shared" si="3"/>
        <v>17</v>
      </c>
    </row>
    <row r="32" spans="1:38" ht="18.75" customHeight="1">
      <c r="A32" s="602" t="s">
        <v>69</v>
      </c>
      <c r="B32" s="509" t="s">
        <v>70</v>
      </c>
      <c r="C32" s="233" t="s">
        <v>24</v>
      </c>
      <c r="D32" s="233" t="s">
        <v>24</v>
      </c>
      <c r="E32" s="231" t="s">
        <v>23</v>
      </c>
      <c r="F32" s="231" t="s">
        <v>23</v>
      </c>
      <c r="G32" s="231" t="s">
        <v>23</v>
      </c>
      <c r="H32" s="232" t="s">
        <v>22</v>
      </c>
      <c r="I32" s="339" t="s">
        <v>184</v>
      </c>
      <c r="J32" s="339" t="s">
        <v>184</v>
      </c>
      <c r="K32" s="339" t="s">
        <v>184</v>
      </c>
      <c r="L32" s="231" t="s">
        <v>23</v>
      </c>
      <c r="M32" s="231" t="s">
        <v>23</v>
      </c>
      <c r="N32" s="266" t="s">
        <v>63</v>
      </c>
      <c r="O32" s="266" t="s">
        <v>63</v>
      </c>
      <c r="P32" s="266" t="s">
        <v>63</v>
      </c>
      <c r="Q32" s="266" t="s">
        <v>63</v>
      </c>
      <c r="R32" s="231" t="s">
        <v>23</v>
      </c>
      <c r="S32" s="231" t="s">
        <v>23</v>
      </c>
      <c r="T32" s="233" t="s">
        <v>24</v>
      </c>
      <c r="U32" s="233" t="s">
        <v>24</v>
      </c>
      <c r="V32" s="233" t="s">
        <v>24</v>
      </c>
      <c r="W32" s="233" t="s">
        <v>24</v>
      </c>
      <c r="X32" s="231" t="s">
        <v>23</v>
      </c>
      <c r="Y32" s="231" t="s">
        <v>23</v>
      </c>
      <c r="Z32" s="232" t="s">
        <v>22</v>
      </c>
      <c r="AA32" s="232" t="s">
        <v>22</v>
      </c>
      <c r="AB32" s="232" t="s">
        <v>22</v>
      </c>
      <c r="AC32" s="232" t="s">
        <v>22</v>
      </c>
      <c r="AD32" s="231" t="s">
        <v>23</v>
      </c>
      <c r="AE32" s="231" t="s">
        <v>23</v>
      </c>
      <c r="AF32" s="233" t="s">
        <v>24</v>
      </c>
      <c r="AG32" s="236" t="s">
        <v>24</v>
      </c>
      <c r="AI32" s="227">
        <f>VLOOKUP(B32,'APR25'!$B:$AN,39,0)</f>
        <v>11</v>
      </c>
      <c r="AJ32" s="225">
        <f t="shared" si="2"/>
        <v>0</v>
      </c>
      <c r="AK32" s="230">
        <f t="shared" si="3"/>
        <v>11</v>
      </c>
    </row>
    <row r="33" spans="1:37" ht="18.75" customHeight="1">
      <c r="A33" s="602" t="s">
        <v>71</v>
      </c>
      <c r="B33" s="509" t="s">
        <v>72</v>
      </c>
      <c r="C33" s="232" t="s">
        <v>22</v>
      </c>
      <c r="D33" s="231" t="s">
        <v>23</v>
      </c>
      <c r="E33" s="231" t="s">
        <v>23</v>
      </c>
      <c r="F33" s="233" t="s">
        <v>24</v>
      </c>
      <c r="G33" s="233" t="s">
        <v>24</v>
      </c>
      <c r="H33" s="233" t="s">
        <v>24</v>
      </c>
      <c r="I33" s="233" t="s">
        <v>24</v>
      </c>
      <c r="J33" s="231" t="s">
        <v>23</v>
      </c>
      <c r="K33" s="231" t="s">
        <v>23</v>
      </c>
      <c r="L33" s="232" t="s">
        <v>22</v>
      </c>
      <c r="M33" s="232" t="s">
        <v>22</v>
      </c>
      <c r="N33" s="232" t="s">
        <v>22</v>
      </c>
      <c r="O33" s="232" t="s">
        <v>22</v>
      </c>
      <c r="P33" s="231" t="s">
        <v>23</v>
      </c>
      <c r="Q33" s="231" t="s">
        <v>23</v>
      </c>
      <c r="R33" s="266" t="s">
        <v>63</v>
      </c>
      <c r="S33" s="266" t="s">
        <v>63</v>
      </c>
      <c r="T33" s="266" t="s">
        <v>63</v>
      </c>
      <c r="U33" s="266" t="s">
        <v>63</v>
      </c>
      <c r="V33" s="231" t="s">
        <v>23</v>
      </c>
      <c r="W33" s="231" t="s">
        <v>23</v>
      </c>
      <c r="X33" s="233" t="s">
        <v>24</v>
      </c>
      <c r="Y33" s="233" t="s">
        <v>24</v>
      </c>
      <c r="Z33" s="233" t="s">
        <v>24</v>
      </c>
      <c r="AA33" s="233" t="s">
        <v>24</v>
      </c>
      <c r="AB33" s="231" t="s">
        <v>23</v>
      </c>
      <c r="AC33" s="231" t="s">
        <v>23</v>
      </c>
      <c r="AD33" s="232" t="s">
        <v>22</v>
      </c>
      <c r="AE33" s="232" t="s">
        <v>22</v>
      </c>
      <c r="AF33" s="232" t="s">
        <v>22</v>
      </c>
      <c r="AG33" s="235" t="s">
        <v>22</v>
      </c>
      <c r="AI33" s="227">
        <f>VLOOKUP(B33,'APR25'!$B:$AN,39,0)</f>
        <v>8</v>
      </c>
      <c r="AJ33" s="225">
        <f t="shared" si="2"/>
        <v>0</v>
      </c>
      <c r="AK33" s="230">
        <f t="shared" si="3"/>
        <v>8</v>
      </c>
    </row>
    <row r="34" spans="1:37" ht="18.75" customHeight="1">
      <c r="A34" s="602" t="s">
        <v>73</v>
      </c>
      <c r="B34" s="509" t="s">
        <v>74</v>
      </c>
      <c r="C34" s="231" t="s">
        <v>23</v>
      </c>
      <c r="D34" s="276" t="s">
        <v>103</v>
      </c>
      <c r="E34" s="276" t="s">
        <v>103</v>
      </c>
      <c r="F34" s="276" t="s">
        <v>103</v>
      </c>
      <c r="G34" s="276" t="s">
        <v>103</v>
      </c>
      <c r="H34" s="231" t="s">
        <v>23</v>
      </c>
      <c r="I34" s="231" t="s">
        <v>23</v>
      </c>
      <c r="J34" s="233" t="s">
        <v>24</v>
      </c>
      <c r="K34" s="233" t="s">
        <v>24</v>
      </c>
      <c r="L34" s="233" t="s">
        <v>24</v>
      </c>
      <c r="M34" s="233" t="s">
        <v>24</v>
      </c>
      <c r="N34" s="231" t="s">
        <v>23</v>
      </c>
      <c r="O34" s="231" t="s">
        <v>23</v>
      </c>
      <c r="P34" s="276" t="s">
        <v>103</v>
      </c>
      <c r="Q34" s="276" t="s">
        <v>103</v>
      </c>
      <c r="R34" s="276" t="s">
        <v>103</v>
      </c>
      <c r="S34" s="276" t="s">
        <v>103</v>
      </c>
      <c r="T34" s="231" t="s">
        <v>23</v>
      </c>
      <c r="U34" s="231" t="s">
        <v>23</v>
      </c>
      <c r="V34" s="266" t="s">
        <v>63</v>
      </c>
      <c r="W34" s="266" t="s">
        <v>63</v>
      </c>
      <c r="X34" s="266" t="s">
        <v>63</v>
      </c>
      <c r="Y34" s="266" t="s">
        <v>63</v>
      </c>
      <c r="Z34" s="231" t="s">
        <v>23</v>
      </c>
      <c r="AA34" s="231" t="s">
        <v>23</v>
      </c>
      <c r="AB34" s="233" t="s">
        <v>24</v>
      </c>
      <c r="AC34" s="233" t="s">
        <v>24</v>
      </c>
      <c r="AD34" s="233" t="s">
        <v>24</v>
      </c>
      <c r="AE34" s="233" t="s">
        <v>24</v>
      </c>
      <c r="AF34" s="231" t="s">
        <v>23</v>
      </c>
      <c r="AG34" s="234" t="s">
        <v>23</v>
      </c>
      <c r="AI34" s="227">
        <f>VLOOKUP(B34,'APR25'!$B:$AN,39,0)</f>
        <v>10</v>
      </c>
      <c r="AJ34" s="225">
        <f t="shared" si="2"/>
        <v>0</v>
      </c>
      <c r="AK34" s="230">
        <f t="shared" si="3"/>
        <v>10</v>
      </c>
    </row>
    <row r="35" spans="1:37" ht="18.75" customHeight="1">
      <c r="A35" s="602" t="s">
        <v>75</v>
      </c>
      <c r="B35" s="509" t="s">
        <v>76</v>
      </c>
      <c r="C35" s="233" t="s">
        <v>24</v>
      </c>
      <c r="D35" s="233" t="s">
        <v>24</v>
      </c>
      <c r="E35" s="233" t="s">
        <v>24</v>
      </c>
      <c r="F35" s="231" t="s">
        <v>23</v>
      </c>
      <c r="G35" s="231" t="s">
        <v>23</v>
      </c>
      <c r="H35" s="232" t="s">
        <v>22</v>
      </c>
      <c r="I35" s="232" t="s">
        <v>22</v>
      </c>
      <c r="J35" s="232" t="s">
        <v>22</v>
      </c>
      <c r="K35" s="232" t="s">
        <v>22</v>
      </c>
      <c r="L35" s="231" t="s">
        <v>23</v>
      </c>
      <c r="M35" s="231" t="s">
        <v>23</v>
      </c>
      <c r="N35" s="233" t="s">
        <v>24</v>
      </c>
      <c r="O35" s="233" t="s">
        <v>24</v>
      </c>
      <c r="P35" s="233" t="s">
        <v>24</v>
      </c>
      <c r="Q35" s="233" t="s">
        <v>24</v>
      </c>
      <c r="R35" s="231" t="s">
        <v>23</v>
      </c>
      <c r="S35" s="231" t="s">
        <v>23</v>
      </c>
      <c r="T35" s="232" t="s">
        <v>22</v>
      </c>
      <c r="U35" s="232" t="s">
        <v>22</v>
      </c>
      <c r="V35" s="232" t="s">
        <v>22</v>
      </c>
      <c r="W35" s="232" t="s">
        <v>22</v>
      </c>
      <c r="X35" s="231" t="s">
        <v>23</v>
      </c>
      <c r="Y35" s="231" t="s">
        <v>23</v>
      </c>
      <c r="Z35" s="266" t="s">
        <v>63</v>
      </c>
      <c r="AA35" s="266" t="s">
        <v>63</v>
      </c>
      <c r="AB35" s="266" t="s">
        <v>63</v>
      </c>
      <c r="AC35" s="231" t="s">
        <v>23</v>
      </c>
      <c r="AD35" s="231" t="s">
        <v>23</v>
      </c>
      <c r="AE35" s="231" t="s">
        <v>23</v>
      </c>
      <c r="AF35" s="233" t="s">
        <v>24</v>
      </c>
      <c r="AG35" s="236" t="s">
        <v>24</v>
      </c>
      <c r="AI35" s="227">
        <f>VLOOKUP(B35,'APR25'!$B:$AN,39,0)</f>
        <v>22</v>
      </c>
      <c r="AJ35" s="225">
        <f t="shared" si="2"/>
        <v>0</v>
      </c>
      <c r="AK35" s="230">
        <f t="shared" si="3"/>
        <v>22</v>
      </c>
    </row>
    <row r="36" spans="1:37" ht="18.75" customHeight="1">
      <c r="A36" s="602" t="s">
        <v>77</v>
      </c>
      <c r="B36" s="509" t="s">
        <v>78</v>
      </c>
      <c r="C36" s="708" t="s">
        <v>30</v>
      </c>
      <c r="D36" s="231" t="s">
        <v>23</v>
      </c>
      <c r="E36" s="231" t="s">
        <v>23</v>
      </c>
      <c r="F36" s="267" t="s">
        <v>34</v>
      </c>
      <c r="G36" s="267" t="s">
        <v>34</v>
      </c>
      <c r="H36" s="267" t="s">
        <v>34</v>
      </c>
      <c r="I36" s="267" t="s">
        <v>34</v>
      </c>
      <c r="J36" s="231" t="s">
        <v>23</v>
      </c>
      <c r="K36" s="231" t="s">
        <v>23</v>
      </c>
      <c r="L36" s="232" t="s">
        <v>22</v>
      </c>
      <c r="M36" s="232" t="s">
        <v>22</v>
      </c>
      <c r="N36" s="232" t="s">
        <v>22</v>
      </c>
      <c r="O36" s="232" t="s">
        <v>22</v>
      </c>
      <c r="P36" s="231" t="s">
        <v>23</v>
      </c>
      <c r="Q36" s="231" t="s">
        <v>23</v>
      </c>
      <c r="R36" s="233" t="s">
        <v>24</v>
      </c>
      <c r="S36" s="233" t="s">
        <v>24</v>
      </c>
      <c r="T36" s="233" t="s">
        <v>24</v>
      </c>
      <c r="U36" s="233" t="s">
        <v>24</v>
      </c>
      <c r="V36" s="233" t="s">
        <v>24</v>
      </c>
      <c r="W36" s="231" t="s">
        <v>23</v>
      </c>
      <c r="X36" s="231" t="s">
        <v>23</v>
      </c>
      <c r="Y36" s="232" t="s">
        <v>22</v>
      </c>
      <c r="Z36" s="232" t="s">
        <v>22</v>
      </c>
      <c r="AA36" s="232" t="s">
        <v>22</v>
      </c>
      <c r="AB36" s="231" t="s">
        <v>23</v>
      </c>
      <c r="AC36" s="231" t="s">
        <v>23</v>
      </c>
      <c r="AD36" s="286" t="s">
        <v>108</v>
      </c>
      <c r="AE36" s="286" t="s">
        <v>108</v>
      </c>
      <c r="AF36" s="286" t="s">
        <v>108</v>
      </c>
      <c r="AG36" s="318" t="s">
        <v>108</v>
      </c>
      <c r="AI36" s="227">
        <f>VLOOKUP(B36,'APR25'!$B:$AN,39,0)</f>
        <v>22</v>
      </c>
      <c r="AJ36" s="225">
        <f t="shared" si="2"/>
        <v>4</v>
      </c>
      <c r="AK36" s="230">
        <f t="shared" si="3"/>
        <v>18</v>
      </c>
    </row>
    <row r="37" spans="1:37" ht="18.75" customHeight="1">
      <c r="A37" s="602" t="s">
        <v>79</v>
      </c>
      <c r="B37" s="509" t="s">
        <v>80</v>
      </c>
      <c r="C37" s="231" t="s">
        <v>23</v>
      </c>
      <c r="D37" s="233" t="s">
        <v>24</v>
      </c>
      <c r="E37" s="233" t="s">
        <v>24</v>
      </c>
      <c r="F37" s="233" t="s">
        <v>24</v>
      </c>
      <c r="G37" s="233" t="s">
        <v>24</v>
      </c>
      <c r="H37" s="231" t="s">
        <v>23</v>
      </c>
      <c r="I37" s="231" t="s">
        <v>23</v>
      </c>
      <c r="J37" s="233" t="s">
        <v>24</v>
      </c>
      <c r="K37" s="233" t="s">
        <v>24</v>
      </c>
      <c r="L37" s="233" t="s">
        <v>24</v>
      </c>
      <c r="M37" s="233" t="s">
        <v>24</v>
      </c>
      <c r="N37" s="231" t="s">
        <v>23</v>
      </c>
      <c r="O37" s="231" t="s">
        <v>23</v>
      </c>
      <c r="P37" s="266" t="s">
        <v>63</v>
      </c>
      <c r="Q37" s="266" t="s">
        <v>63</v>
      </c>
      <c r="R37" s="266" t="s">
        <v>63</v>
      </c>
      <c r="S37" s="266" t="s">
        <v>63</v>
      </c>
      <c r="T37" s="231" t="s">
        <v>23</v>
      </c>
      <c r="U37" s="231" t="s">
        <v>23</v>
      </c>
      <c r="V37" s="362" t="s">
        <v>19</v>
      </c>
      <c r="W37" s="233" t="s">
        <v>24</v>
      </c>
      <c r="X37" s="233" t="s">
        <v>24</v>
      </c>
      <c r="Y37" s="233" t="s">
        <v>24</v>
      </c>
      <c r="Z37" s="231" t="s">
        <v>23</v>
      </c>
      <c r="AA37" s="231" t="s">
        <v>23</v>
      </c>
      <c r="AB37" s="267" t="s">
        <v>34</v>
      </c>
      <c r="AC37" s="339" t="s">
        <v>144</v>
      </c>
      <c r="AD37" s="232" t="s">
        <v>22</v>
      </c>
      <c r="AE37" s="232" t="s">
        <v>22</v>
      </c>
      <c r="AF37" s="231" t="s">
        <v>23</v>
      </c>
      <c r="AG37" s="234" t="s">
        <v>23</v>
      </c>
      <c r="AI37" s="227">
        <f>VLOOKUP(B37,'APR25'!$B:$AN,39,0)</f>
        <v>22</v>
      </c>
      <c r="AJ37" s="225">
        <f t="shared" si="2"/>
        <v>1</v>
      </c>
      <c r="AK37" s="230">
        <f t="shared" si="3"/>
        <v>21</v>
      </c>
    </row>
    <row r="38" spans="1:37" ht="18.75" customHeight="1">
      <c r="A38" s="602" t="s">
        <v>81</v>
      </c>
      <c r="B38" s="509" t="s">
        <v>82</v>
      </c>
      <c r="C38" s="157" t="s">
        <v>169</v>
      </c>
      <c r="D38" s="157" t="s">
        <v>169</v>
      </c>
      <c r="E38" s="267" t="s">
        <v>34</v>
      </c>
      <c r="F38" s="231" t="s">
        <v>23</v>
      </c>
      <c r="G38" s="231" t="s">
        <v>23</v>
      </c>
      <c r="H38" s="267" t="s">
        <v>34</v>
      </c>
      <c r="I38" s="267" t="s">
        <v>34</v>
      </c>
      <c r="J38" s="267" t="s">
        <v>34</v>
      </c>
      <c r="K38" s="267" t="s">
        <v>34</v>
      </c>
      <c r="L38" s="231" t="s">
        <v>23</v>
      </c>
      <c r="M38" s="231" t="s">
        <v>23</v>
      </c>
      <c r="N38" s="267" t="s">
        <v>34</v>
      </c>
      <c r="O38" s="267" t="s">
        <v>34</v>
      </c>
      <c r="P38" s="267" t="s">
        <v>34</v>
      </c>
      <c r="Q38" s="267" t="s">
        <v>34</v>
      </c>
      <c r="R38" s="231" t="s">
        <v>23</v>
      </c>
      <c r="S38" s="231" t="s">
        <v>23</v>
      </c>
      <c r="T38" s="267" t="s">
        <v>34</v>
      </c>
      <c r="U38" s="232" t="s">
        <v>22</v>
      </c>
      <c r="V38" s="363" t="s">
        <v>84</v>
      </c>
      <c r="W38" s="232" t="s">
        <v>22</v>
      </c>
      <c r="X38" s="231" t="s">
        <v>23</v>
      </c>
      <c r="Y38" s="231" t="s">
        <v>23</v>
      </c>
      <c r="Z38" s="233" t="s">
        <v>24</v>
      </c>
      <c r="AA38" s="233" t="s">
        <v>24</v>
      </c>
      <c r="AB38" s="233" t="s">
        <v>24</v>
      </c>
      <c r="AC38" s="756" t="s">
        <v>84</v>
      </c>
      <c r="AD38" s="231" t="s">
        <v>23</v>
      </c>
      <c r="AE38" s="231" t="s">
        <v>23</v>
      </c>
      <c r="AF38" s="232" t="s">
        <v>22</v>
      </c>
      <c r="AG38" s="235" t="s">
        <v>22</v>
      </c>
      <c r="AI38" s="227">
        <f>VLOOKUP(B38,'APR25'!$B:$AN,39,0)</f>
        <v>20</v>
      </c>
      <c r="AJ38" s="225">
        <f t="shared" si="2"/>
        <v>10</v>
      </c>
      <c r="AK38" s="230">
        <f t="shared" si="3"/>
        <v>10</v>
      </c>
    </row>
    <row r="39" spans="1:37" ht="18.75" customHeight="1">
      <c r="A39" s="602" t="s">
        <v>85</v>
      </c>
      <c r="B39" s="509" t="s">
        <v>86</v>
      </c>
      <c r="C39" s="233" t="s">
        <v>24</v>
      </c>
      <c r="D39" s="231" t="s">
        <v>23</v>
      </c>
      <c r="E39" s="231" t="s">
        <v>23</v>
      </c>
      <c r="F39" s="232" t="s">
        <v>22</v>
      </c>
      <c r="G39" s="232" t="s">
        <v>22</v>
      </c>
      <c r="H39" s="232" t="s">
        <v>22</v>
      </c>
      <c r="I39" s="232" t="s">
        <v>22</v>
      </c>
      <c r="J39" s="231" t="s">
        <v>23</v>
      </c>
      <c r="K39" s="231" t="s">
        <v>23</v>
      </c>
      <c r="L39" s="266" t="s">
        <v>63</v>
      </c>
      <c r="M39" s="266" t="s">
        <v>63</v>
      </c>
      <c r="N39" s="266" t="s">
        <v>63</v>
      </c>
      <c r="O39" s="266" t="s">
        <v>63</v>
      </c>
      <c r="P39" s="231" t="s">
        <v>23</v>
      </c>
      <c r="Q39" s="231" t="s">
        <v>23</v>
      </c>
      <c r="R39" s="233" t="s">
        <v>24</v>
      </c>
      <c r="S39" s="233" t="s">
        <v>24</v>
      </c>
      <c r="T39" s="233" t="s">
        <v>24</v>
      </c>
      <c r="U39" s="233" t="s">
        <v>24</v>
      </c>
      <c r="V39" s="231" t="s">
        <v>23</v>
      </c>
      <c r="W39" s="231" t="s">
        <v>23</v>
      </c>
      <c r="X39" s="232" t="s">
        <v>22</v>
      </c>
      <c r="Y39" s="232" t="s">
        <v>22</v>
      </c>
      <c r="Z39" s="232" t="s">
        <v>22</v>
      </c>
      <c r="AA39" s="232" t="s">
        <v>22</v>
      </c>
      <c r="AB39" s="231" t="s">
        <v>23</v>
      </c>
      <c r="AC39" s="231" t="s">
        <v>23</v>
      </c>
      <c r="AD39" s="233" t="s">
        <v>24</v>
      </c>
      <c r="AE39" s="233" t="s">
        <v>24</v>
      </c>
      <c r="AF39" s="233" t="s">
        <v>24</v>
      </c>
      <c r="AG39" s="268" t="s">
        <v>34</v>
      </c>
      <c r="AI39" s="227">
        <f>VLOOKUP(B39,'APR25'!$B:$AN,39,0)</f>
        <v>18</v>
      </c>
      <c r="AJ39" s="225">
        <f t="shared" si="2"/>
        <v>1</v>
      </c>
      <c r="AK39" s="230">
        <f t="shared" si="3"/>
        <v>17</v>
      </c>
    </row>
    <row r="40" spans="1:37" ht="18.75" customHeight="1">
      <c r="A40" s="602" t="s">
        <v>87</v>
      </c>
      <c r="B40" s="509" t="s">
        <v>88</v>
      </c>
      <c r="C40" s="231" t="s">
        <v>23</v>
      </c>
      <c r="D40" s="266" t="s">
        <v>63</v>
      </c>
      <c r="E40" s="266" t="s">
        <v>63</v>
      </c>
      <c r="F40" s="266" t="s">
        <v>63</v>
      </c>
      <c r="G40" s="266" t="s">
        <v>63</v>
      </c>
      <c r="H40" s="231" t="s">
        <v>23</v>
      </c>
      <c r="I40" s="231" t="s">
        <v>23</v>
      </c>
      <c r="J40" s="267" t="s">
        <v>34</v>
      </c>
      <c r="K40" s="267" t="s">
        <v>34</v>
      </c>
      <c r="L40" s="267" t="s">
        <v>34</v>
      </c>
      <c r="M40" s="267" t="s">
        <v>34</v>
      </c>
      <c r="N40" s="231" t="s">
        <v>23</v>
      </c>
      <c r="O40" s="231" t="s">
        <v>23</v>
      </c>
      <c r="P40" s="267" t="s">
        <v>34</v>
      </c>
      <c r="Q40" s="232" t="s">
        <v>22</v>
      </c>
      <c r="R40" s="232" t="s">
        <v>22</v>
      </c>
      <c r="S40" s="232" t="s">
        <v>22</v>
      </c>
      <c r="T40" s="231" t="s">
        <v>23</v>
      </c>
      <c r="U40" s="231" t="s">
        <v>23</v>
      </c>
      <c r="V40" s="233" t="s">
        <v>24</v>
      </c>
      <c r="W40" s="233" t="s">
        <v>24</v>
      </c>
      <c r="X40" s="233" t="s">
        <v>24</v>
      </c>
      <c r="Y40" s="233" t="s">
        <v>24</v>
      </c>
      <c r="Z40" s="231" t="s">
        <v>23</v>
      </c>
      <c r="AA40" s="231" t="s">
        <v>23</v>
      </c>
      <c r="AB40" s="232" t="s">
        <v>22</v>
      </c>
      <c r="AC40" s="232" t="s">
        <v>22</v>
      </c>
      <c r="AD40" s="339" t="s">
        <v>144</v>
      </c>
      <c r="AE40" s="232" t="s">
        <v>22</v>
      </c>
      <c r="AF40" s="231" t="s">
        <v>23</v>
      </c>
      <c r="AG40" s="234" t="s">
        <v>23</v>
      </c>
      <c r="AI40" s="227">
        <f>VLOOKUP(B40,'APR25'!$B:$AN,39,0)</f>
        <v>19</v>
      </c>
      <c r="AJ40" s="225">
        <f t="shared" si="2"/>
        <v>5</v>
      </c>
      <c r="AK40" s="230">
        <f t="shared" si="3"/>
        <v>14</v>
      </c>
    </row>
    <row r="41" spans="1:37" ht="18.75" customHeight="1">
      <c r="A41" s="602" t="s">
        <v>90</v>
      </c>
      <c r="B41" s="509" t="s">
        <v>91</v>
      </c>
      <c r="C41" s="286" t="s">
        <v>108</v>
      </c>
      <c r="D41" s="286" t="s">
        <v>108</v>
      </c>
      <c r="E41" s="286" t="s">
        <v>108</v>
      </c>
      <c r="F41" s="286" t="s">
        <v>108</v>
      </c>
      <c r="G41" s="286" t="s">
        <v>108</v>
      </c>
      <c r="H41" s="286" t="s">
        <v>108</v>
      </c>
      <c r="I41" s="286" t="s">
        <v>108</v>
      </c>
      <c r="J41" s="286" t="s">
        <v>108</v>
      </c>
      <c r="K41" s="286" t="s">
        <v>108</v>
      </c>
      <c r="L41" s="286" t="s">
        <v>108</v>
      </c>
      <c r="M41" s="286" t="s">
        <v>108</v>
      </c>
      <c r="N41" s="286" t="s">
        <v>108</v>
      </c>
      <c r="O41" s="286" t="s">
        <v>108</v>
      </c>
      <c r="P41" s="286" t="s">
        <v>108</v>
      </c>
      <c r="Q41" s="286" t="s">
        <v>108</v>
      </c>
      <c r="R41" s="286" t="s">
        <v>108</v>
      </c>
      <c r="S41" s="286" t="s">
        <v>108</v>
      </c>
      <c r="T41" s="286" t="s">
        <v>108</v>
      </c>
      <c r="U41" s="286" t="s">
        <v>108</v>
      </c>
      <c r="V41" s="286" t="s">
        <v>108</v>
      </c>
      <c r="W41" s="286" t="s">
        <v>108</v>
      </c>
      <c r="X41" s="286" t="s">
        <v>108</v>
      </c>
      <c r="Y41" s="286" t="s">
        <v>108</v>
      </c>
      <c r="Z41" s="286" t="s">
        <v>108</v>
      </c>
      <c r="AA41" s="286" t="s">
        <v>108</v>
      </c>
      <c r="AB41" s="286" t="s">
        <v>108</v>
      </c>
      <c r="AC41" s="286" t="s">
        <v>108</v>
      </c>
      <c r="AD41" s="286" t="s">
        <v>108</v>
      </c>
      <c r="AE41" s="286" t="s">
        <v>108</v>
      </c>
      <c r="AF41" s="286" t="s">
        <v>108</v>
      </c>
      <c r="AG41" s="318" t="s">
        <v>108</v>
      </c>
      <c r="AI41" s="227">
        <f>VLOOKUP(B41,'APR25'!$B:$AN,39,0)</f>
        <v>11</v>
      </c>
      <c r="AJ41" s="225">
        <f t="shared" si="2"/>
        <v>0</v>
      </c>
      <c r="AK41" s="230">
        <f t="shared" si="3"/>
        <v>11</v>
      </c>
    </row>
    <row r="42" spans="1:37" ht="18.75" customHeight="1">
      <c r="A42" s="602" t="s">
        <v>92</v>
      </c>
      <c r="B42" s="509" t="s">
        <v>93</v>
      </c>
      <c r="C42" s="708" t="s">
        <v>30</v>
      </c>
      <c r="D42" s="231" t="s">
        <v>23</v>
      </c>
      <c r="E42" s="231" t="s">
        <v>23</v>
      </c>
      <c r="F42" s="231" t="s">
        <v>23</v>
      </c>
      <c r="G42" s="757"/>
      <c r="H42" s="757"/>
      <c r="I42" s="757"/>
      <c r="J42" s="749"/>
      <c r="K42" s="749"/>
      <c r="L42" s="748"/>
      <c r="M42" s="748"/>
      <c r="N42" s="748"/>
      <c r="O42" s="748"/>
      <c r="P42" s="749"/>
      <c r="Q42" s="749"/>
      <c r="R42" s="750"/>
      <c r="S42" s="750"/>
      <c r="T42" s="750"/>
      <c r="U42" s="750"/>
      <c r="V42" s="749"/>
      <c r="W42" s="749"/>
      <c r="X42" s="751"/>
      <c r="Y42" s="751"/>
      <c r="Z42" s="751"/>
      <c r="AA42" s="751"/>
      <c r="AB42" s="749"/>
      <c r="AC42" s="749"/>
      <c r="AD42" s="748"/>
      <c r="AE42" s="748"/>
      <c r="AF42" s="748"/>
      <c r="AG42" s="774"/>
      <c r="AI42" s="227">
        <f>VLOOKUP(B42,'APR25'!$B:$AN,39,0)</f>
        <v>22</v>
      </c>
      <c r="AJ42" s="225">
        <f t="shared" si="2"/>
        <v>0</v>
      </c>
      <c r="AK42" s="230">
        <f t="shared" si="3"/>
        <v>22</v>
      </c>
    </row>
    <row r="43" spans="1:37" ht="19.5" customHeight="1" thickBot="1">
      <c r="A43" s="680" t="s">
        <v>94</v>
      </c>
      <c r="B43" s="508" t="s">
        <v>95</v>
      </c>
      <c r="C43" s="361" t="s">
        <v>19</v>
      </c>
      <c r="D43" s="361" t="s">
        <v>19</v>
      </c>
      <c r="E43" s="361" t="s">
        <v>19</v>
      </c>
      <c r="F43" s="361" t="s">
        <v>19</v>
      </c>
      <c r="G43" s="361" t="s">
        <v>19</v>
      </c>
      <c r="H43" s="361" t="s">
        <v>19</v>
      </c>
      <c r="I43" s="361" t="s">
        <v>19</v>
      </c>
      <c r="J43" s="361" t="s">
        <v>19</v>
      </c>
      <c r="K43" s="361" t="s">
        <v>19</v>
      </c>
      <c r="L43" s="361" t="s">
        <v>19</v>
      </c>
      <c r="M43" s="361" t="s">
        <v>19</v>
      </c>
      <c r="N43" s="361" t="s">
        <v>19</v>
      </c>
      <c r="O43" s="361" t="s">
        <v>19</v>
      </c>
      <c r="P43" s="361" t="s">
        <v>19</v>
      </c>
      <c r="Q43" s="361" t="s">
        <v>19</v>
      </c>
      <c r="R43" s="361" t="s">
        <v>19</v>
      </c>
      <c r="S43" s="361" t="s">
        <v>19</v>
      </c>
      <c r="T43" s="238" t="s">
        <v>23</v>
      </c>
      <c r="U43" s="238" t="s">
        <v>23</v>
      </c>
      <c r="V43" s="223" t="s">
        <v>22</v>
      </c>
      <c r="W43" s="223" t="s">
        <v>22</v>
      </c>
      <c r="X43" s="223" t="s">
        <v>22</v>
      </c>
      <c r="Y43" s="223" t="s">
        <v>22</v>
      </c>
      <c r="Z43" s="238" t="s">
        <v>23</v>
      </c>
      <c r="AA43" s="238" t="s">
        <v>23</v>
      </c>
      <c r="AB43" s="775" t="s">
        <v>181</v>
      </c>
      <c r="AC43" s="775" t="s">
        <v>181</v>
      </c>
      <c r="AD43" s="223" t="s">
        <v>22</v>
      </c>
      <c r="AE43" s="223" t="s">
        <v>22</v>
      </c>
      <c r="AF43" s="223" t="s">
        <v>22</v>
      </c>
      <c r="AG43" s="239" t="s">
        <v>23</v>
      </c>
      <c r="AI43" s="241">
        <f>VLOOKUP(B43,'APR25'!$B:$AN,39,0)</f>
        <v>22</v>
      </c>
      <c r="AJ43" s="283">
        <f t="shared" si="2"/>
        <v>0</v>
      </c>
      <c r="AK43" s="288">
        <f t="shared" si="3"/>
        <v>22</v>
      </c>
    </row>
    <row r="44" spans="1:37" ht="20.100000000000001" customHeight="1" thickBot="1">
      <c r="A44" s="249"/>
      <c r="B44" s="249"/>
      <c r="C44" s="645"/>
      <c r="D44" s="645"/>
      <c r="E44" s="645"/>
      <c r="F44" s="645"/>
      <c r="G44" s="645"/>
      <c r="H44" s="645"/>
      <c r="I44" s="645"/>
      <c r="J44" s="645"/>
      <c r="K44" s="645"/>
      <c r="L44" s="645"/>
      <c r="M44" s="645"/>
      <c r="N44" s="645"/>
      <c r="O44" s="645"/>
      <c r="P44" s="645"/>
      <c r="Q44" s="645"/>
      <c r="R44" s="645"/>
      <c r="S44" s="645"/>
      <c r="T44" s="244"/>
      <c r="U44" s="244"/>
      <c r="V44" s="244"/>
      <c r="W44" s="244"/>
      <c r="X44" s="244"/>
      <c r="Y44" s="244"/>
      <c r="Z44" s="244"/>
      <c r="AA44" s="244"/>
      <c r="AB44" s="243"/>
      <c r="AC44" s="243"/>
      <c r="AD44" s="244"/>
      <c r="AE44" s="244"/>
      <c r="AF44" s="244"/>
      <c r="AG44" s="244"/>
      <c r="AI44" s="247"/>
      <c r="AJ44" s="247"/>
      <c r="AK44" s="247"/>
    </row>
    <row r="45" spans="1:37" ht="24.95" customHeight="1" thickBot="1">
      <c r="A45" s="581" t="s">
        <v>97</v>
      </c>
      <c r="B45" s="514"/>
      <c r="C45" s="514"/>
      <c r="D45" s="514"/>
      <c r="E45" s="514"/>
      <c r="F45" s="514"/>
      <c r="G45" s="514"/>
      <c r="H45" s="514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Y45" s="514"/>
      <c r="Z45" s="514"/>
      <c r="AA45" s="514"/>
      <c r="AB45" s="514"/>
      <c r="AC45" s="514"/>
      <c r="AD45" s="650"/>
      <c r="AE45" s="650"/>
      <c r="AF45" s="761"/>
      <c r="AG45" s="640"/>
      <c r="AI45" s="247"/>
      <c r="AJ45" s="247"/>
      <c r="AK45" s="247"/>
    </row>
    <row r="46" spans="1:37" ht="18.75" customHeight="1">
      <c r="A46" s="602" t="s">
        <v>98</v>
      </c>
      <c r="B46" s="509" t="s">
        <v>99</v>
      </c>
      <c r="C46" s="276" t="s">
        <v>103</v>
      </c>
      <c r="D46" s="276" t="s">
        <v>103</v>
      </c>
      <c r="E46" s="269" t="s">
        <v>23</v>
      </c>
      <c r="F46" s="269" t="s">
        <v>23</v>
      </c>
      <c r="G46" s="272" t="s">
        <v>83</v>
      </c>
      <c r="H46" s="272" t="s">
        <v>83</v>
      </c>
      <c r="I46" s="272" t="s">
        <v>83</v>
      </c>
      <c r="J46" s="272" t="s">
        <v>83</v>
      </c>
      <c r="K46" s="269" t="s">
        <v>23</v>
      </c>
      <c r="L46" s="269" t="s">
        <v>23</v>
      </c>
      <c r="M46" s="274" t="s">
        <v>100</v>
      </c>
      <c r="N46" s="274" t="s">
        <v>100</v>
      </c>
      <c r="O46" s="637" t="s">
        <v>144</v>
      </c>
      <c r="P46" s="637" t="s">
        <v>144</v>
      </c>
      <c r="Q46" s="269" t="s">
        <v>23</v>
      </c>
      <c r="R46" s="269" t="s">
        <v>23</v>
      </c>
      <c r="S46" s="272" t="s">
        <v>83</v>
      </c>
      <c r="T46" s="272" t="s">
        <v>83</v>
      </c>
      <c r="U46" s="272" t="s">
        <v>83</v>
      </c>
      <c r="V46" s="272" t="s">
        <v>83</v>
      </c>
      <c r="W46" s="269" t="s">
        <v>23</v>
      </c>
      <c r="X46" s="269" t="s">
        <v>23</v>
      </c>
      <c r="Y46" s="276" t="s">
        <v>103</v>
      </c>
      <c r="Z46" s="276" t="s">
        <v>103</v>
      </c>
      <c r="AA46" s="269" t="s">
        <v>23</v>
      </c>
      <c r="AB46" s="269" t="s">
        <v>23</v>
      </c>
      <c r="AC46" s="753" t="s">
        <v>181</v>
      </c>
      <c r="AD46" s="753" t="s">
        <v>181</v>
      </c>
      <c r="AE46" s="753" t="s">
        <v>181</v>
      </c>
      <c r="AF46" s="753" t="s">
        <v>181</v>
      </c>
      <c r="AG46" s="271" t="s">
        <v>23</v>
      </c>
      <c r="AI46" s="220">
        <f>VLOOKUP(B46,'APR25'!$B:$AN,39,0)</f>
        <v>21</v>
      </c>
      <c r="AJ46" s="218">
        <f t="shared" si="2"/>
        <v>0</v>
      </c>
      <c r="AK46" s="221">
        <f t="shared" si="3"/>
        <v>21</v>
      </c>
    </row>
    <row r="47" spans="1:37" ht="18.75" customHeight="1">
      <c r="A47" s="602" t="s">
        <v>109</v>
      </c>
      <c r="B47" s="509" t="s">
        <v>110</v>
      </c>
      <c r="C47" s="708" t="s">
        <v>30</v>
      </c>
      <c r="D47" s="267" t="s">
        <v>34</v>
      </c>
      <c r="E47" s="269" t="s">
        <v>23</v>
      </c>
      <c r="F47" s="269" t="s">
        <v>23</v>
      </c>
      <c r="G47" s="267" t="s">
        <v>34</v>
      </c>
      <c r="H47" s="267" t="s">
        <v>34</v>
      </c>
      <c r="I47" s="267" t="s">
        <v>34</v>
      </c>
      <c r="J47" s="758"/>
      <c r="K47" s="758"/>
      <c r="L47" s="758"/>
      <c r="M47" s="758"/>
      <c r="N47" s="758"/>
      <c r="O47" s="758"/>
      <c r="P47" s="758"/>
      <c r="Q47" s="758"/>
      <c r="R47" s="758"/>
      <c r="S47" s="758"/>
      <c r="T47" s="758"/>
      <c r="U47" s="758"/>
      <c r="V47" s="758"/>
      <c r="W47" s="758"/>
      <c r="X47" s="758"/>
      <c r="Y47" s="758"/>
      <c r="Z47" s="758"/>
      <c r="AA47" s="758"/>
      <c r="AB47" s="758"/>
      <c r="AC47" s="758"/>
      <c r="AD47" s="758"/>
      <c r="AE47" s="758"/>
      <c r="AF47" s="758"/>
      <c r="AG47" s="776"/>
      <c r="AI47" s="227">
        <f>VLOOKUP(B47,'APR25'!$B:$AN,39,0)</f>
        <v>18</v>
      </c>
      <c r="AJ47" s="225">
        <f t="shared" si="2"/>
        <v>4</v>
      </c>
      <c r="AK47" s="230">
        <f t="shared" si="3"/>
        <v>14</v>
      </c>
    </row>
    <row r="48" spans="1:37" ht="18.75" customHeight="1">
      <c r="A48" s="602" t="s">
        <v>111</v>
      </c>
      <c r="B48" s="509" t="s">
        <v>112</v>
      </c>
      <c r="C48" s="158" t="s">
        <v>19</v>
      </c>
      <c r="D48" s="158" t="s">
        <v>19</v>
      </c>
      <c r="E48" s="158" t="s">
        <v>19</v>
      </c>
      <c r="F48" s="332" t="s">
        <v>19</v>
      </c>
      <c r="G48" s="332" t="s">
        <v>19</v>
      </c>
      <c r="H48" s="267" t="s">
        <v>34</v>
      </c>
      <c r="I48" s="269" t="s">
        <v>23</v>
      </c>
      <c r="J48" s="269" t="s">
        <v>23</v>
      </c>
      <c r="K48" s="267" t="s">
        <v>34</v>
      </c>
      <c r="L48" s="267" t="s">
        <v>34</v>
      </c>
      <c r="M48" s="267" t="s">
        <v>34</v>
      </c>
      <c r="N48" s="267" t="s">
        <v>34</v>
      </c>
      <c r="O48" s="269" t="s">
        <v>23</v>
      </c>
      <c r="P48" s="269" t="s">
        <v>23</v>
      </c>
      <c r="Q48" s="266" t="s">
        <v>63</v>
      </c>
      <c r="R48" s="266" t="s">
        <v>63</v>
      </c>
      <c r="S48" s="266" t="s">
        <v>63</v>
      </c>
      <c r="T48" s="266" t="s">
        <v>63</v>
      </c>
      <c r="U48" s="269" t="s">
        <v>23</v>
      </c>
      <c r="V48" s="269" t="s">
        <v>23</v>
      </c>
      <c r="W48" s="272" t="s">
        <v>83</v>
      </c>
      <c r="X48" s="272" t="s">
        <v>83</v>
      </c>
      <c r="Y48" s="272" t="s">
        <v>83</v>
      </c>
      <c r="Z48" s="272" t="s">
        <v>83</v>
      </c>
      <c r="AA48" s="269" t="s">
        <v>23</v>
      </c>
      <c r="AB48" s="269" t="s">
        <v>23</v>
      </c>
      <c r="AC48" s="339" t="s">
        <v>144</v>
      </c>
      <c r="AD48" s="274" t="s">
        <v>100</v>
      </c>
      <c r="AE48" s="274" t="s">
        <v>100</v>
      </c>
      <c r="AF48" s="274" t="s">
        <v>100</v>
      </c>
      <c r="AG48" s="271" t="s">
        <v>23</v>
      </c>
      <c r="AI48" s="227">
        <f>VLOOKUP(B48,'APR25'!$B:$AN,39,0)</f>
        <v>22</v>
      </c>
      <c r="AJ48" s="225">
        <f t="shared" si="2"/>
        <v>5</v>
      </c>
      <c r="AK48" s="230">
        <f t="shared" si="3"/>
        <v>17</v>
      </c>
    </row>
    <row r="49" spans="1:37" ht="18.75" customHeight="1">
      <c r="A49" s="602" t="s">
        <v>113</v>
      </c>
      <c r="B49" s="509" t="s">
        <v>114</v>
      </c>
      <c r="C49" s="272" t="s">
        <v>83</v>
      </c>
      <c r="D49" s="272" t="s">
        <v>83</v>
      </c>
      <c r="E49" s="272" t="s">
        <v>83</v>
      </c>
      <c r="F49" s="272" t="s">
        <v>83</v>
      </c>
      <c r="G49" s="269" t="s">
        <v>23</v>
      </c>
      <c r="H49" s="269" t="s">
        <v>23</v>
      </c>
      <c r="I49" s="276" t="s">
        <v>103</v>
      </c>
      <c r="J49" s="276" t="s">
        <v>103</v>
      </c>
      <c r="K49" s="276" t="s">
        <v>103</v>
      </c>
      <c r="L49" s="276" t="s">
        <v>103</v>
      </c>
      <c r="M49" s="269" t="s">
        <v>23</v>
      </c>
      <c r="N49" s="269" t="s">
        <v>23</v>
      </c>
      <c r="O49" s="341" t="s">
        <v>19</v>
      </c>
      <c r="P49" s="341" t="s">
        <v>19</v>
      </c>
      <c r="Q49" s="339" t="s">
        <v>144</v>
      </c>
      <c r="R49" s="274" t="s">
        <v>100</v>
      </c>
      <c r="S49" s="269" t="s">
        <v>23</v>
      </c>
      <c r="T49" s="269" t="s">
        <v>23</v>
      </c>
      <c r="U49" s="266" t="s">
        <v>63</v>
      </c>
      <c r="V49" s="266" t="s">
        <v>63</v>
      </c>
      <c r="W49" s="266" t="s">
        <v>63</v>
      </c>
      <c r="X49" s="266" t="s">
        <v>63</v>
      </c>
      <c r="Y49" s="269" t="s">
        <v>23</v>
      </c>
      <c r="Z49" s="269" t="s">
        <v>23</v>
      </c>
      <c r="AA49" s="267" t="s">
        <v>34</v>
      </c>
      <c r="AB49" s="267" t="s">
        <v>34</v>
      </c>
      <c r="AC49" s="267" t="s">
        <v>34</v>
      </c>
      <c r="AD49" s="267" t="s">
        <v>34</v>
      </c>
      <c r="AE49" s="269" t="s">
        <v>23</v>
      </c>
      <c r="AF49" s="269" t="s">
        <v>23</v>
      </c>
      <c r="AG49" s="268" t="s">
        <v>34</v>
      </c>
      <c r="AI49" s="227">
        <f>VLOOKUP(B49,'APR25'!$B:$AN,39,0)</f>
        <v>11</v>
      </c>
      <c r="AJ49" s="225">
        <f t="shared" si="2"/>
        <v>5</v>
      </c>
      <c r="AK49" s="230">
        <f t="shared" si="3"/>
        <v>6</v>
      </c>
    </row>
    <row r="50" spans="1:37" ht="18.75" customHeight="1">
      <c r="A50" s="602" t="s">
        <v>140</v>
      </c>
      <c r="B50" s="509" t="s">
        <v>141</v>
      </c>
      <c r="C50" s="274" t="s">
        <v>100</v>
      </c>
      <c r="D50" s="274" t="s">
        <v>100</v>
      </c>
      <c r="E50" s="269" t="s">
        <v>23</v>
      </c>
      <c r="F50" s="269" t="s">
        <v>23</v>
      </c>
      <c r="G50" s="272" t="s">
        <v>83</v>
      </c>
      <c r="H50" s="272" t="s">
        <v>83</v>
      </c>
      <c r="I50" s="272" t="s">
        <v>83</v>
      </c>
      <c r="J50" s="272" t="s">
        <v>83</v>
      </c>
      <c r="K50" s="269" t="s">
        <v>23</v>
      </c>
      <c r="L50" s="269" t="s">
        <v>23</v>
      </c>
      <c r="M50" s="276" t="s">
        <v>103</v>
      </c>
      <c r="N50" s="276" t="s">
        <v>103</v>
      </c>
      <c r="O50" s="344" t="s">
        <v>103</v>
      </c>
      <c r="P50" s="344" t="s">
        <v>103</v>
      </c>
      <c r="Q50" s="269" t="s">
        <v>23</v>
      </c>
      <c r="R50" s="339" t="s">
        <v>144</v>
      </c>
      <c r="S50" s="274" t="s">
        <v>100</v>
      </c>
      <c r="T50" s="274" t="s">
        <v>100</v>
      </c>
      <c r="U50" s="274" t="s">
        <v>100</v>
      </c>
      <c r="V50" s="269" t="s">
        <v>23</v>
      </c>
      <c r="W50" s="269" t="s">
        <v>23</v>
      </c>
      <c r="X50" s="269" t="s">
        <v>23</v>
      </c>
      <c r="Y50" s="266" t="s">
        <v>63</v>
      </c>
      <c r="Z50" s="266" t="s">
        <v>63</v>
      </c>
      <c r="AA50" s="266" t="s">
        <v>63</v>
      </c>
      <c r="AB50" s="266" t="s">
        <v>63</v>
      </c>
      <c r="AC50" s="269" t="s">
        <v>23</v>
      </c>
      <c r="AD50" s="269" t="s">
        <v>23</v>
      </c>
      <c r="AE50" s="345" t="s">
        <v>83</v>
      </c>
      <c r="AF50" s="345" t="s">
        <v>83</v>
      </c>
      <c r="AG50" s="777" t="s">
        <v>83</v>
      </c>
      <c r="AI50" s="227">
        <f>VLOOKUP(B50,'APR25'!$B:$AN,39,0)</f>
        <v>22</v>
      </c>
      <c r="AJ50" s="225">
        <f t="shared" si="2"/>
        <v>0</v>
      </c>
      <c r="AK50" s="230">
        <f t="shared" si="3"/>
        <v>22</v>
      </c>
    </row>
    <row r="51" spans="1:37" ht="18.75" customHeight="1">
      <c r="A51" s="602" t="s">
        <v>117</v>
      </c>
      <c r="B51" s="509" t="s">
        <v>118</v>
      </c>
      <c r="C51" s="269" t="s">
        <v>23</v>
      </c>
      <c r="D51" s="269" t="s">
        <v>23</v>
      </c>
      <c r="E51" s="274" t="s">
        <v>100</v>
      </c>
      <c r="F51" s="274" t="s">
        <v>100</v>
      </c>
      <c r="G51" s="274" t="s">
        <v>100</v>
      </c>
      <c r="H51" s="336" t="s">
        <v>19</v>
      </c>
      <c r="I51" s="269" t="s">
        <v>23</v>
      </c>
      <c r="J51" s="269" t="s">
        <v>23</v>
      </c>
      <c r="K51" s="272" t="s">
        <v>83</v>
      </c>
      <c r="L51" s="272" t="s">
        <v>83</v>
      </c>
      <c r="M51" s="272" t="s">
        <v>83</v>
      </c>
      <c r="N51" s="272" t="s">
        <v>83</v>
      </c>
      <c r="O51" s="269" t="s">
        <v>23</v>
      </c>
      <c r="P51" s="269" t="s">
        <v>23</v>
      </c>
      <c r="Q51" s="276" t="s">
        <v>103</v>
      </c>
      <c r="R51" s="276" t="s">
        <v>103</v>
      </c>
      <c r="S51" s="276" t="s">
        <v>103</v>
      </c>
      <c r="T51" s="276" t="s">
        <v>103</v>
      </c>
      <c r="U51" s="269" t="s">
        <v>23</v>
      </c>
      <c r="V51" s="269" t="s">
        <v>23</v>
      </c>
      <c r="W51" s="274" t="s">
        <v>100</v>
      </c>
      <c r="X51" s="274" t="s">
        <v>100</v>
      </c>
      <c r="Y51" s="274" t="s">
        <v>100</v>
      </c>
      <c r="Z51" s="274" t="s">
        <v>100</v>
      </c>
      <c r="AA51" s="269" t="s">
        <v>23</v>
      </c>
      <c r="AB51" s="269" t="s">
        <v>23</v>
      </c>
      <c r="AC51" s="266" t="s">
        <v>63</v>
      </c>
      <c r="AD51" s="266" t="s">
        <v>63</v>
      </c>
      <c r="AE51" s="266" t="s">
        <v>63</v>
      </c>
      <c r="AF51" s="266" t="s">
        <v>63</v>
      </c>
      <c r="AG51" s="271" t="s">
        <v>23</v>
      </c>
      <c r="AI51" s="227">
        <f>VLOOKUP(B51,'APR25'!$B:$AN,39,0)</f>
        <v>11</v>
      </c>
      <c r="AJ51" s="225">
        <f t="shared" si="2"/>
        <v>0</v>
      </c>
      <c r="AK51" s="230">
        <f t="shared" si="3"/>
        <v>11</v>
      </c>
    </row>
    <row r="52" spans="1:37" ht="18.75" customHeight="1">
      <c r="A52" s="602" t="s">
        <v>119</v>
      </c>
      <c r="B52" s="509" t="s">
        <v>120</v>
      </c>
      <c r="C52" s="708" t="s">
        <v>30</v>
      </c>
      <c r="D52" s="267" t="s">
        <v>34</v>
      </c>
      <c r="E52" s="267" t="s">
        <v>34</v>
      </c>
      <c r="F52" s="267" t="s">
        <v>34</v>
      </c>
      <c r="G52" s="269" t="s">
        <v>23</v>
      </c>
      <c r="H52" s="269" t="s">
        <v>23</v>
      </c>
      <c r="I52" s="274" t="s">
        <v>100</v>
      </c>
      <c r="J52" s="274" t="s">
        <v>100</v>
      </c>
      <c r="K52" s="274" t="s">
        <v>100</v>
      </c>
      <c r="L52" s="274" t="s">
        <v>100</v>
      </c>
      <c r="M52" s="269" t="s">
        <v>23</v>
      </c>
      <c r="N52" s="269" t="s">
        <v>23</v>
      </c>
      <c r="O52" s="272" t="s">
        <v>83</v>
      </c>
      <c r="P52" s="272" t="s">
        <v>83</v>
      </c>
      <c r="Q52" s="272" t="s">
        <v>83</v>
      </c>
      <c r="R52" s="272" t="s">
        <v>83</v>
      </c>
      <c r="S52" s="269" t="s">
        <v>23</v>
      </c>
      <c r="T52" s="269" t="s">
        <v>23</v>
      </c>
      <c r="U52" s="276" t="s">
        <v>103</v>
      </c>
      <c r="V52" s="276" t="s">
        <v>103</v>
      </c>
      <c r="W52" s="276" t="s">
        <v>103</v>
      </c>
      <c r="X52" s="276" t="s">
        <v>103</v>
      </c>
      <c r="Y52" s="269" t="s">
        <v>23</v>
      </c>
      <c r="Z52" s="269" t="s">
        <v>23</v>
      </c>
      <c r="AA52" s="274" t="s">
        <v>100</v>
      </c>
      <c r="AB52" s="274" t="s">
        <v>100</v>
      </c>
      <c r="AC52" s="274" t="s">
        <v>100</v>
      </c>
      <c r="AD52" s="339" t="s">
        <v>144</v>
      </c>
      <c r="AE52" s="269" t="s">
        <v>23</v>
      </c>
      <c r="AF52" s="269" t="s">
        <v>23</v>
      </c>
      <c r="AG52" s="337" t="s">
        <v>19</v>
      </c>
      <c r="AI52" s="227">
        <f>VLOOKUP(B52,'APR25'!$B:$AN,39,0)</f>
        <v>22</v>
      </c>
      <c r="AJ52" s="225">
        <f t="shared" si="2"/>
        <v>3</v>
      </c>
      <c r="AK52" s="230">
        <f t="shared" si="3"/>
        <v>19</v>
      </c>
    </row>
    <row r="53" spans="1:37" ht="19.5" customHeight="1" thickBot="1">
      <c r="A53" s="690" t="s">
        <v>123</v>
      </c>
      <c r="B53" s="778" t="s">
        <v>124</v>
      </c>
      <c r="C53" s="279" t="s">
        <v>23</v>
      </c>
      <c r="D53" s="279" t="s">
        <v>23</v>
      </c>
      <c r="E53" s="223" t="s">
        <v>22</v>
      </c>
      <c r="F53" s="223" t="s">
        <v>22</v>
      </c>
      <c r="G53" s="223" t="s">
        <v>22</v>
      </c>
      <c r="H53" s="223" t="s">
        <v>22</v>
      </c>
      <c r="I53" s="279" t="s">
        <v>23</v>
      </c>
      <c r="J53" s="279" t="s">
        <v>23</v>
      </c>
      <c r="K53" s="347" t="s">
        <v>83</v>
      </c>
      <c r="L53" s="347" t="s">
        <v>83</v>
      </c>
      <c r="M53" s="347" t="s">
        <v>83</v>
      </c>
      <c r="N53" s="347" t="s">
        <v>83</v>
      </c>
      <c r="O53" s="279" t="s">
        <v>23</v>
      </c>
      <c r="P53" s="279" t="s">
        <v>23</v>
      </c>
      <c r="Q53" s="346" t="s">
        <v>125</v>
      </c>
      <c r="R53" s="346" t="s">
        <v>125</v>
      </c>
      <c r="S53" s="346" t="s">
        <v>125</v>
      </c>
      <c r="T53" s="346" t="s">
        <v>125</v>
      </c>
      <c r="U53" s="279" t="s">
        <v>23</v>
      </c>
      <c r="V53" s="279" t="s">
        <v>23</v>
      </c>
      <c r="W53" s="237" t="s">
        <v>24</v>
      </c>
      <c r="X53" s="237" t="s">
        <v>24</v>
      </c>
      <c r="Y53" s="347" t="s">
        <v>83</v>
      </c>
      <c r="Z53" s="347" t="s">
        <v>83</v>
      </c>
      <c r="AA53" s="279" t="s">
        <v>23</v>
      </c>
      <c r="AB53" s="279" t="s">
        <v>23</v>
      </c>
      <c r="AC53" s="779" t="s">
        <v>144</v>
      </c>
      <c r="AD53" s="779" t="s">
        <v>144</v>
      </c>
      <c r="AE53" s="347" t="s">
        <v>83</v>
      </c>
      <c r="AF53" s="347" t="s">
        <v>83</v>
      </c>
      <c r="AG53" s="282" t="s">
        <v>23</v>
      </c>
      <c r="AI53" s="241">
        <f>VLOOKUP(B53,'APR25'!$B:$AN,39,0)</f>
        <v>19</v>
      </c>
      <c r="AJ53" s="283">
        <f t="shared" si="2"/>
        <v>0</v>
      </c>
      <c r="AK53" s="288">
        <f t="shared" si="3"/>
        <v>19</v>
      </c>
    </row>
    <row r="54" spans="1:37" ht="9.9499999999999993" customHeight="1" thickBot="1">
      <c r="B54" s="1"/>
    </row>
    <row r="55" spans="1:37" ht="18">
      <c r="A55" s="719" t="s">
        <v>103</v>
      </c>
      <c r="B55" s="720"/>
      <c r="C55" s="220">
        <f t="shared" ref="C55:AG55" si="4">COUNTIF(C29:C53,$A$55)</f>
        <v>1</v>
      </c>
      <c r="D55" s="218">
        <f t="shared" si="4"/>
        <v>2</v>
      </c>
      <c r="E55" s="218">
        <f t="shared" si="4"/>
        <v>1</v>
      </c>
      <c r="F55" s="218">
        <f t="shared" si="4"/>
        <v>1</v>
      </c>
      <c r="G55" s="218">
        <f t="shared" si="4"/>
        <v>1</v>
      </c>
      <c r="H55" s="218">
        <f t="shared" si="4"/>
        <v>0</v>
      </c>
      <c r="I55" s="218">
        <f t="shared" si="4"/>
        <v>1</v>
      </c>
      <c r="J55" s="218">
        <f t="shared" si="4"/>
        <v>1</v>
      </c>
      <c r="K55" s="218">
        <f t="shared" si="4"/>
        <v>1</v>
      </c>
      <c r="L55" s="218">
        <f t="shared" si="4"/>
        <v>1</v>
      </c>
      <c r="M55" s="218">
        <f t="shared" si="4"/>
        <v>1</v>
      </c>
      <c r="N55" s="218">
        <f t="shared" si="4"/>
        <v>1</v>
      </c>
      <c r="O55" s="218">
        <f t="shared" si="4"/>
        <v>1</v>
      </c>
      <c r="P55" s="218">
        <f t="shared" si="4"/>
        <v>2</v>
      </c>
      <c r="Q55" s="218">
        <f t="shared" si="4"/>
        <v>2</v>
      </c>
      <c r="R55" s="218">
        <f t="shared" si="4"/>
        <v>2</v>
      </c>
      <c r="S55" s="218">
        <f t="shared" si="4"/>
        <v>2</v>
      </c>
      <c r="T55" s="218">
        <f t="shared" si="4"/>
        <v>1</v>
      </c>
      <c r="U55" s="218">
        <f t="shared" si="4"/>
        <v>1</v>
      </c>
      <c r="V55" s="218">
        <f t="shared" si="4"/>
        <v>1</v>
      </c>
      <c r="W55" s="218">
        <f t="shared" si="4"/>
        <v>1</v>
      </c>
      <c r="X55" s="218">
        <f t="shared" si="4"/>
        <v>1</v>
      </c>
      <c r="Y55" s="218">
        <f t="shared" si="4"/>
        <v>1</v>
      </c>
      <c r="Z55" s="218">
        <f t="shared" si="4"/>
        <v>1</v>
      </c>
      <c r="AA55" s="218">
        <f t="shared" si="4"/>
        <v>0</v>
      </c>
      <c r="AB55" s="218">
        <f t="shared" si="4"/>
        <v>0</v>
      </c>
      <c r="AC55" s="218">
        <f t="shared" si="4"/>
        <v>0</v>
      </c>
      <c r="AD55" s="218">
        <f t="shared" si="4"/>
        <v>0</v>
      </c>
      <c r="AE55" s="218">
        <f t="shared" si="4"/>
        <v>0</v>
      </c>
      <c r="AF55" s="218">
        <f t="shared" si="4"/>
        <v>0</v>
      </c>
      <c r="AG55" s="221">
        <f t="shared" si="4"/>
        <v>0</v>
      </c>
    </row>
    <row r="56" spans="1:37" ht="18">
      <c r="A56" s="721" t="s">
        <v>22</v>
      </c>
      <c r="B56" s="722"/>
      <c r="C56" s="227">
        <f t="shared" ref="C56:AG56" si="5">COUNTIF(C29:C53,$A$56)</f>
        <v>2</v>
      </c>
      <c r="D56" s="225">
        <f t="shared" si="5"/>
        <v>1</v>
      </c>
      <c r="E56" s="225">
        <f t="shared" si="5"/>
        <v>2</v>
      </c>
      <c r="F56" s="225">
        <f t="shared" si="5"/>
        <v>3</v>
      </c>
      <c r="G56" s="225">
        <f t="shared" si="5"/>
        <v>3</v>
      </c>
      <c r="H56" s="225">
        <f t="shared" si="5"/>
        <v>4</v>
      </c>
      <c r="I56" s="225">
        <f t="shared" si="5"/>
        <v>2</v>
      </c>
      <c r="J56" s="225">
        <f t="shared" si="5"/>
        <v>1</v>
      </c>
      <c r="K56" s="225">
        <f t="shared" si="5"/>
        <v>1</v>
      </c>
      <c r="L56" s="225">
        <f t="shared" si="5"/>
        <v>2</v>
      </c>
      <c r="M56" s="225">
        <f t="shared" si="5"/>
        <v>2</v>
      </c>
      <c r="N56" s="225">
        <f t="shared" si="5"/>
        <v>2</v>
      </c>
      <c r="O56" s="225">
        <f t="shared" si="5"/>
        <v>3</v>
      </c>
      <c r="P56" s="225">
        <f t="shared" si="5"/>
        <v>0</v>
      </c>
      <c r="Q56" s="225">
        <f t="shared" si="5"/>
        <v>1</v>
      </c>
      <c r="R56" s="225">
        <f t="shared" si="5"/>
        <v>1</v>
      </c>
      <c r="S56" s="225">
        <f t="shared" si="5"/>
        <v>2</v>
      </c>
      <c r="T56" s="225">
        <f t="shared" si="5"/>
        <v>2</v>
      </c>
      <c r="U56" s="225">
        <f t="shared" si="5"/>
        <v>3</v>
      </c>
      <c r="V56" s="225">
        <f t="shared" si="5"/>
        <v>3</v>
      </c>
      <c r="W56" s="225">
        <f t="shared" si="5"/>
        <v>4</v>
      </c>
      <c r="X56" s="225">
        <f t="shared" si="5"/>
        <v>3</v>
      </c>
      <c r="Y56" s="225">
        <f t="shared" si="5"/>
        <v>4</v>
      </c>
      <c r="Z56" s="225">
        <f t="shared" si="5"/>
        <v>4</v>
      </c>
      <c r="AA56" s="225">
        <f t="shared" si="5"/>
        <v>4</v>
      </c>
      <c r="AB56" s="225">
        <f t="shared" si="5"/>
        <v>3</v>
      </c>
      <c r="AC56" s="225">
        <f t="shared" si="5"/>
        <v>3</v>
      </c>
      <c r="AD56" s="225">
        <f t="shared" si="5"/>
        <v>4</v>
      </c>
      <c r="AE56" s="225">
        <f t="shared" si="5"/>
        <v>5</v>
      </c>
      <c r="AF56" s="225">
        <f t="shared" si="5"/>
        <v>4</v>
      </c>
      <c r="AG56" s="230">
        <f t="shared" si="5"/>
        <v>3</v>
      </c>
    </row>
    <row r="57" spans="1:37" ht="18">
      <c r="A57" s="723" t="s">
        <v>83</v>
      </c>
      <c r="B57" s="724"/>
      <c r="C57" s="227">
        <f t="shared" ref="C57:AG57" si="6">COUNTIF(C29:C53,$A$57)</f>
        <v>1</v>
      </c>
      <c r="D57" s="225">
        <f t="shared" si="6"/>
        <v>1</v>
      </c>
      <c r="E57" s="225">
        <f t="shared" si="6"/>
        <v>1</v>
      </c>
      <c r="F57" s="225">
        <f t="shared" si="6"/>
        <v>1</v>
      </c>
      <c r="G57" s="225">
        <f t="shared" si="6"/>
        <v>2</v>
      </c>
      <c r="H57" s="225">
        <f t="shared" si="6"/>
        <v>2</v>
      </c>
      <c r="I57" s="225">
        <f t="shared" si="6"/>
        <v>2</v>
      </c>
      <c r="J57" s="225">
        <f t="shared" si="6"/>
        <v>2</v>
      </c>
      <c r="K57" s="225">
        <f t="shared" si="6"/>
        <v>2</v>
      </c>
      <c r="L57" s="225">
        <f t="shared" si="6"/>
        <v>2</v>
      </c>
      <c r="M57" s="225">
        <f t="shared" si="6"/>
        <v>2</v>
      </c>
      <c r="N57" s="225">
        <f t="shared" si="6"/>
        <v>2</v>
      </c>
      <c r="O57" s="225">
        <f t="shared" si="6"/>
        <v>1</v>
      </c>
      <c r="P57" s="225">
        <f t="shared" si="6"/>
        <v>1</v>
      </c>
      <c r="Q57" s="225">
        <f t="shared" si="6"/>
        <v>1</v>
      </c>
      <c r="R57" s="225">
        <f t="shared" si="6"/>
        <v>1</v>
      </c>
      <c r="S57" s="225">
        <f t="shared" si="6"/>
        <v>1</v>
      </c>
      <c r="T57" s="225">
        <f t="shared" si="6"/>
        <v>1</v>
      </c>
      <c r="U57" s="225">
        <f t="shared" si="6"/>
        <v>1</v>
      </c>
      <c r="V57" s="225">
        <f t="shared" si="6"/>
        <v>1</v>
      </c>
      <c r="W57" s="225">
        <f t="shared" si="6"/>
        <v>1</v>
      </c>
      <c r="X57" s="225">
        <f t="shared" si="6"/>
        <v>1</v>
      </c>
      <c r="Y57" s="225">
        <f t="shared" si="6"/>
        <v>2</v>
      </c>
      <c r="Z57" s="225">
        <f t="shared" si="6"/>
        <v>2</v>
      </c>
      <c r="AA57" s="225">
        <f t="shared" si="6"/>
        <v>0</v>
      </c>
      <c r="AB57" s="225">
        <f t="shared" si="6"/>
        <v>0</v>
      </c>
      <c r="AC57" s="225">
        <f t="shared" si="6"/>
        <v>0</v>
      </c>
      <c r="AD57" s="225">
        <f t="shared" si="6"/>
        <v>0</v>
      </c>
      <c r="AE57" s="225">
        <f t="shared" si="6"/>
        <v>2</v>
      </c>
      <c r="AF57" s="225">
        <f t="shared" si="6"/>
        <v>2</v>
      </c>
      <c r="AG57" s="230">
        <f t="shared" si="6"/>
        <v>1</v>
      </c>
    </row>
    <row r="58" spans="1:37" ht="18">
      <c r="A58" s="725" t="s">
        <v>24</v>
      </c>
      <c r="B58" s="726"/>
      <c r="C58" s="227">
        <f t="shared" ref="C58:AG58" si="7">COUNTIF(C29:C53,$A$58)</f>
        <v>3</v>
      </c>
      <c r="D58" s="225">
        <f t="shared" si="7"/>
        <v>3</v>
      </c>
      <c r="E58" s="225">
        <f t="shared" si="7"/>
        <v>2</v>
      </c>
      <c r="F58" s="225">
        <f t="shared" si="7"/>
        <v>2</v>
      </c>
      <c r="G58" s="225">
        <f t="shared" si="7"/>
        <v>2</v>
      </c>
      <c r="H58" s="225">
        <f t="shared" si="7"/>
        <v>1</v>
      </c>
      <c r="I58" s="225">
        <f t="shared" si="7"/>
        <v>1</v>
      </c>
      <c r="J58" s="225">
        <f t="shared" si="7"/>
        <v>2</v>
      </c>
      <c r="K58" s="225">
        <f t="shared" si="7"/>
        <v>2</v>
      </c>
      <c r="L58" s="225">
        <f t="shared" si="7"/>
        <v>3</v>
      </c>
      <c r="M58" s="225">
        <f t="shared" si="7"/>
        <v>3</v>
      </c>
      <c r="N58" s="225">
        <f t="shared" si="7"/>
        <v>1</v>
      </c>
      <c r="O58" s="225">
        <f t="shared" si="7"/>
        <v>1</v>
      </c>
      <c r="P58" s="225">
        <f t="shared" si="7"/>
        <v>2</v>
      </c>
      <c r="Q58" s="225">
        <f t="shared" si="7"/>
        <v>2</v>
      </c>
      <c r="R58" s="225">
        <f t="shared" si="7"/>
        <v>3</v>
      </c>
      <c r="S58" s="225">
        <f t="shared" si="7"/>
        <v>2</v>
      </c>
      <c r="T58" s="225">
        <f t="shared" si="7"/>
        <v>4</v>
      </c>
      <c r="U58" s="225">
        <f t="shared" si="7"/>
        <v>4</v>
      </c>
      <c r="V58" s="225">
        <f t="shared" si="7"/>
        <v>4</v>
      </c>
      <c r="W58" s="225">
        <f t="shared" si="7"/>
        <v>5</v>
      </c>
      <c r="X58" s="225">
        <f t="shared" si="7"/>
        <v>5</v>
      </c>
      <c r="Y58" s="225">
        <f t="shared" si="7"/>
        <v>4</v>
      </c>
      <c r="Z58" s="225">
        <f t="shared" si="7"/>
        <v>3</v>
      </c>
      <c r="AA58" s="225">
        <f t="shared" si="7"/>
        <v>3</v>
      </c>
      <c r="AB58" s="225">
        <f t="shared" si="7"/>
        <v>3</v>
      </c>
      <c r="AC58" s="225">
        <f t="shared" si="7"/>
        <v>2</v>
      </c>
      <c r="AD58" s="225">
        <f t="shared" si="7"/>
        <v>3</v>
      </c>
      <c r="AE58" s="225">
        <f t="shared" si="7"/>
        <v>3</v>
      </c>
      <c r="AF58" s="225">
        <f t="shared" si="7"/>
        <v>4</v>
      </c>
      <c r="AG58" s="230">
        <f t="shared" si="7"/>
        <v>2</v>
      </c>
    </row>
    <row r="59" spans="1:37" ht="20.25" thickBot="1">
      <c r="A59" s="727" t="s">
        <v>63</v>
      </c>
      <c r="B59" s="728"/>
      <c r="C59" s="241">
        <f t="shared" ref="C59:AG59" si="8">COUNTIF(C29:C53,$A$59)</f>
        <v>1</v>
      </c>
      <c r="D59" s="283">
        <f t="shared" si="8"/>
        <v>2</v>
      </c>
      <c r="E59" s="283">
        <f t="shared" si="8"/>
        <v>2</v>
      </c>
      <c r="F59" s="283">
        <f t="shared" si="8"/>
        <v>2</v>
      </c>
      <c r="G59" s="323">
        <f t="shared" si="8"/>
        <v>2</v>
      </c>
      <c r="H59" s="283">
        <f t="shared" si="8"/>
        <v>1</v>
      </c>
      <c r="I59" s="283">
        <f t="shared" si="8"/>
        <v>1</v>
      </c>
      <c r="J59" s="283">
        <f t="shared" si="8"/>
        <v>1</v>
      </c>
      <c r="K59" s="283">
        <f t="shared" si="8"/>
        <v>1</v>
      </c>
      <c r="L59" s="283">
        <f t="shared" si="8"/>
        <v>2</v>
      </c>
      <c r="M59" s="283">
        <f t="shared" si="8"/>
        <v>2</v>
      </c>
      <c r="N59" s="283">
        <f t="shared" si="8"/>
        <v>2</v>
      </c>
      <c r="O59" s="283">
        <f t="shared" si="8"/>
        <v>2</v>
      </c>
      <c r="P59" s="283">
        <f t="shared" si="8"/>
        <v>2</v>
      </c>
      <c r="Q59" s="283">
        <f t="shared" si="8"/>
        <v>3</v>
      </c>
      <c r="R59" s="283">
        <f t="shared" si="8"/>
        <v>3</v>
      </c>
      <c r="S59" s="283">
        <f t="shared" si="8"/>
        <v>3</v>
      </c>
      <c r="T59" s="283">
        <f t="shared" si="8"/>
        <v>2</v>
      </c>
      <c r="U59" s="283">
        <f t="shared" si="8"/>
        <v>2</v>
      </c>
      <c r="V59" s="283">
        <f t="shared" si="8"/>
        <v>2</v>
      </c>
      <c r="W59" s="283">
        <f t="shared" si="8"/>
        <v>2</v>
      </c>
      <c r="X59" s="283">
        <f t="shared" si="8"/>
        <v>2</v>
      </c>
      <c r="Y59" s="283">
        <f t="shared" si="8"/>
        <v>2</v>
      </c>
      <c r="Z59" s="283">
        <f t="shared" si="8"/>
        <v>2</v>
      </c>
      <c r="AA59" s="283">
        <f t="shared" si="8"/>
        <v>2</v>
      </c>
      <c r="AB59" s="283">
        <f t="shared" si="8"/>
        <v>2</v>
      </c>
      <c r="AC59" s="283">
        <f t="shared" si="8"/>
        <v>1</v>
      </c>
      <c r="AD59" s="283">
        <f t="shared" si="8"/>
        <v>1</v>
      </c>
      <c r="AE59" s="283">
        <f t="shared" si="8"/>
        <v>1</v>
      </c>
      <c r="AF59" s="283">
        <f t="shared" si="8"/>
        <v>2</v>
      </c>
      <c r="AG59" s="288">
        <f t="shared" si="8"/>
        <v>1</v>
      </c>
    </row>
    <row r="60" spans="1:37" ht="20.100000000000001" customHeight="1" thickBot="1"/>
    <row r="61" spans="1:37" ht="24.95" customHeight="1" thickBot="1">
      <c r="A61" s="581" t="s">
        <v>126</v>
      </c>
      <c r="B61" s="579"/>
      <c r="C61" s="579"/>
      <c r="D61" s="579"/>
      <c r="E61" s="579"/>
      <c r="F61" s="579"/>
      <c r="G61" s="579"/>
      <c r="H61" s="579"/>
      <c r="I61" s="579"/>
      <c r="J61" s="579"/>
      <c r="K61" s="579"/>
      <c r="L61" s="579"/>
      <c r="M61" s="579"/>
      <c r="N61" s="579"/>
      <c r="O61" s="579"/>
      <c r="P61" s="579"/>
      <c r="Q61" s="579"/>
      <c r="R61" s="579"/>
      <c r="S61" s="579"/>
      <c r="T61" s="579"/>
      <c r="U61" s="579"/>
      <c r="V61" s="579"/>
      <c r="W61" s="579"/>
      <c r="X61" s="579"/>
      <c r="Y61" s="579"/>
      <c r="Z61" s="579"/>
      <c r="AA61" s="579"/>
      <c r="AB61" s="579"/>
      <c r="AC61" s="579"/>
      <c r="AD61" s="579"/>
      <c r="AE61" s="579"/>
      <c r="AF61" s="579"/>
      <c r="AG61" s="580"/>
    </row>
    <row r="62" spans="1:37" ht="18.75" customHeight="1">
      <c r="A62" s="602" t="s">
        <v>127</v>
      </c>
      <c r="B62" s="509" t="s">
        <v>128</v>
      </c>
      <c r="C62" s="708" t="s">
        <v>30</v>
      </c>
      <c r="D62" s="267" t="s">
        <v>34</v>
      </c>
      <c r="E62" s="267" t="s">
        <v>34</v>
      </c>
      <c r="F62" s="87" t="s">
        <v>148</v>
      </c>
      <c r="G62" s="231" t="s">
        <v>23</v>
      </c>
      <c r="H62" s="87" t="s">
        <v>53</v>
      </c>
      <c r="I62" s="276" t="s">
        <v>125</v>
      </c>
      <c r="J62" s="276" t="s">
        <v>125</v>
      </c>
      <c r="K62" s="276" t="s">
        <v>125</v>
      </c>
      <c r="L62" s="276" t="s">
        <v>125</v>
      </c>
      <c r="M62" s="231" t="s">
        <v>23</v>
      </c>
      <c r="N62" s="231" t="s">
        <v>23</v>
      </c>
      <c r="O62" s="284" t="s">
        <v>83</v>
      </c>
      <c r="P62" s="284" t="s">
        <v>83</v>
      </c>
      <c r="Q62" s="284" t="s">
        <v>83</v>
      </c>
      <c r="R62" s="284" t="s">
        <v>83</v>
      </c>
      <c r="S62" s="231" t="s">
        <v>23</v>
      </c>
      <c r="T62" s="231" t="s">
        <v>23</v>
      </c>
      <c r="U62" s="276" t="s">
        <v>103</v>
      </c>
      <c r="V62" s="276" t="s">
        <v>103</v>
      </c>
      <c r="W62" s="276" t="s">
        <v>103</v>
      </c>
      <c r="X62" s="276" t="s">
        <v>125</v>
      </c>
      <c r="Y62" s="231" t="s">
        <v>23</v>
      </c>
      <c r="Z62" s="231" t="s">
        <v>23</v>
      </c>
      <c r="AA62" s="284" t="s">
        <v>83</v>
      </c>
      <c r="AB62" s="284" t="s">
        <v>83</v>
      </c>
      <c r="AC62" s="284" t="s">
        <v>83</v>
      </c>
      <c r="AD62" s="284" t="s">
        <v>83</v>
      </c>
      <c r="AE62" s="231" t="s">
        <v>23</v>
      </c>
      <c r="AF62" s="231" t="s">
        <v>23</v>
      </c>
      <c r="AG62" s="277" t="s">
        <v>125</v>
      </c>
      <c r="AI62" s="220">
        <f>VLOOKUP(B62,'APR25'!$B:$AN,39,0)</f>
        <v>20</v>
      </c>
      <c r="AJ62" s="218">
        <f t="shared" ref="AJ62:AJ68" si="9">COUNTIF(C62:AG62,"U")</f>
        <v>2</v>
      </c>
      <c r="AK62" s="221">
        <f t="shared" ref="AK62:AK68" si="10">AI62-AJ62</f>
        <v>18</v>
      </c>
    </row>
    <row r="63" spans="1:37" ht="18.75">
      <c r="A63" s="602" t="s">
        <v>129</v>
      </c>
      <c r="B63" s="509" t="s">
        <v>130</v>
      </c>
      <c r="C63" s="231" t="s">
        <v>23</v>
      </c>
      <c r="D63" s="231" t="s">
        <v>23</v>
      </c>
      <c r="E63" s="276" t="s">
        <v>125</v>
      </c>
      <c r="F63" s="276" t="s">
        <v>125</v>
      </c>
      <c r="G63" s="276" t="s">
        <v>125</v>
      </c>
      <c r="H63" s="276" t="s">
        <v>125</v>
      </c>
      <c r="I63" s="231" t="s">
        <v>23</v>
      </c>
      <c r="J63" s="231" t="s">
        <v>23</v>
      </c>
      <c r="K63" s="267" t="s">
        <v>34</v>
      </c>
      <c r="L63" s="267" t="s">
        <v>34</v>
      </c>
      <c r="M63" s="267" t="s">
        <v>34</v>
      </c>
      <c r="N63" s="267" t="s">
        <v>34</v>
      </c>
      <c r="O63" s="231" t="s">
        <v>23</v>
      </c>
      <c r="P63" s="231" t="s">
        <v>23</v>
      </c>
      <c r="Q63" s="267" t="s">
        <v>34</v>
      </c>
      <c r="R63" s="267" t="s">
        <v>34</v>
      </c>
      <c r="S63" s="267" t="s">
        <v>34</v>
      </c>
      <c r="T63" s="267" t="s">
        <v>34</v>
      </c>
      <c r="U63" s="231" t="s">
        <v>23</v>
      </c>
      <c r="V63" s="231" t="s">
        <v>23</v>
      </c>
      <c r="W63" s="267" t="s">
        <v>34</v>
      </c>
      <c r="X63" s="267" t="s">
        <v>34</v>
      </c>
      <c r="Y63" s="276" t="s">
        <v>125</v>
      </c>
      <c r="Z63" s="276" t="s">
        <v>125</v>
      </c>
      <c r="AA63" s="231" t="s">
        <v>23</v>
      </c>
      <c r="AB63" s="231" t="s">
        <v>23</v>
      </c>
      <c r="AC63" s="276" t="s">
        <v>125</v>
      </c>
      <c r="AD63" s="276" t="s">
        <v>125</v>
      </c>
      <c r="AE63" s="276" t="s">
        <v>125</v>
      </c>
      <c r="AF63" s="276" t="s">
        <v>125</v>
      </c>
      <c r="AG63" s="234" t="s">
        <v>23</v>
      </c>
      <c r="AI63" s="227">
        <f>VLOOKUP(B63,'APR25'!$B:$AN,39,0)</f>
        <v>22</v>
      </c>
      <c r="AJ63" s="225">
        <f t="shared" si="9"/>
        <v>10</v>
      </c>
      <c r="AK63" s="230">
        <f t="shared" si="10"/>
        <v>12</v>
      </c>
    </row>
    <row r="64" spans="1:37" ht="18.75" customHeight="1">
      <c r="A64" s="602" t="s">
        <v>121</v>
      </c>
      <c r="B64" s="509" t="s">
        <v>122</v>
      </c>
      <c r="C64" s="276" t="s">
        <v>125</v>
      </c>
      <c r="D64" s="276" t="s">
        <v>125</v>
      </c>
      <c r="E64" s="269" t="s">
        <v>23</v>
      </c>
      <c r="F64" s="269" t="s">
        <v>23</v>
      </c>
      <c r="G64" s="284" t="s">
        <v>171</v>
      </c>
      <c r="H64" s="284" t="s">
        <v>171</v>
      </c>
      <c r="I64" s="284" t="s">
        <v>171</v>
      </c>
      <c r="J64" s="284" t="s">
        <v>171</v>
      </c>
      <c r="K64" s="269" t="s">
        <v>23</v>
      </c>
      <c r="L64" s="269" t="s">
        <v>23</v>
      </c>
      <c r="M64" s="276" t="s">
        <v>125</v>
      </c>
      <c r="N64" s="336" t="s">
        <v>19</v>
      </c>
      <c r="O64" s="336" t="s">
        <v>19</v>
      </c>
      <c r="P64" s="336" t="s">
        <v>19</v>
      </c>
      <c r="Q64" s="336" t="s">
        <v>19</v>
      </c>
      <c r="R64" s="336" t="s">
        <v>19</v>
      </c>
      <c r="S64" s="336" t="s">
        <v>19</v>
      </c>
      <c r="T64" s="336" t="s">
        <v>19</v>
      </c>
      <c r="U64" s="336" t="s">
        <v>19</v>
      </c>
      <c r="V64" s="336" t="s">
        <v>19</v>
      </c>
      <c r="W64" s="336" t="s">
        <v>19</v>
      </c>
      <c r="X64" s="336" t="s">
        <v>19</v>
      </c>
      <c r="Y64" s="336" t="s">
        <v>19</v>
      </c>
      <c r="Z64" s="336" t="s">
        <v>19</v>
      </c>
      <c r="AA64" s="336" t="s">
        <v>19</v>
      </c>
      <c r="AB64" s="336" t="s">
        <v>19</v>
      </c>
      <c r="AC64" s="336" t="s">
        <v>19</v>
      </c>
      <c r="AD64" s="336" t="s">
        <v>19</v>
      </c>
      <c r="AE64" s="336" t="s">
        <v>19</v>
      </c>
      <c r="AF64" s="336" t="s">
        <v>19</v>
      </c>
      <c r="AG64" s="351" t="s">
        <v>19</v>
      </c>
      <c r="AI64" s="227">
        <f>VLOOKUP(B64,'APR25'!$B:$AN,39,0)</f>
        <v>19</v>
      </c>
      <c r="AJ64" s="225">
        <f>COUNTIF(C64:AF64,"U")</f>
        <v>0</v>
      </c>
      <c r="AK64" s="230">
        <f>AI64-AJ64</f>
        <v>19</v>
      </c>
    </row>
    <row r="65" spans="1:37" ht="18.75" customHeight="1">
      <c r="A65" s="602" t="s">
        <v>131</v>
      </c>
      <c r="B65" s="509" t="s">
        <v>132</v>
      </c>
      <c r="C65" s="286" t="s">
        <v>108</v>
      </c>
      <c r="D65" s="286" t="s">
        <v>108</v>
      </c>
      <c r="E65" s="286" t="s">
        <v>108</v>
      </c>
      <c r="F65" s="286" t="s">
        <v>108</v>
      </c>
      <c r="G65" s="286" t="s">
        <v>108</v>
      </c>
      <c r="H65" s="286" t="s">
        <v>108</v>
      </c>
      <c r="I65" s="286" t="s">
        <v>108</v>
      </c>
      <c r="J65" s="286" t="s">
        <v>108</v>
      </c>
      <c r="K65" s="286" t="s">
        <v>108</v>
      </c>
      <c r="L65" s="286" t="s">
        <v>108</v>
      </c>
      <c r="M65" s="286" t="s">
        <v>108</v>
      </c>
      <c r="N65" s="286" t="s">
        <v>108</v>
      </c>
      <c r="O65" s="286" t="s">
        <v>108</v>
      </c>
      <c r="P65" s="286" t="s">
        <v>108</v>
      </c>
      <c r="Q65" s="286" t="s">
        <v>108</v>
      </c>
      <c r="R65" s="286" t="s">
        <v>108</v>
      </c>
      <c r="S65" s="286" t="s">
        <v>108</v>
      </c>
      <c r="T65" s="286" t="s">
        <v>108</v>
      </c>
      <c r="U65" s="286" t="s">
        <v>108</v>
      </c>
      <c r="V65" s="286" t="s">
        <v>108</v>
      </c>
      <c r="W65" s="286" t="s">
        <v>108</v>
      </c>
      <c r="X65" s="286" t="s">
        <v>108</v>
      </c>
      <c r="Y65" s="286" t="s">
        <v>108</v>
      </c>
      <c r="Z65" s="286" t="s">
        <v>108</v>
      </c>
      <c r="AA65" s="286" t="s">
        <v>108</v>
      </c>
      <c r="AB65" s="286" t="s">
        <v>108</v>
      </c>
      <c r="AC65" s="286" t="s">
        <v>108</v>
      </c>
      <c r="AD65" s="286" t="s">
        <v>108</v>
      </c>
      <c r="AE65" s="286" t="s">
        <v>108</v>
      </c>
      <c r="AF65" s="286" t="s">
        <v>108</v>
      </c>
      <c r="AG65" s="318" t="s">
        <v>108</v>
      </c>
      <c r="AI65" s="227">
        <f>VLOOKUP(B65,'APR25'!$B:$AN,39,0)</f>
        <v>22</v>
      </c>
      <c r="AJ65" s="225">
        <f>COUNTIF(C65:AF65,"U")</f>
        <v>0</v>
      </c>
      <c r="AK65" s="230">
        <f>AI65-AJ65</f>
        <v>22</v>
      </c>
    </row>
    <row r="66" spans="1:37" ht="18.75" customHeight="1">
      <c r="A66" s="602" t="s">
        <v>137</v>
      </c>
      <c r="B66" s="509" t="s">
        <v>138</v>
      </c>
      <c r="C66" s="332" t="s">
        <v>19</v>
      </c>
      <c r="D66" s="332" t="s">
        <v>19</v>
      </c>
      <c r="E66" s="269" t="s">
        <v>23</v>
      </c>
      <c r="F66" s="269" t="s">
        <v>23</v>
      </c>
      <c r="G66" s="233" t="s">
        <v>24</v>
      </c>
      <c r="H66" s="758"/>
      <c r="I66" s="758"/>
      <c r="J66" s="758"/>
      <c r="K66" s="758"/>
      <c r="L66" s="758"/>
      <c r="M66" s="758"/>
      <c r="N66" s="758"/>
      <c r="O66" s="758"/>
      <c r="P66" s="758"/>
      <c r="Q66" s="758"/>
      <c r="R66" s="758"/>
      <c r="S66" s="758"/>
      <c r="T66" s="758"/>
      <c r="U66" s="758"/>
      <c r="V66" s="758"/>
      <c r="W66" s="758"/>
      <c r="X66" s="758"/>
      <c r="Y66" s="758"/>
      <c r="Z66" s="758"/>
      <c r="AA66" s="758"/>
      <c r="AB66" s="758"/>
      <c r="AC66" s="758"/>
      <c r="AD66" s="758"/>
      <c r="AE66" s="758"/>
      <c r="AF66" s="758"/>
      <c r="AG66" s="776"/>
      <c r="AI66" s="227">
        <f>VLOOKUP(B66,'APR25'!$B:$AN,39,0)</f>
        <v>22</v>
      </c>
      <c r="AJ66" s="225">
        <f>COUNTIF(C66:AG66,"U")</f>
        <v>0</v>
      </c>
      <c r="AK66" s="230">
        <f>AI66-AJ66</f>
        <v>22</v>
      </c>
    </row>
    <row r="67" spans="1:37" ht="18.75" customHeight="1">
      <c r="A67" s="602" t="s">
        <v>133</v>
      </c>
      <c r="B67" s="509" t="s">
        <v>134</v>
      </c>
      <c r="C67" s="284" t="s">
        <v>83</v>
      </c>
      <c r="D67" s="284" t="s">
        <v>83</v>
      </c>
      <c r="E67" s="284" t="s">
        <v>83</v>
      </c>
      <c r="F67" s="284" t="s">
        <v>83</v>
      </c>
      <c r="G67" s="269" t="s">
        <v>23</v>
      </c>
      <c r="H67" s="269" t="s">
        <v>23</v>
      </c>
      <c r="I67" s="232" t="s">
        <v>22</v>
      </c>
      <c r="J67" s="232" t="s">
        <v>22</v>
      </c>
      <c r="K67" s="232" t="s">
        <v>22</v>
      </c>
      <c r="L67" s="232" t="s">
        <v>22</v>
      </c>
      <c r="M67" s="269" t="s">
        <v>23</v>
      </c>
      <c r="N67" s="269" t="s">
        <v>23</v>
      </c>
      <c r="O67" s="233" t="s">
        <v>24</v>
      </c>
      <c r="P67" s="233" t="s">
        <v>24</v>
      </c>
      <c r="Q67" s="233" t="s">
        <v>24</v>
      </c>
      <c r="R67" s="233" t="s">
        <v>24</v>
      </c>
      <c r="S67" s="269" t="s">
        <v>23</v>
      </c>
      <c r="T67" s="269" t="s">
        <v>23</v>
      </c>
      <c r="U67" s="284" t="s">
        <v>83</v>
      </c>
      <c r="V67" s="284" t="s">
        <v>83</v>
      </c>
      <c r="W67" s="284" t="s">
        <v>83</v>
      </c>
      <c r="X67" s="284" t="s">
        <v>83</v>
      </c>
      <c r="Y67" s="269" t="s">
        <v>23</v>
      </c>
      <c r="Z67" s="269" t="s">
        <v>23</v>
      </c>
      <c r="AA67" s="276" t="s">
        <v>103</v>
      </c>
      <c r="AB67" s="276" t="s">
        <v>103</v>
      </c>
      <c r="AC67" s="232" t="s">
        <v>22</v>
      </c>
      <c r="AD67" s="336" t="s">
        <v>19</v>
      </c>
      <c r="AE67" s="269" t="s">
        <v>23</v>
      </c>
      <c r="AF67" s="269" t="s">
        <v>23</v>
      </c>
      <c r="AG67" s="235" t="s">
        <v>22</v>
      </c>
      <c r="AI67" s="227">
        <f>VLOOKUP(B67,'APR25'!$B:$AN,39,0)</f>
        <v>16</v>
      </c>
      <c r="AJ67" s="225">
        <f t="shared" si="9"/>
        <v>0</v>
      </c>
      <c r="AK67" s="230">
        <f t="shared" si="10"/>
        <v>16</v>
      </c>
    </row>
    <row r="68" spans="1:37" ht="18.75" customHeight="1" thickBot="1">
      <c r="A68" s="680" t="s">
        <v>151</v>
      </c>
      <c r="B68" s="508" t="s">
        <v>152</v>
      </c>
      <c r="C68" s="279" t="s">
        <v>23</v>
      </c>
      <c r="D68" s="279" t="s">
        <v>23</v>
      </c>
      <c r="E68" s="223" t="s">
        <v>22</v>
      </c>
      <c r="F68" s="223" t="s">
        <v>22</v>
      </c>
      <c r="G68" s="223" t="s">
        <v>22</v>
      </c>
      <c r="H68" s="223" t="s">
        <v>22</v>
      </c>
      <c r="I68" s="279" t="s">
        <v>23</v>
      </c>
      <c r="J68" s="279" t="s">
        <v>23</v>
      </c>
      <c r="K68" s="237" t="s">
        <v>24</v>
      </c>
      <c r="L68" s="237" t="s">
        <v>24</v>
      </c>
      <c r="M68" s="237" t="s">
        <v>24</v>
      </c>
      <c r="N68" s="237" t="s">
        <v>24</v>
      </c>
      <c r="O68" s="279" t="s">
        <v>23</v>
      </c>
      <c r="P68" s="279" t="s">
        <v>23</v>
      </c>
      <c r="Q68" s="223" t="s">
        <v>22</v>
      </c>
      <c r="R68" s="223" t="s">
        <v>22</v>
      </c>
      <c r="S68" s="347" t="s">
        <v>83</v>
      </c>
      <c r="T68" s="347" t="s">
        <v>83</v>
      </c>
      <c r="U68" s="279" t="s">
        <v>23</v>
      </c>
      <c r="V68" s="279" t="s">
        <v>23</v>
      </c>
      <c r="W68" s="223" t="s">
        <v>22</v>
      </c>
      <c r="X68" s="223" t="s">
        <v>22</v>
      </c>
      <c r="Y68" s="223" t="s">
        <v>22</v>
      </c>
      <c r="Z68" s="223" t="s">
        <v>22</v>
      </c>
      <c r="AA68" s="279" t="s">
        <v>23</v>
      </c>
      <c r="AB68" s="279" t="s">
        <v>23</v>
      </c>
      <c r="AC68" s="237" t="s">
        <v>24</v>
      </c>
      <c r="AD68" s="237" t="s">
        <v>24</v>
      </c>
      <c r="AE68" s="237" t="s">
        <v>24</v>
      </c>
      <c r="AF68" s="237" t="s">
        <v>24</v>
      </c>
      <c r="AG68" s="282" t="s">
        <v>23</v>
      </c>
      <c r="AI68" s="241">
        <f>VLOOKUP(B68,'APR25'!$B:$AN,39,0)</f>
        <v>13</v>
      </c>
      <c r="AJ68" s="283">
        <f t="shared" si="9"/>
        <v>0</v>
      </c>
      <c r="AK68" s="288">
        <f t="shared" si="10"/>
        <v>13</v>
      </c>
    </row>
    <row r="69" spans="1:37" ht="9.9499999999999993" customHeight="1" thickBot="1">
      <c r="A69" s="1"/>
      <c r="B69" s="1"/>
    </row>
    <row r="70" spans="1:37" ht="18">
      <c r="A70" s="719" t="s">
        <v>125</v>
      </c>
      <c r="B70" s="720"/>
      <c r="C70" s="220">
        <f t="shared" ref="C70:Z70" si="11">COUNTIF(C53:C53,$A$70)+COUNTIF(C62:C65,$A$70)</f>
        <v>1</v>
      </c>
      <c r="D70" s="218">
        <f t="shared" si="11"/>
        <v>1</v>
      </c>
      <c r="E70" s="218">
        <f t="shared" si="11"/>
        <v>1</v>
      </c>
      <c r="F70" s="218">
        <f t="shared" si="11"/>
        <v>1</v>
      </c>
      <c r="G70" s="218">
        <f t="shared" si="11"/>
        <v>1</v>
      </c>
      <c r="H70" s="218">
        <f t="shared" si="11"/>
        <v>1</v>
      </c>
      <c r="I70" s="218">
        <f t="shared" si="11"/>
        <v>1</v>
      </c>
      <c r="J70" s="218">
        <f t="shared" si="11"/>
        <v>1</v>
      </c>
      <c r="K70" s="218">
        <f t="shared" si="11"/>
        <v>1</v>
      </c>
      <c r="L70" s="218">
        <f t="shared" si="11"/>
        <v>1</v>
      </c>
      <c r="M70" s="218">
        <f t="shared" si="11"/>
        <v>1</v>
      </c>
      <c r="N70" s="218">
        <f t="shared" si="11"/>
        <v>0</v>
      </c>
      <c r="O70" s="218">
        <f t="shared" si="11"/>
        <v>0</v>
      </c>
      <c r="P70" s="218">
        <f t="shared" si="11"/>
        <v>0</v>
      </c>
      <c r="Q70" s="218">
        <f t="shared" si="11"/>
        <v>1</v>
      </c>
      <c r="R70" s="218">
        <f t="shared" si="11"/>
        <v>1</v>
      </c>
      <c r="S70" s="218">
        <f t="shared" si="11"/>
        <v>1</v>
      </c>
      <c r="T70" s="218">
        <f t="shared" si="11"/>
        <v>1</v>
      </c>
      <c r="U70" s="218">
        <f t="shared" si="11"/>
        <v>0</v>
      </c>
      <c r="V70" s="218">
        <f t="shared" si="11"/>
        <v>0</v>
      </c>
      <c r="W70" s="218">
        <f t="shared" si="11"/>
        <v>0</v>
      </c>
      <c r="X70" s="218">
        <f t="shared" si="11"/>
        <v>1</v>
      </c>
      <c r="Y70" s="218">
        <f t="shared" si="11"/>
        <v>1</v>
      </c>
      <c r="Z70" s="218">
        <f t="shared" si="11"/>
        <v>1</v>
      </c>
      <c r="AA70" s="218">
        <f>COUNTIF(AA53:AA53,$A$70)+COUNTIF(AA62:AA68,$A$70)</f>
        <v>0</v>
      </c>
      <c r="AB70" s="218">
        <f>COUNTIF(AB53:AB53,$A$70)+COUNTIF(AB62:AB68,$A$70)</f>
        <v>0</v>
      </c>
      <c r="AC70" s="218">
        <f>COUNTIF(AC53:AC53,$A$70)+COUNTIF(AC62:AC65,$A$70)</f>
        <v>1</v>
      </c>
      <c r="AD70" s="218">
        <f>COUNTIF(AD53:AD53,$A$70)+COUNTIF(AD62:AD65,$A$70)</f>
        <v>1</v>
      </c>
      <c r="AE70" s="218">
        <f>COUNTIF(AE53:AE53,$A$70)+COUNTIF(AE62:AE65,$A$70)</f>
        <v>1</v>
      </c>
      <c r="AF70" s="218">
        <f>COUNTIF(AF53:AF53,$A$70)+COUNTIF(AF62:AF65,$A$70)</f>
        <v>1</v>
      </c>
      <c r="AG70" s="221">
        <f>COUNTIF(AG53:AG53,$A$70)+COUNTIF(AG62:AG65,$A$70)</f>
        <v>1</v>
      </c>
    </row>
    <row r="71" spans="1:37" ht="18">
      <c r="A71" s="729" t="s">
        <v>142</v>
      </c>
      <c r="B71" s="730"/>
      <c r="C71" s="227">
        <f t="shared" ref="C71:AG71" si="12">COUNTIF(C67:C68,"P04/")+COUNTIF(C67:C68,"H04/")</f>
        <v>0</v>
      </c>
      <c r="D71" s="225">
        <f t="shared" si="12"/>
        <v>0</v>
      </c>
      <c r="E71" s="225">
        <f t="shared" si="12"/>
        <v>0</v>
      </c>
      <c r="F71" s="225">
        <f t="shared" si="12"/>
        <v>0</v>
      </c>
      <c r="G71" s="225">
        <f t="shared" si="12"/>
        <v>0</v>
      </c>
      <c r="H71" s="225">
        <f t="shared" si="12"/>
        <v>0</v>
      </c>
      <c r="I71" s="225">
        <f t="shared" si="12"/>
        <v>0</v>
      </c>
      <c r="J71" s="225">
        <f t="shared" si="12"/>
        <v>0</v>
      </c>
      <c r="K71" s="225">
        <f t="shared" si="12"/>
        <v>0</v>
      </c>
      <c r="L71" s="225">
        <f t="shared" si="12"/>
        <v>0</v>
      </c>
      <c r="M71" s="225">
        <f t="shared" si="12"/>
        <v>0</v>
      </c>
      <c r="N71" s="225">
        <f t="shared" si="12"/>
        <v>0</v>
      </c>
      <c r="O71" s="225">
        <f t="shared" si="12"/>
        <v>0</v>
      </c>
      <c r="P71" s="225">
        <f t="shared" si="12"/>
        <v>0</v>
      </c>
      <c r="Q71" s="225">
        <f t="shared" si="12"/>
        <v>0</v>
      </c>
      <c r="R71" s="225">
        <f t="shared" si="12"/>
        <v>0</v>
      </c>
      <c r="S71" s="225">
        <f t="shared" si="12"/>
        <v>0</v>
      </c>
      <c r="T71" s="225">
        <f t="shared" si="12"/>
        <v>0</v>
      </c>
      <c r="U71" s="225">
        <f t="shared" si="12"/>
        <v>0</v>
      </c>
      <c r="V71" s="225">
        <f t="shared" si="12"/>
        <v>0</v>
      </c>
      <c r="W71" s="225">
        <f t="shared" si="12"/>
        <v>0</v>
      </c>
      <c r="X71" s="225">
        <f t="shared" si="12"/>
        <v>0</v>
      </c>
      <c r="Y71" s="225">
        <f t="shared" si="12"/>
        <v>0</v>
      </c>
      <c r="Z71" s="225">
        <f t="shared" si="12"/>
        <v>0</v>
      </c>
      <c r="AA71" s="225">
        <f t="shared" si="12"/>
        <v>0</v>
      </c>
      <c r="AB71" s="225">
        <f t="shared" si="12"/>
        <v>0</v>
      </c>
      <c r="AC71" s="225">
        <f t="shared" si="12"/>
        <v>0</v>
      </c>
      <c r="AD71" s="225">
        <f t="shared" si="12"/>
        <v>0</v>
      </c>
      <c r="AE71" s="225">
        <f t="shared" si="12"/>
        <v>0</v>
      </c>
      <c r="AF71" s="225">
        <f t="shared" si="12"/>
        <v>0</v>
      </c>
      <c r="AG71" s="230">
        <f t="shared" si="12"/>
        <v>0</v>
      </c>
    </row>
    <row r="72" spans="1:37" ht="18">
      <c r="A72" s="731" t="s">
        <v>136</v>
      </c>
      <c r="B72" s="732"/>
      <c r="C72" s="227">
        <f t="shared" ref="C72:AG72" si="13">COUNTIF(C67:C68,$A$72)</f>
        <v>0</v>
      </c>
      <c r="D72" s="225">
        <f t="shared" si="13"/>
        <v>0</v>
      </c>
      <c r="E72" s="225">
        <f t="shared" si="13"/>
        <v>0</v>
      </c>
      <c r="F72" s="225">
        <f t="shared" si="13"/>
        <v>0</v>
      </c>
      <c r="G72" s="225">
        <f t="shared" si="13"/>
        <v>0</v>
      </c>
      <c r="H72" s="225">
        <f t="shared" si="13"/>
        <v>0</v>
      </c>
      <c r="I72" s="225">
        <f t="shared" si="13"/>
        <v>0</v>
      </c>
      <c r="J72" s="225">
        <f t="shared" si="13"/>
        <v>0</v>
      </c>
      <c r="K72" s="225">
        <f t="shared" si="13"/>
        <v>0</v>
      </c>
      <c r="L72" s="225">
        <f t="shared" si="13"/>
        <v>0</v>
      </c>
      <c r="M72" s="225">
        <f t="shared" si="13"/>
        <v>0</v>
      </c>
      <c r="N72" s="225">
        <f t="shared" si="13"/>
        <v>0</v>
      </c>
      <c r="O72" s="225">
        <f t="shared" si="13"/>
        <v>0</v>
      </c>
      <c r="P72" s="225">
        <f t="shared" si="13"/>
        <v>0</v>
      </c>
      <c r="Q72" s="225">
        <f t="shared" si="13"/>
        <v>0</v>
      </c>
      <c r="R72" s="225">
        <f t="shared" si="13"/>
        <v>0</v>
      </c>
      <c r="S72" s="225">
        <f t="shared" si="13"/>
        <v>0</v>
      </c>
      <c r="T72" s="225">
        <f t="shared" si="13"/>
        <v>0</v>
      </c>
      <c r="U72" s="225">
        <f t="shared" si="13"/>
        <v>0</v>
      </c>
      <c r="V72" s="225">
        <f t="shared" si="13"/>
        <v>0</v>
      </c>
      <c r="W72" s="225">
        <f t="shared" si="13"/>
        <v>0</v>
      </c>
      <c r="X72" s="225">
        <f t="shared" si="13"/>
        <v>0</v>
      </c>
      <c r="Y72" s="225">
        <f t="shared" si="13"/>
        <v>0</v>
      </c>
      <c r="Z72" s="225">
        <f t="shared" si="13"/>
        <v>0</v>
      </c>
      <c r="AA72" s="225">
        <f t="shared" si="13"/>
        <v>0</v>
      </c>
      <c r="AB72" s="225">
        <f t="shared" si="13"/>
        <v>0</v>
      </c>
      <c r="AC72" s="225">
        <f t="shared" si="13"/>
        <v>0</v>
      </c>
      <c r="AD72" s="225">
        <f t="shared" si="13"/>
        <v>0</v>
      </c>
      <c r="AE72" s="225">
        <f t="shared" si="13"/>
        <v>0</v>
      </c>
      <c r="AF72" s="225">
        <f t="shared" si="13"/>
        <v>0</v>
      </c>
      <c r="AG72" s="230">
        <f t="shared" si="13"/>
        <v>0</v>
      </c>
    </row>
    <row r="73" spans="1:37" ht="18.75" thickBot="1">
      <c r="A73" s="733" t="s">
        <v>83</v>
      </c>
      <c r="B73" s="734"/>
      <c r="C73" s="241">
        <f t="shared" ref="C73:AG73" si="14">COUNTIF(C53:C53,$A$73)+COUNTIF(C62:C65,$A$73)</f>
        <v>0</v>
      </c>
      <c r="D73" s="283">
        <f t="shared" si="14"/>
        <v>0</v>
      </c>
      <c r="E73" s="283">
        <f t="shared" si="14"/>
        <v>0</v>
      </c>
      <c r="F73" s="283">
        <f t="shared" si="14"/>
        <v>0</v>
      </c>
      <c r="G73" s="283">
        <f t="shared" si="14"/>
        <v>0</v>
      </c>
      <c r="H73" s="283">
        <f t="shared" si="14"/>
        <v>0</v>
      </c>
      <c r="I73" s="283">
        <f t="shared" si="14"/>
        <v>0</v>
      </c>
      <c r="J73" s="283">
        <f t="shared" si="14"/>
        <v>0</v>
      </c>
      <c r="K73" s="283">
        <f t="shared" si="14"/>
        <v>1</v>
      </c>
      <c r="L73" s="283">
        <f t="shared" si="14"/>
        <v>1</v>
      </c>
      <c r="M73" s="283">
        <f t="shared" si="14"/>
        <v>1</v>
      </c>
      <c r="N73" s="283">
        <f t="shared" si="14"/>
        <v>1</v>
      </c>
      <c r="O73" s="283">
        <f t="shared" si="14"/>
        <v>1</v>
      </c>
      <c r="P73" s="283">
        <f t="shared" si="14"/>
        <v>1</v>
      </c>
      <c r="Q73" s="283">
        <f t="shared" si="14"/>
        <v>1</v>
      </c>
      <c r="R73" s="283">
        <f t="shared" si="14"/>
        <v>1</v>
      </c>
      <c r="S73" s="283">
        <f t="shared" si="14"/>
        <v>0</v>
      </c>
      <c r="T73" s="283">
        <f t="shared" si="14"/>
        <v>0</v>
      </c>
      <c r="U73" s="283">
        <f t="shared" si="14"/>
        <v>0</v>
      </c>
      <c r="V73" s="283">
        <f t="shared" si="14"/>
        <v>0</v>
      </c>
      <c r="W73" s="283">
        <f t="shared" si="14"/>
        <v>0</v>
      </c>
      <c r="X73" s="283">
        <f t="shared" si="14"/>
        <v>0</v>
      </c>
      <c r="Y73" s="283">
        <f t="shared" si="14"/>
        <v>1</v>
      </c>
      <c r="Z73" s="283">
        <f t="shared" si="14"/>
        <v>1</v>
      </c>
      <c r="AA73" s="283">
        <f t="shared" si="14"/>
        <v>1</v>
      </c>
      <c r="AB73" s="283">
        <f t="shared" si="14"/>
        <v>1</v>
      </c>
      <c r="AC73" s="283">
        <f t="shared" si="14"/>
        <v>1</v>
      </c>
      <c r="AD73" s="283">
        <f t="shared" si="14"/>
        <v>1</v>
      </c>
      <c r="AE73" s="283">
        <f t="shared" si="14"/>
        <v>1</v>
      </c>
      <c r="AF73" s="283">
        <f t="shared" si="14"/>
        <v>1</v>
      </c>
      <c r="AG73" s="288">
        <f t="shared" si="14"/>
        <v>0</v>
      </c>
    </row>
    <row r="76" spans="1:37">
      <c r="B76" s="922"/>
      <c r="C76" s="922"/>
      <c r="D76" s="922"/>
      <c r="E76" s="922"/>
      <c r="F76" s="922"/>
      <c r="G76" s="922"/>
      <c r="H76" s="922"/>
      <c r="I76" s="922"/>
      <c r="J76" s="922"/>
      <c r="K76" s="922"/>
      <c r="L76" s="922"/>
      <c r="M76" s="922"/>
      <c r="N76" s="922"/>
      <c r="O76" s="922"/>
      <c r="P76" s="922"/>
      <c r="Q76" s="922"/>
      <c r="R76" s="922"/>
      <c r="S76" s="922"/>
      <c r="T76" s="922"/>
      <c r="U76" s="922"/>
      <c r="V76" s="922"/>
      <c r="W76" s="922"/>
      <c r="X76" s="922"/>
      <c r="Y76" s="922"/>
      <c r="Z76" s="922"/>
      <c r="AA76" s="922"/>
      <c r="AB76" s="922"/>
      <c r="AC76" s="922"/>
      <c r="AD76" s="922"/>
      <c r="AE76" s="922"/>
      <c r="AF76" s="922"/>
      <c r="AG76" s="922"/>
      <c r="AH76" s="922"/>
      <c r="AI76" s="922"/>
      <c r="AJ76" s="922"/>
      <c r="AK76" s="922"/>
    </row>
  </sheetData>
  <mergeCells count="3">
    <mergeCell ref="AI3:AI4"/>
    <mergeCell ref="AJ3:AJ4"/>
    <mergeCell ref="AK3:AK4"/>
  </mergeCells>
  <conditionalFormatting sqref="C70:AG70">
    <cfRule type="cellIs" dxfId="33" priority="1" operator="equal">
      <formula>0</formula>
    </cfRule>
  </conditionalFormatting>
  <conditionalFormatting sqref="H59:AG59">
    <cfRule type="cellIs" dxfId="32" priority="4" operator="lessThan">
      <formula>1.5</formula>
    </cfRule>
    <cfRule type="cellIs" dxfId="31" priority="5" operator="lessThan">
      <formula>2.5</formula>
    </cfRule>
  </conditionalFormatting>
  <conditionalFormatting sqref="AH13:AH14">
    <cfRule type="cellIs" dxfId="30" priority="6" operator="equal">
      <formula>0</formula>
    </cfRule>
  </conditionalFormatting>
  <conditionalFormatting sqref="AH23:AH28">
    <cfRule type="cellIs" dxfId="29" priority="2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3FF8-FE98-4C2A-9D95-5CC5203ECE72}">
  <dimension ref="A1:AL71"/>
  <sheetViews>
    <sheetView showGridLines="0" zoomScale="70" zoomScaleNormal="70" workbookViewId="0">
      <pane xSplit="2" ySplit="4" topLeftCell="AA33" activePane="bottomRight" state="frozen"/>
      <selection pane="bottomRight" activeCell="C5" sqref="C5"/>
      <selection pane="bottomLeft" activeCell="C5" sqref="C5"/>
      <selection pane="topRight" activeCell="C5" sqref="C5"/>
    </sheetView>
  </sheetViews>
  <sheetFormatPr defaultColWidth="9.140625" defaultRowHeight="15"/>
  <cols>
    <col min="1" max="2" width="42.5703125" customWidth="1"/>
    <col min="3" max="11" width="9.140625" customWidth="1"/>
  </cols>
  <sheetData>
    <row r="1" spans="1:36" ht="20.100000000000001" customHeight="1" thickBot="1">
      <c r="A1" s="940" t="s">
        <v>0</v>
      </c>
      <c r="B1" s="584" t="s">
        <v>0</v>
      </c>
      <c r="C1" s="702" t="s">
        <v>1</v>
      </c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  <c r="Y1" s="703"/>
      <c r="Z1" s="703"/>
      <c r="AA1" s="703"/>
      <c r="AB1" s="703"/>
      <c r="AC1" s="703"/>
      <c r="AD1" s="703"/>
      <c r="AE1" s="703"/>
      <c r="AF1" s="704"/>
    </row>
    <row r="2" spans="1:36" ht="30" customHeight="1" thickBot="1">
      <c r="A2" s="588" t="s">
        <v>2</v>
      </c>
      <c r="B2" s="552"/>
      <c r="C2" s="571" t="s">
        <v>185</v>
      </c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2"/>
      <c r="AB2" s="572"/>
      <c r="AC2" s="572"/>
      <c r="AD2" s="572"/>
      <c r="AE2" s="572"/>
      <c r="AF2" s="735"/>
      <c r="AH2" s="618" t="s">
        <v>5</v>
      </c>
      <c r="AI2" s="619"/>
      <c r="AJ2" s="620"/>
    </row>
    <row r="3" spans="1:36" ht="24.95" customHeight="1">
      <c r="A3" s="590" t="s">
        <v>0</v>
      </c>
      <c r="B3" s="464" t="s">
        <v>0</v>
      </c>
      <c r="C3" s="705" t="s">
        <v>10</v>
      </c>
      <c r="D3" s="630" t="s">
        <v>11</v>
      </c>
      <c r="E3" s="630" t="s">
        <v>12</v>
      </c>
      <c r="F3" s="630" t="s">
        <v>6</v>
      </c>
      <c r="G3" s="630" t="s">
        <v>7</v>
      </c>
      <c r="H3" s="630" t="s">
        <v>8</v>
      </c>
      <c r="I3" s="705" t="s">
        <v>9</v>
      </c>
      <c r="J3" s="705" t="s">
        <v>10</v>
      </c>
      <c r="K3" s="630" t="s">
        <v>11</v>
      </c>
      <c r="L3" s="707" t="s">
        <v>12</v>
      </c>
      <c r="M3" s="630" t="s">
        <v>6</v>
      </c>
      <c r="N3" s="630" t="s">
        <v>7</v>
      </c>
      <c r="O3" s="630" t="s">
        <v>8</v>
      </c>
      <c r="P3" s="705" t="s">
        <v>9</v>
      </c>
      <c r="Q3" s="705" t="s">
        <v>10</v>
      </c>
      <c r="R3" s="630" t="s">
        <v>11</v>
      </c>
      <c r="S3" s="630" t="s">
        <v>12</v>
      </c>
      <c r="T3" s="630" t="s">
        <v>6</v>
      </c>
      <c r="U3" s="707" t="s">
        <v>7</v>
      </c>
      <c r="V3" s="630" t="s">
        <v>8</v>
      </c>
      <c r="W3" s="705" t="s">
        <v>9</v>
      </c>
      <c r="X3" s="705" t="s">
        <v>10</v>
      </c>
      <c r="Y3" s="630" t="s">
        <v>11</v>
      </c>
      <c r="Z3" s="707" t="s">
        <v>12</v>
      </c>
      <c r="AA3" s="630" t="s">
        <v>6</v>
      </c>
      <c r="AB3" s="630" t="s">
        <v>7</v>
      </c>
      <c r="AC3" s="630" t="s">
        <v>8</v>
      </c>
      <c r="AD3" s="705" t="s">
        <v>9</v>
      </c>
      <c r="AE3" s="705" t="s">
        <v>10</v>
      </c>
      <c r="AF3" s="685" t="s">
        <v>11</v>
      </c>
      <c r="AH3" s="1401">
        <v>2025</v>
      </c>
      <c r="AI3" s="1397" t="s">
        <v>13</v>
      </c>
      <c r="AJ3" s="1399" t="s">
        <v>14</v>
      </c>
    </row>
    <row r="4" spans="1:36" ht="24.95" customHeight="1" thickBot="1">
      <c r="A4" s="591" t="s">
        <v>15</v>
      </c>
      <c r="B4" s="466" t="s">
        <v>16</v>
      </c>
      <c r="C4" s="705">
        <v>1</v>
      </c>
      <c r="D4" s="630">
        <v>2</v>
      </c>
      <c r="E4" s="630">
        <v>3</v>
      </c>
      <c r="F4" s="630">
        <v>4</v>
      </c>
      <c r="G4" s="630">
        <v>5</v>
      </c>
      <c r="H4" s="630">
        <v>6</v>
      </c>
      <c r="I4" s="705">
        <v>7</v>
      </c>
      <c r="J4" s="705">
        <v>8</v>
      </c>
      <c r="K4" s="630">
        <v>9</v>
      </c>
      <c r="L4" s="707">
        <v>10</v>
      </c>
      <c r="M4" s="630">
        <v>11</v>
      </c>
      <c r="N4" s="630">
        <v>12</v>
      </c>
      <c r="O4" s="630">
        <v>13</v>
      </c>
      <c r="P4" s="705">
        <v>14</v>
      </c>
      <c r="Q4" s="705">
        <v>15</v>
      </c>
      <c r="R4" s="630">
        <v>16</v>
      </c>
      <c r="S4" s="630">
        <v>17</v>
      </c>
      <c r="T4" s="630">
        <v>18</v>
      </c>
      <c r="U4" s="707">
        <v>19</v>
      </c>
      <c r="V4" s="630">
        <v>20</v>
      </c>
      <c r="W4" s="705">
        <v>21</v>
      </c>
      <c r="X4" s="705">
        <v>22</v>
      </c>
      <c r="Y4" s="630">
        <v>23</v>
      </c>
      <c r="Z4" s="707">
        <v>24</v>
      </c>
      <c r="AA4" s="630">
        <v>25</v>
      </c>
      <c r="AB4" s="630">
        <v>26</v>
      </c>
      <c r="AC4" s="630">
        <v>27</v>
      </c>
      <c r="AD4" s="705">
        <v>28</v>
      </c>
      <c r="AE4" s="705">
        <v>29</v>
      </c>
      <c r="AF4" s="685">
        <v>30</v>
      </c>
      <c r="AH4" s="1402"/>
      <c r="AI4" s="1398"/>
      <c r="AJ4" s="1400"/>
    </row>
    <row r="5" spans="1:36" ht="18.75" customHeight="1">
      <c r="A5" s="718" t="s">
        <v>17</v>
      </c>
      <c r="B5" s="695" t="s">
        <v>18</v>
      </c>
      <c r="C5" s="336" t="s">
        <v>19</v>
      </c>
      <c r="D5" s="336" t="s">
        <v>19</v>
      </c>
      <c r="E5" s="336" t="s">
        <v>19</v>
      </c>
      <c r="F5" s="336" t="s">
        <v>19</v>
      </c>
      <c r="G5" s="336" t="s">
        <v>19</v>
      </c>
      <c r="H5" s="336" t="s">
        <v>19</v>
      </c>
      <c r="I5" s="336" t="s">
        <v>19</v>
      </c>
      <c r="J5" s="336" t="s">
        <v>19</v>
      </c>
      <c r="K5" s="336" t="s">
        <v>19</v>
      </c>
      <c r="L5" s="336" t="s">
        <v>19</v>
      </c>
      <c r="M5" s="336" t="s">
        <v>19</v>
      </c>
      <c r="N5" s="336" t="s">
        <v>19</v>
      </c>
      <c r="O5" s="336" t="s">
        <v>19</v>
      </c>
      <c r="P5" s="336" t="s">
        <v>19</v>
      </c>
      <c r="Q5" s="336" t="s">
        <v>19</v>
      </c>
      <c r="R5" s="336" t="s">
        <v>19</v>
      </c>
      <c r="S5" s="336" t="s">
        <v>19</v>
      </c>
      <c r="T5" s="336" t="s">
        <v>19</v>
      </c>
      <c r="U5" s="336" t="s">
        <v>19</v>
      </c>
      <c r="V5" s="336" t="s">
        <v>19</v>
      </c>
      <c r="W5" s="336" t="s">
        <v>19</v>
      </c>
      <c r="X5" s="336" t="s">
        <v>19</v>
      </c>
      <c r="Y5" s="336" t="s">
        <v>19</v>
      </c>
      <c r="Z5" s="336" t="s">
        <v>19</v>
      </c>
      <c r="AA5" s="336" t="s">
        <v>19</v>
      </c>
      <c r="AB5" s="336" t="s">
        <v>19</v>
      </c>
      <c r="AC5" s="336" t="s">
        <v>19</v>
      </c>
      <c r="AD5" s="336" t="s">
        <v>19</v>
      </c>
      <c r="AE5" s="336" t="s">
        <v>19</v>
      </c>
      <c r="AF5" s="351" t="s">
        <v>19</v>
      </c>
      <c r="AH5" s="220">
        <f>VLOOKUP(B5,'MAY25'!$B:$AK,36,0)</f>
        <v>22</v>
      </c>
      <c r="AI5" s="218">
        <f>COUNTIF(C5:AF5,"U")</f>
        <v>0</v>
      </c>
      <c r="AJ5" s="221">
        <f>AH5-AI5</f>
        <v>22</v>
      </c>
    </row>
    <row r="6" spans="1:36" ht="18.75" customHeight="1">
      <c r="A6" s="718" t="s">
        <v>20</v>
      </c>
      <c r="B6" s="695" t="s">
        <v>21</v>
      </c>
      <c r="C6" s="270" t="s">
        <v>23</v>
      </c>
      <c r="D6" s="270" t="s">
        <v>23</v>
      </c>
      <c r="E6" s="232" t="s">
        <v>22</v>
      </c>
      <c r="F6" s="232" t="s">
        <v>22</v>
      </c>
      <c r="G6" s="232" t="s">
        <v>22</v>
      </c>
      <c r="H6" s="232" t="s">
        <v>22</v>
      </c>
      <c r="I6" s="270" t="s">
        <v>23</v>
      </c>
      <c r="J6" s="270" t="s">
        <v>23</v>
      </c>
      <c r="K6" s="92" t="s">
        <v>34</v>
      </c>
      <c r="L6" s="708" t="s">
        <v>30</v>
      </c>
      <c r="M6" s="92" t="s">
        <v>34</v>
      </c>
      <c r="N6" s="92" t="s">
        <v>34</v>
      </c>
      <c r="O6" s="270" t="s">
        <v>23</v>
      </c>
      <c r="P6" s="270" t="s">
        <v>23</v>
      </c>
      <c r="Q6" s="232" t="s">
        <v>22</v>
      </c>
      <c r="R6" s="232" t="s">
        <v>22</v>
      </c>
      <c r="S6" s="232" t="s">
        <v>22</v>
      </c>
      <c r="T6" s="232" t="s">
        <v>22</v>
      </c>
      <c r="U6" s="232" t="s">
        <v>100</v>
      </c>
      <c r="V6" s="270" t="s">
        <v>23</v>
      </c>
      <c r="W6" s="270" t="s">
        <v>23</v>
      </c>
      <c r="X6" s="111" t="s">
        <v>24</v>
      </c>
      <c r="Y6" s="111" t="s">
        <v>24</v>
      </c>
      <c r="Z6" s="111" t="s">
        <v>24</v>
      </c>
      <c r="AA6" s="270" t="s">
        <v>23</v>
      </c>
      <c r="AB6" s="270" t="s">
        <v>23</v>
      </c>
      <c r="AC6" s="266" t="s">
        <v>63</v>
      </c>
      <c r="AD6" s="266" t="s">
        <v>63</v>
      </c>
      <c r="AE6" s="266" t="s">
        <v>63</v>
      </c>
      <c r="AF6" s="263" t="s">
        <v>63</v>
      </c>
      <c r="AH6" s="227">
        <f>VLOOKUP(B6,'MAY25'!$B:$AK,36,0)</f>
        <v>16</v>
      </c>
      <c r="AI6" s="225">
        <f>COUNTIF(C6:AF6,"U")</f>
        <v>3</v>
      </c>
      <c r="AJ6" s="230">
        <f>AH6-AI6</f>
        <v>13</v>
      </c>
    </row>
    <row r="7" spans="1:36" ht="18.75" customHeight="1">
      <c r="A7" s="602" t="s">
        <v>26</v>
      </c>
      <c r="B7" s="509" t="s">
        <v>27</v>
      </c>
      <c r="C7" s="6" t="s">
        <v>22</v>
      </c>
      <c r="D7" s="6" t="s">
        <v>22</v>
      </c>
      <c r="E7" s="29" t="s">
        <v>23</v>
      </c>
      <c r="F7" s="29" t="s">
        <v>23</v>
      </c>
      <c r="G7" s="111" t="s">
        <v>24</v>
      </c>
      <c r="H7" s="111" t="s">
        <v>24</v>
      </c>
      <c r="I7" s="111" t="s">
        <v>24</v>
      </c>
      <c r="J7" s="111" t="s">
        <v>24</v>
      </c>
      <c r="K7" s="29" t="s">
        <v>23</v>
      </c>
      <c r="L7" s="87" t="s">
        <v>53</v>
      </c>
      <c r="M7" s="87" t="s">
        <v>148</v>
      </c>
      <c r="N7" s="6" t="s">
        <v>22</v>
      </c>
      <c r="O7" s="6" t="s">
        <v>22</v>
      </c>
      <c r="P7" s="231" t="s">
        <v>23</v>
      </c>
      <c r="Q7" s="231" t="s">
        <v>23</v>
      </c>
      <c r="R7" s="231" t="s">
        <v>23</v>
      </c>
      <c r="S7" s="92" t="s">
        <v>34</v>
      </c>
      <c r="T7" s="92" t="s">
        <v>34</v>
      </c>
      <c r="U7" s="304" t="s">
        <v>30</v>
      </c>
      <c r="V7" s="92" t="s">
        <v>34</v>
      </c>
      <c r="W7" s="231" t="s">
        <v>23</v>
      </c>
      <c r="X7" s="231" t="s">
        <v>23</v>
      </c>
      <c r="Y7" s="92" t="s">
        <v>34</v>
      </c>
      <c r="Z7" s="304" t="s">
        <v>30</v>
      </c>
      <c r="AA7" s="111" t="s">
        <v>24</v>
      </c>
      <c r="AB7" s="111" t="s">
        <v>24</v>
      </c>
      <c r="AC7" s="272" t="s">
        <v>146</v>
      </c>
      <c r="AD7" s="29" t="s">
        <v>23</v>
      </c>
      <c r="AE7" s="29" t="s">
        <v>23</v>
      </c>
      <c r="AF7" s="9" t="s">
        <v>22</v>
      </c>
      <c r="AH7" s="227">
        <f>VLOOKUP(B7,'MAY25'!$B:$AK,36,0)</f>
        <v>10</v>
      </c>
      <c r="AI7" s="225">
        <f>COUNTIF(C7:AF7,"U")</f>
        <v>4</v>
      </c>
      <c r="AJ7" s="230">
        <f>AH7-AI7</f>
        <v>6</v>
      </c>
    </row>
    <row r="8" spans="1:36" ht="18.75" customHeight="1">
      <c r="A8" s="602" t="s">
        <v>28</v>
      </c>
      <c r="B8" s="509" t="s">
        <v>29</v>
      </c>
      <c r="C8" s="29" t="s">
        <v>23</v>
      </c>
      <c r="D8" s="29" t="s">
        <v>23</v>
      </c>
      <c r="E8" s="370" t="s">
        <v>23</v>
      </c>
      <c r="F8" s="6" t="s">
        <v>22</v>
      </c>
      <c r="G8" s="6" t="s">
        <v>22</v>
      </c>
      <c r="H8" s="6" t="s">
        <v>22</v>
      </c>
      <c r="I8" s="29" t="s">
        <v>23</v>
      </c>
      <c r="J8" s="29" t="s">
        <v>23</v>
      </c>
      <c r="K8" s="111" t="s">
        <v>24</v>
      </c>
      <c r="L8" s="111" t="s">
        <v>24</v>
      </c>
      <c r="M8" s="111" t="s">
        <v>24</v>
      </c>
      <c r="N8" s="111" t="s">
        <v>24</v>
      </c>
      <c r="O8" s="29" t="s">
        <v>23</v>
      </c>
      <c r="P8" s="6" t="s">
        <v>22</v>
      </c>
      <c r="Q8" s="6" t="s">
        <v>22</v>
      </c>
      <c r="R8" s="6" t="s">
        <v>22</v>
      </c>
      <c r="S8" s="6" t="s">
        <v>22</v>
      </c>
      <c r="T8" s="92" t="s">
        <v>34</v>
      </c>
      <c r="U8" s="29" t="s">
        <v>23</v>
      </c>
      <c r="V8" s="29" t="s">
        <v>23</v>
      </c>
      <c r="W8" s="111" t="s">
        <v>24</v>
      </c>
      <c r="X8" s="111" t="s">
        <v>24</v>
      </c>
      <c r="Y8" s="111" t="s">
        <v>24</v>
      </c>
      <c r="Z8" s="111" t="s">
        <v>24</v>
      </c>
      <c r="AA8" s="29" t="s">
        <v>23</v>
      </c>
      <c r="AB8" s="29" t="s">
        <v>23</v>
      </c>
      <c r="AC8" s="6" t="s">
        <v>22</v>
      </c>
      <c r="AD8" s="6" t="s">
        <v>22</v>
      </c>
      <c r="AE8" s="6" t="s">
        <v>22</v>
      </c>
      <c r="AF8" s="9" t="s">
        <v>22</v>
      </c>
      <c r="AH8" s="227">
        <f>VLOOKUP(B8,'MAY25'!$B:$AK,36,0)</f>
        <v>18</v>
      </c>
      <c r="AI8" s="225">
        <f t="shared" ref="AI8:AI9" si="0">COUNTIF(C8:AF8,"U")</f>
        <v>1</v>
      </c>
      <c r="AJ8" s="230">
        <f t="shared" ref="AJ8:AJ9" si="1">AH8-AI8</f>
        <v>17</v>
      </c>
    </row>
    <row r="9" spans="1:36" ht="18.75" customHeight="1">
      <c r="A9" s="602" t="s">
        <v>32</v>
      </c>
      <c r="B9" s="509" t="s">
        <v>33</v>
      </c>
      <c r="C9" s="111" t="s">
        <v>24</v>
      </c>
      <c r="D9" s="111" t="s">
        <v>24</v>
      </c>
      <c r="E9" s="111" t="s">
        <v>24</v>
      </c>
      <c r="F9" s="111" t="s">
        <v>24</v>
      </c>
      <c r="G9" s="29" t="s">
        <v>23</v>
      </c>
      <c r="H9" s="29" t="s">
        <v>23</v>
      </c>
      <c r="I9" s="111" t="s">
        <v>24</v>
      </c>
      <c r="J9" s="111" t="s">
        <v>24</v>
      </c>
      <c r="K9" s="111" t="s">
        <v>24</v>
      </c>
      <c r="L9" s="111" t="s">
        <v>24</v>
      </c>
      <c r="M9" s="29" t="s">
        <v>23</v>
      </c>
      <c r="N9" s="29" t="s">
        <v>23</v>
      </c>
      <c r="O9" s="6" t="s">
        <v>22</v>
      </c>
      <c r="P9" s="6" t="s">
        <v>22</v>
      </c>
      <c r="Q9" s="6" t="s">
        <v>22</v>
      </c>
      <c r="R9" s="6" t="s">
        <v>22</v>
      </c>
      <c r="S9" s="29" t="s">
        <v>23</v>
      </c>
      <c r="T9" s="29" t="s">
        <v>23</v>
      </c>
      <c r="U9" s="111" t="s">
        <v>24</v>
      </c>
      <c r="V9" s="111" t="s">
        <v>24</v>
      </c>
      <c r="W9" s="111" t="s">
        <v>24</v>
      </c>
      <c r="X9" s="111" t="s">
        <v>24</v>
      </c>
      <c r="Y9" s="29" t="s">
        <v>23</v>
      </c>
      <c r="Z9" s="29" t="s">
        <v>23</v>
      </c>
      <c r="AA9" s="6" t="s">
        <v>22</v>
      </c>
      <c r="AB9" s="6" t="s">
        <v>22</v>
      </c>
      <c r="AC9" s="6" t="s">
        <v>22</v>
      </c>
      <c r="AD9" s="6" t="s">
        <v>22</v>
      </c>
      <c r="AE9" s="29" t="s">
        <v>23</v>
      </c>
      <c r="AF9" s="78" t="s">
        <v>23</v>
      </c>
      <c r="AH9" s="227">
        <f>VLOOKUP(B9,'MAY25'!$B:$AK,36,0)</f>
        <v>10</v>
      </c>
      <c r="AI9" s="225">
        <f t="shared" si="0"/>
        <v>0</v>
      </c>
      <c r="AJ9" s="230">
        <f t="shared" si="1"/>
        <v>10</v>
      </c>
    </row>
    <row r="10" spans="1:36" ht="18.75" customHeight="1">
      <c r="A10" s="602" t="s">
        <v>35</v>
      </c>
      <c r="B10" s="509" t="s">
        <v>36</v>
      </c>
      <c r="C10" s="6" t="s">
        <v>22</v>
      </c>
      <c r="D10" s="6" t="s">
        <v>22</v>
      </c>
      <c r="E10" s="29" t="s">
        <v>23</v>
      </c>
      <c r="F10" s="29" t="s">
        <v>23</v>
      </c>
      <c r="G10" s="6" t="s">
        <v>22</v>
      </c>
      <c r="H10" s="6" t="s">
        <v>22</v>
      </c>
      <c r="I10" s="6" t="s">
        <v>22</v>
      </c>
      <c r="J10" s="6" t="s">
        <v>22</v>
      </c>
      <c r="K10" s="29" t="s">
        <v>23</v>
      </c>
      <c r="L10" s="29" t="s">
        <v>23</v>
      </c>
      <c r="M10" s="92" t="s">
        <v>34</v>
      </c>
      <c r="N10" s="92" t="s">
        <v>34</v>
      </c>
      <c r="O10" s="92" t="s">
        <v>34</v>
      </c>
      <c r="P10" s="92" t="s">
        <v>34</v>
      </c>
      <c r="Q10" s="29" t="s">
        <v>23</v>
      </c>
      <c r="R10" s="29" t="s">
        <v>23</v>
      </c>
      <c r="S10" s="111" t="s">
        <v>24</v>
      </c>
      <c r="T10" s="111" t="s">
        <v>24</v>
      </c>
      <c r="U10" s="111" t="s">
        <v>24</v>
      </c>
      <c r="V10" s="111" t="s">
        <v>24</v>
      </c>
      <c r="W10" s="29" t="s">
        <v>23</v>
      </c>
      <c r="X10" s="6" t="s">
        <v>22</v>
      </c>
      <c r="Y10" s="6" t="s">
        <v>22</v>
      </c>
      <c r="Z10" s="6" t="s">
        <v>22</v>
      </c>
      <c r="AA10" s="6" t="s">
        <v>22</v>
      </c>
      <c r="AB10" s="29" t="s">
        <v>23</v>
      </c>
      <c r="AC10" s="29" t="s">
        <v>23</v>
      </c>
      <c r="AD10" s="29" t="s">
        <v>23</v>
      </c>
      <c r="AE10" s="111" t="s">
        <v>24</v>
      </c>
      <c r="AF10" s="119" t="s">
        <v>24</v>
      </c>
      <c r="AH10" s="227">
        <f>VLOOKUP(B10,'MAY25'!$B:$AK,36,0)</f>
        <v>17</v>
      </c>
      <c r="AI10" s="225">
        <f>COUNTIF(C10:AF10,"U")</f>
        <v>4</v>
      </c>
      <c r="AJ10" s="230">
        <f>AH10-AI10</f>
        <v>13</v>
      </c>
    </row>
    <row r="11" spans="1:36" ht="18.75" customHeight="1">
      <c r="A11" s="602" t="s">
        <v>37</v>
      </c>
      <c r="B11" s="509" t="s">
        <v>38</v>
      </c>
      <c r="C11" s="29" t="s">
        <v>23</v>
      </c>
      <c r="D11" s="29" t="s">
        <v>23</v>
      </c>
      <c r="E11" s="111" t="s">
        <v>24</v>
      </c>
      <c r="F11" s="111" t="s">
        <v>24</v>
      </c>
      <c r="G11" s="111" t="s">
        <v>24</v>
      </c>
      <c r="H11" s="111" t="s">
        <v>24</v>
      </c>
      <c r="I11" s="29" t="s">
        <v>23</v>
      </c>
      <c r="J11" s="29" t="s">
        <v>23</v>
      </c>
      <c r="K11" s="6" t="s">
        <v>22</v>
      </c>
      <c r="L11" s="6" t="s">
        <v>22</v>
      </c>
      <c r="M11" s="6" t="s">
        <v>22</v>
      </c>
      <c r="N11" s="6" t="s">
        <v>22</v>
      </c>
      <c r="O11" s="29" t="s">
        <v>23</v>
      </c>
      <c r="P11" s="29" t="s">
        <v>23</v>
      </c>
      <c r="Q11" s="111" t="s">
        <v>24</v>
      </c>
      <c r="R11" s="111" t="s">
        <v>24</v>
      </c>
      <c r="S11" s="111" t="s">
        <v>24</v>
      </c>
      <c r="T11" s="111" t="s">
        <v>24</v>
      </c>
      <c r="U11" s="29" t="s">
        <v>23</v>
      </c>
      <c r="V11" s="29" t="s">
        <v>23</v>
      </c>
      <c r="W11" s="266" t="s">
        <v>63</v>
      </c>
      <c r="X11" s="266" t="s">
        <v>63</v>
      </c>
      <c r="Y11" s="266" t="s">
        <v>63</v>
      </c>
      <c r="Z11" s="266" t="s">
        <v>63</v>
      </c>
      <c r="AA11" s="29" t="s">
        <v>23</v>
      </c>
      <c r="AB11" s="29" t="s">
        <v>23</v>
      </c>
      <c r="AC11" s="111" t="s">
        <v>24</v>
      </c>
      <c r="AD11" s="111" t="s">
        <v>24</v>
      </c>
      <c r="AE11" s="272" t="s">
        <v>146</v>
      </c>
      <c r="AF11" s="93" t="s">
        <v>34</v>
      </c>
      <c r="AH11" s="227">
        <f>VLOOKUP(B11,'MAY25'!$B:$AK,36,0)</f>
        <v>18</v>
      </c>
      <c r="AI11" s="225">
        <f>COUNTIF(C11:AF11,"U")</f>
        <v>1</v>
      </c>
      <c r="AJ11" s="230">
        <f>AH11-AI11</f>
        <v>17</v>
      </c>
    </row>
    <row r="12" spans="1:36" ht="19.5" customHeight="1" thickBot="1">
      <c r="A12" s="680" t="s">
        <v>43</v>
      </c>
      <c r="B12" s="508" t="s">
        <v>44</v>
      </c>
      <c r="C12" s="116" t="s">
        <v>24</v>
      </c>
      <c r="D12" s="116" t="s">
        <v>24</v>
      </c>
      <c r="E12" s="116" t="s">
        <v>24</v>
      </c>
      <c r="F12" s="116" t="s">
        <v>24</v>
      </c>
      <c r="G12" s="83" t="s">
        <v>23</v>
      </c>
      <c r="H12" s="83" t="s">
        <v>23</v>
      </c>
      <c r="I12" s="15" t="s">
        <v>22</v>
      </c>
      <c r="J12" s="15" t="s">
        <v>22</v>
      </c>
      <c r="K12" s="15" t="s">
        <v>22</v>
      </c>
      <c r="L12" s="15" t="s">
        <v>22</v>
      </c>
      <c r="M12" s="83" t="s">
        <v>23</v>
      </c>
      <c r="N12" s="83" t="s">
        <v>23</v>
      </c>
      <c r="O12" s="116" t="s">
        <v>24</v>
      </c>
      <c r="P12" s="116" t="s">
        <v>24</v>
      </c>
      <c r="Q12" s="116" t="s">
        <v>24</v>
      </c>
      <c r="R12" s="116" t="s">
        <v>24</v>
      </c>
      <c r="S12" s="83" t="s">
        <v>23</v>
      </c>
      <c r="T12" s="83" t="s">
        <v>23</v>
      </c>
      <c r="U12" s="15" t="s">
        <v>22</v>
      </c>
      <c r="V12" s="15" t="s">
        <v>22</v>
      </c>
      <c r="W12" s="15" t="s">
        <v>22</v>
      </c>
      <c r="X12" s="15" t="s">
        <v>22</v>
      </c>
      <c r="Y12" s="83" t="s">
        <v>23</v>
      </c>
      <c r="Z12" s="83" t="s">
        <v>23</v>
      </c>
      <c r="AA12" s="116" t="s">
        <v>24</v>
      </c>
      <c r="AB12" s="116" t="s">
        <v>24</v>
      </c>
      <c r="AC12" s="116" t="s">
        <v>24</v>
      </c>
      <c r="AD12" s="116" t="s">
        <v>24</v>
      </c>
      <c r="AE12" s="83" t="s">
        <v>23</v>
      </c>
      <c r="AF12" s="84" t="s">
        <v>23</v>
      </c>
      <c r="AH12" s="241">
        <f>VLOOKUP(B12,'MAY25'!$B:$AK,36,0)</f>
        <v>7</v>
      </c>
      <c r="AI12" s="283">
        <f>COUNTIF(C12:AF12,"U")</f>
        <v>0</v>
      </c>
      <c r="AJ12" s="288">
        <f>AH12-AI12</f>
        <v>7</v>
      </c>
    </row>
    <row r="13" spans="1:36" ht="20.100000000000001" customHeight="1" thickBot="1">
      <c r="A13" s="302"/>
      <c r="B13" s="302"/>
      <c r="C13" s="303"/>
      <c r="D13" s="303"/>
      <c r="E13" s="303"/>
      <c r="F13" s="303"/>
      <c r="G13" s="244"/>
      <c r="H13" s="244"/>
      <c r="I13" s="244"/>
      <c r="J13" s="244"/>
      <c r="K13" s="244"/>
      <c r="L13" s="244"/>
      <c r="M13" s="244"/>
      <c r="N13" s="244"/>
      <c r="O13" s="303"/>
      <c r="P13" s="303"/>
      <c r="Q13" s="303"/>
      <c r="R13" s="303"/>
      <c r="S13" s="244"/>
      <c r="T13" s="244"/>
      <c r="U13" s="244"/>
      <c r="V13" s="244"/>
      <c r="W13" s="244"/>
      <c r="X13" s="244"/>
      <c r="Y13" s="244"/>
      <c r="Z13" s="244"/>
      <c r="AA13" s="303"/>
      <c r="AB13" s="303"/>
      <c r="AC13" s="303"/>
      <c r="AD13" s="303"/>
      <c r="AE13" s="244"/>
      <c r="AF13" s="244"/>
      <c r="AH13" s="247"/>
      <c r="AI13" s="247"/>
      <c r="AJ13" s="247"/>
    </row>
    <row r="14" spans="1:36" ht="24.95" customHeight="1" thickBot="1">
      <c r="A14" s="581" t="s">
        <v>154</v>
      </c>
      <c r="B14" s="514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650"/>
      <c r="AE14" s="650"/>
      <c r="AF14" s="651"/>
      <c r="AH14" s="247"/>
      <c r="AI14" s="247"/>
      <c r="AJ14" s="247"/>
    </row>
    <row r="15" spans="1:36" ht="19.5" customHeight="1">
      <c r="A15" s="566" t="s">
        <v>155</v>
      </c>
      <c r="B15" s="582" t="s">
        <v>156</v>
      </c>
      <c r="C15" s="370" t="s">
        <v>23</v>
      </c>
      <c r="D15" s="373" t="s">
        <v>22</v>
      </c>
      <c r="E15" s="373" t="s">
        <v>22</v>
      </c>
      <c r="F15" s="373" t="s">
        <v>22</v>
      </c>
      <c r="G15" s="373" t="s">
        <v>22</v>
      </c>
      <c r="H15" s="373" t="s">
        <v>22</v>
      </c>
      <c r="I15" s="370" t="s">
        <v>23</v>
      </c>
      <c r="J15" s="370" t="s">
        <v>23</v>
      </c>
      <c r="K15" s="369" t="s">
        <v>24</v>
      </c>
      <c r="L15" s="369" t="s">
        <v>24</v>
      </c>
      <c r="M15" s="369" t="s">
        <v>24</v>
      </c>
      <c r="N15" s="369" t="s">
        <v>24</v>
      </c>
      <c r="O15" s="370" t="s">
        <v>23</v>
      </c>
      <c r="P15" s="370" t="s">
        <v>23</v>
      </c>
      <c r="Q15" s="661" t="s">
        <v>34</v>
      </c>
      <c r="R15" s="661" t="s">
        <v>34</v>
      </c>
      <c r="S15" s="661" t="s">
        <v>34</v>
      </c>
      <c r="T15" s="661" t="s">
        <v>34</v>
      </c>
      <c r="U15" s="558" t="s">
        <v>23</v>
      </c>
      <c r="V15" s="558" t="s">
        <v>23</v>
      </c>
      <c r="W15" s="661" t="s">
        <v>34</v>
      </c>
      <c r="X15" s="661" t="s">
        <v>34</v>
      </c>
      <c r="Y15" s="661" t="s">
        <v>34</v>
      </c>
      <c r="Z15" s="661" t="s">
        <v>30</v>
      </c>
      <c r="AA15" s="558" t="s">
        <v>23</v>
      </c>
      <c r="AB15" s="558" t="s">
        <v>23</v>
      </c>
      <c r="AC15" s="661" t="s">
        <v>34</v>
      </c>
      <c r="AD15" s="661" t="s">
        <v>34</v>
      </c>
      <c r="AE15" s="369" t="s">
        <v>24</v>
      </c>
      <c r="AF15" s="374" t="s">
        <v>24</v>
      </c>
      <c r="AH15" s="818">
        <f>VLOOKUP(B15,'MAY25'!$B:$AK,36,0)</f>
        <v>17</v>
      </c>
      <c r="AI15" s="819">
        <f t="shared" ref="AI15:AI18" si="2">COUNTIF(C15:AF15,"U")</f>
        <v>9</v>
      </c>
      <c r="AJ15" s="820">
        <f t="shared" ref="AJ15:AJ18" si="3">AH15-AI15</f>
        <v>8</v>
      </c>
    </row>
    <row r="16" spans="1:36" ht="19.5" customHeight="1">
      <c r="A16" s="568" t="s">
        <v>157</v>
      </c>
      <c r="B16" s="582" t="s">
        <v>158</v>
      </c>
      <c r="C16" s="369" t="s">
        <v>24</v>
      </c>
      <c r="D16" s="369" t="s">
        <v>24</v>
      </c>
      <c r="E16" s="370" t="s">
        <v>23</v>
      </c>
      <c r="F16" s="370" t="s">
        <v>23</v>
      </c>
      <c r="G16" s="369" t="s">
        <v>24</v>
      </c>
      <c r="H16" s="369" t="s">
        <v>24</v>
      </c>
      <c r="I16" s="369" t="s">
        <v>24</v>
      </c>
      <c r="J16" s="369" t="s">
        <v>24</v>
      </c>
      <c r="K16" s="370" t="s">
        <v>23</v>
      </c>
      <c r="L16" s="370" t="s">
        <v>23</v>
      </c>
      <c r="M16" s="373" t="s">
        <v>144</v>
      </c>
      <c r="N16" s="373" t="s">
        <v>144</v>
      </c>
      <c r="O16" s="369" t="s">
        <v>24</v>
      </c>
      <c r="P16" s="369" t="s">
        <v>24</v>
      </c>
      <c r="Q16" s="370" t="s">
        <v>23</v>
      </c>
      <c r="R16" s="370" t="s">
        <v>23</v>
      </c>
      <c r="S16" s="369" t="s">
        <v>24</v>
      </c>
      <c r="T16" s="369" t="s">
        <v>24</v>
      </c>
      <c r="U16" s="369" t="s">
        <v>24</v>
      </c>
      <c r="V16" s="369" t="s">
        <v>24</v>
      </c>
      <c r="W16" s="370" t="s">
        <v>23</v>
      </c>
      <c r="X16" s="370" t="s">
        <v>23</v>
      </c>
      <c r="Y16" s="369" t="s">
        <v>24</v>
      </c>
      <c r="Z16" s="369" t="s">
        <v>24</v>
      </c>
      <c r="AA16" s="369" t="s">
        <v>24</v>
      </c>
      <c r="AB16" s="369" t="s">
        <v>24</v>
      </c>
      <c r="AC16" s="558" t="s">
        <v>23</v>
      </c>
      <c r="AD16" s="558" t="s">
        <v>23</v>
      </c>
      <c r="AE16" s="369" t="s">
        <v>24</v>
      </c>
      <c r="AF16" s="374" t="s">
        <v>24</v>
      </c>
      <c r="AH16" s="821">
        <f>VLOOKUP(B16,'MAY25'!$B:$AK,36,0)</f>
        <v>21</v>
      </c>
      <c r="AI16" s="253">
        <f t="shared" si="2"/>
        <v>0</v>
      </c>
      <c r="AJ16" s="822">
        <f t="shared" si="3"/>
        <v>21</v>
      </c>
    </row>
    <row r="17" spans="1:38" ht="19.5" customHeight="1">
      <c r="A17" s="568" t="s">
        <v>159</v>
      </c>
      <c r="B17" s="582" t="s">
        <v>160</v>
      </c>
      <c r="C17" s="369" t="s">
        <v>24</v>
      </c>
      <c r="D17" s="369" t="s">
        <v>24</v>
      </c>
      <c r="E17" s="370" t="s">
        <v>23</v>
      </c>
      <c r="F17" s="370" t="s">
        <v>23</v>
      </c>
      <c r="G17" s="373" t="s">
        <v>22</v>
      </c>
      <c r="H17" s="373" t="s">
        <v>22</v>
      </c>
      <c r="I17" s="373" t="s">
        <v>22</v>
      </c>
      <c r="J17" s="373" t="s">
        <v>22</v>
      </c>
      <c r="K17" s="370" t="s">
        <v>23</v>
      </c>
      <c r="L17" s="370" t="s">
        <v>23</v>
      </c>
      <c r="M17" s="373" t="s">
        <v>22</v>
      </c>
      <c r="N17" s="373" t="s">
        <v>22</v>
      </c>
      <c r="O17" s="373" t="s">
        <v>22</v>
      </c>
      <c r="P17" s="373" t="s">
        <v>22</v>
      </c>
      <c r="Q17" s="370" t="s">
        <v>23</v>
      </c>
      <c r="R17" s="370" t="s">
        <v>23</v>
      </c>
      <c r="S17" s="373" t="s">
        <v>22</v>
      </c>
      <c r="T17" s="373" t="s">
        <v>22</v>
      </c>
      <c r="U17" s="373" t="s">
        <v>22</v>
      </c>
      <c r="V17" s="373" t="s">
        <v>22</v>
      </c>
      <c r="W17" s="370" t="s">
        <v>23</v>
      </c>
      <c r="X17" s="370" t="s">
        <v>23</v>
      </c>
      <c r="Y17" s="373" t="s">
        <v>22</v>
      </c>
      <c r="Z17" s="373" t="s">
        <v>22</v>
      </c>
      <c r="AA17" s="373" t="s">
        <v>22</v>
      </c>
      <c r="AB17" s="373" t="s">
        <v>22</v>
      </c>
      <c r="AC17" s="370" t="s">
        <v>23</v>
      </c>
      <c r="AD17" s="370" t="s">
        <v>23</v>
      </c>
      <c r="AE17" s="373" t="s">
        <v>22</v>
      </c>
      <c r="AF17" s="380" t="s">
        <v>22</v>
      </c>
      <c r="AH17" s="821">
        <f>VLOOKUP(B17,'MAY25'!$B:$AK,36,0)</f>
        <v>22</v>
      </c>
      <c r="AI17" s="253">
        <f t="shared" si="2"/>
        <v>0</v>
      </c>
      <c r="AJ17" s="822">
        <f t="shared" si="3"/>
        <v>22</v>
      </c>
    </row>
    <row r="18" spans="1:38" ht="19.5" customHeight="1" thickBot="1">
      <c r="A18" s="687" t="s">
        <v>161</v>
      </c>
      <c r="B18" s="592" t="s">
        <v>162</v>
      </c>
      <c r="C18" s="134" t="s">
        <v>34</v>
      </c>
      <c r="D18" s="377" t="s">
        <v>22</v>
      </c>
      <c r="E18" s="805" t="s">
        <v>24</v>
      </c>
      <c r="F18" s="805" t="s">
        <v>24</v>
      </c>
      <c r="G18" s="378" t="s">
        <v>23</v>
      </c>
      <c r="H18" s="378" t="s">
        <v>23</v>
      </c>
      <c r="I18" s="806" t="s">
        <v>23</v>
      </c>
      <c r="J18" s="805" t="s">
        <v>24</v>
      </c>
      <c r="K18" s="805" t="s">
        <v>24</v>
      </c>
      <c r="L18" s="807" t="s">
        <v>146</v>
      </c>
      <c r="M18" s="378" t="s">
        <v>23</v>
      </c>
      <c r="N18" s="378" t="s">
        <v>23</v>
      </c>
      <c r="O18" s="398" t="s">
        <v>42</v>
      </c>
      <c r="P18" s="398" t="s">
        <v>146</v>
      </c>
      <c r="Q18" s="398" t="s">
        <v>146</v>
      </c>
      <c r="R18" s="398" t="s">
        <v>42</v>
      </c>
      <c r="S18" s="398" t="s">
        <v>42</v>
      </c>
      <c r="T18" s="378" t="s">
        <v>23</v>
      </c>
      <c r="U18" s="808" t="s">
        <v>68</v>
      </c>
      <c r="V18" s="398" t="s">
        <v>146</v>
      </c>
      <c r="W18" s="398" t="s">
        <v>146</v>
      </c>
      <c r="X18" s="398" t="s">
        <v>146</v>
      </c>
      <c r="Y18" s="378" t="s">
        <v>23</v>
      </c>
      <c r="Z18" s="378" t="s">
        <v>23</v>
      </c>
      <c r="AA18" s="805" t="s">
        <v>24</v>
      </c>
      <c r="AB18" s="805" t="s">
        <v>24</v>
      </c>
      <c r="AC18" s="805" t="s">
        <v>24</v>
      </c>
      <c r="AD18" s="237" t="s">
        <v>24</v>
      </c>
      <c r="AE18" s="378" t="s">
        <v>23</v>
      </c>
      <c r="AF18" s="809" t="s">
        <v>23</v>
      </c>
      <c r="AH18" s="823">
        <f>VLOOKUP(B18,'MAY25'!$B:$AK,36,0)</f>
        <v>21</v>
      </c>
      <c r="AI18" s="824">
        <f t="shared" si="2"/>
        <v>1</v>
      </c>
      <c r="AJ18" s="825">
        <f t="shared" si="3"/>
        <v>20</v>
      </c>
    </row>
    <row r="19" spans="1:38" ht="20.100000000000001" customHeight="1" thickBot="1">
      <c r="A19" s="803"/>
      <c r="B19" s="804"/>
      <c r="C19" s="244"/>
      <c r="D19" s="244"/>
      <c r="E19" s="244"/>
      <c r="F19" s="244"/>
      <c r="G19" s="243"/>
      <c r="H19" s="243"/>
      <c r="I19" s="245"/>
      <c r="J19" s="245"/>
      <c r="K19" s="245"/>
      <c r="L19" s="245"/>
      <c r="M19" s="243"/>
      <c r="N19" s="243"/>
      <c r="O19" s="244"/>
      <c r="P19" s="244"/>
      <c r="Q19" s="244"/>
      <c r="R19" s="244"/>
      <c r="S19" s="243"/>
      <c r="T19" s="243"/>
      <c r="U19" s="245"/>
      <c r="V19" s="245"/>
      <c r="W19" s="245"/>
      <c r="X19" s="245"/>
      <c r="Y19" s="243"/>
      <c r="Z19" s="243"/>
      <c r="AA19" s="244"/>
      <c r="AB19" s="244"/>
      <c r="AC19" s="244"/>
      <c r="AD19" s="244"/>
      <c r="AE19" s="243"/>
      <c r="AF19" s="243"/>
      <c r="AH19" s="247"/>
      <c r="AI19" s="247"/>
      <c r="AJ19" s="247"/>
    </row>
    <row r="20" spans="1:38" ht="24.95" customHeight="1" thickBot="1">
      <c r="A20" s="581" t="s">
        <v>45</v>
      </c>
      <c r="B20" s="514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 s="514"/>
      <c r="N20" s="514"/>
      <c r="O20" s="514"/>
      <c r="P20" s="514"/>
      <c r="Q20" s="514"/>
      <c r="R20" s="514"/>
      <c r="S20" s="514"/>
      <c r="T20" s="514"/>
      <c r="U20" s="514"/>
      <c r="V20" s="514"/>
      <c r="W20" s="514"/>
      <c r="X20" s="514"/>
      <c r="Y20" s="514"/>
      <c r="Z20" s="514"/>
      <c r="AA20" s="514"/>
      <c r="AB20" s="514"/>
      <c r="AC20" s="514"/>
      <c r="AD20" s="650"/>
      <c r="AE20" s="650"/>
      <c r="AF20" s="651"/>
      <c r="AH20" s="247"/>
      <c r="AI20" s="247"/>
      <c r="AJ20" s="247"/>
    </row>
    <row r="21" spans="1:38" ht="18.75" customHeight="1">
      <c r="A21" s="718" t="s">
        <v>46</v>
      </c>
      <c r="B21" s="695" t="s">
        <v>47</v>
      </c>
      <c r="C21" s="790" t="s">
        <v>23</v>
      </c>
      <c r="D21" s="637" t="s">
        <v>144</v>
      </c>
      <c r="E21" s="404" t="s">
        <v>165</v>
      </c>
      <c r="F21" s="404" t="s">
        <v>165</v>
      </c>
      <c r="G21" s="404" t="s">
        <v>165</v>
      </c>
      <c r="H21" s="404" t="s">
        <v>165</v>
      </c>
      <c r="I21" s="790" t="s">
        <v>23</v>
      </c>
      <c r="J21" s="790" t="s">
        <v>23</v>
      </c>
      <c r="K21" s="158" t="s">
        <v>186</v>
      </c>
      <c r="L21" s="158" t="s">
        <v>186</v>
      </c>
      <c r="M21" s="158" t="s">
        <v>186</v>
      </c>
      <c r="N21" s="158" t="s">
        <v>186</v>
      </c>
      <c r="O21" s="158" t="s">
        <v>186</v>
      </c>
      <c r="P21" s="158" t="s">
        <v>186</v>
      </c>
      <c r="Q21" s="158" t="s">
        <v>186</v>
      </c>
      <c r="R21" s="158" t="s">
        <v>186</v>
      </c>
      <c r="S21" s="158" t="s">
        <v>186</v>
      </c>
      <c r="T21" s="158" t="s">
        <v>186</v>
      </c>
      <c r="U21" s="158" t="s">
        <v>186</v>
      </c>
      <c r="V21" s="158" t="s">
        <v>186</v>
      </c>
      <c r="W21" s="158" t="s">
        <v>186</v>
      </c>
      <c r="X21" s="158" t="s">
        <v>186</v>
      </c>
      <c r="Y21" s="158" t="s">
        <v>186</v>
      </c>
      <c r="Z21" s="158" t="s">
        <v>186</v>
      </c>
      <c r="AA21" s="158" t="s">
        <v>186</v>
      </c>
      <c r="AB21" s="158" t="s">
        <v>186</v>
      </c>
      <c r="AC21" s="158" t="s">
        <v>186</v>
      </c>
      <c r="AD21" s="158" t="s">
        <v>186</v>
      </c>
      <c r="AE21" s="158" t="s">
        <v>186</v>
      </c>
      <c r="AF21" s="136" t="s">
        <v>186</v>
      </c>
      <c r="AG21" s="258"/>
      <c r="AH21" s="259">
        <f>VLOOKUP(B21,'MAY25'!$B:$AK,36,0)</f>
        <v>15</v>
      </c>
      <c r="AI21" s="250">
        <f>COUNTIF(C21:AF21,"U")</f>
        <v>0</v>
      </c>
      <c r="AJ21" s="252">
        <f>AH21-AI21</f>
        <v>15</v>
      </c>
      <c r="AK21" s="247"/>
      <c r="AL21" s="247"/>
    </row>
    <row r="22" spans="1:38" ht="18.75" customHeight="1">
      <c r="A22" s="602" t="s">
        <v>51</v>
      </c>
      <c r="B22" s="509" t="s">
        <v>52</v>
      </c>
      <c r="C22" s="791" t="s">
        <v>22</v>
      </c>
      <c r="D22" s="790" t="s">
        <v>23</v>
      </c>
      <c r="E22" s="368" t="s">
        <v>24</v>
      </c>
      <c r="F22" s="368" t="s">
        <v>24</v>
      </c>
      <c r="G22" s="368" t="s">
        <v>24</v>
      </c>
      <c r="H22" s="368" t="s">
        <v>24</v>
      </c>
      <c r="I22" s="790" t="s">
        <v>23</v>
      </c>
      <c r="J22" s="790" t="s">
        <v>23</v>
      </c>
      <c r="K22" s="369" t="s">
        <v>24</v>
      </c>
      <c r="L22" s="369" t="s">
        <v>24</v>
      </c>
      <c r="M22" s="369" t="s">
        <v>24</v>
      </c>
      <c r="N22" s="389" t="s">
        <v>146</v>
      </c>
      <c r="O22" s="558" t="s">
        <v>23</v>
      </c>
      <c r="P22" s="558" t="s">
        <v>23</v>
      </c>
      <c r="Q22" s="369" t="s">
        <v>24</v>
      </c>
      <c r="R22" s="369" t="s">
        <v>24</v>
      </c>
      <c r="S22" s="389" t="s">
        <v>146</v>
      </c>
      <c r="T22" s="369" t="s">
        <v>24</v>
      </c>
      <c r="U22" s="370" t="s">
        <v>23</v>
      </c>
      <c r="V22" s="370" t="s">
        <v>23</v>
      </c>
      <c r="W22" s="369" t="s">
        <v>24</v>
      </c>
      <c r="X22" s="369" t="s">
        <v>24</v>
      </c>
      <c r="Y22" s="92" t="s">
        <v>34</v>
      </c>
      <c r="Z22" s="371" t="s">
        <v>30</v>
      </c>
      <c r="AA22" s="372" t="s">
        <v>23</v>
      </c>
      <c r="AB22" s="372" t="s">
        <v>23</v>
      </c>
      <c r="AC22" s="369" t="s">
        <v>24</v>
      </c>
      <c r="AD22" s="792" t="s">
        <v>68</v>
      </c>
      <c r="AE22" s="369" t="s">
        <v>24</v>
      </c>
      <c r="AF22" s="374" t="s">
        <v>24</v>
      </c>
      <c r="AG22" s="258"/>
      <c r="AH22" s="260">
        <f>VLOOKUP(B22,'MAY25'!$B:$AK,36,0)</f>
        <v>12</v>
      </c>
      <c r="AI22" s="253">
        <f>COUNTIF(C22:AF22,"U")</f>
        <v>1</v>
      </c>
      <c r="AJ22" s="254">
        <f>AH22-AI22</f>
        <v>11</v>
      </c>
      <c r="AK22" s="247"/>
      <c r="AL22" s="247"/>
    </row>
    <row r="23" spans="1:38" ht="18.75" customHeight="1">
      <c r="A23" s="602" t="s">
        <v>54</v>
      </c>
      <c r="B23" s="509" t="s">
        <v>55</v>
      </c>
      <c r="C23" s="790" t="s">
        <v>23</v>
      </c>
      <c r="D23" s="403" t="s">
        <v>34</v>
      </c>
      <c r="E23" s="403" t="s">
        <v>34</v>
      </c>
      <c r="F23" s="403" t="s">
        <v>34</v>
      </c>
      <c r="G23" s="403" t="s">
        <v>34</v>
      </c>
      <c r="H23" s="793" t="s">
        <v>23</v>
      </c>
      <c r="I23" s="791" t="s">
        <v>22</v>
      </c>
      <c r="J23" s="791" t="s">
        <v>22</v>
      </c>
      <c r="K23" s="373" t="s">
        <v>22</v>
      </c>
      <c r="L23" s="373" t="s">
        <v>22</v>
      </c>
      <c r="M23" s="370" t="s">
        <v>23</v>
      </c>
      <c r="N23" s="370" t="s">
        <v>23</v>
      </c>
      <c r="O23" s="373" t="s">
        <v>22</v>
      </c>
      <c r="P23" s="373" t="s">
        <v>22</v>
      </c>
      <c r="Q23" s="373" t="s">
        <v>22</v>
      </c>
      <c r="R23" s="373" t="s">
        <v>22</v>
      </c>
      <c r="S23" s="370" t="s">
        <v>23</v>
      </c>
      <c r="T23" s="370" t="s">
        <v>23</v>
      </c>
      <c r="U23" s="373" t="s">
        <v>22</v>
      </c>
      <c r="V23" s="373" t="s">
        <v>22</v>
      </c>
      <c r="W23" s="373" t="s">
        <v>22</v>
      </c>
      <c r="X23" s="373" t="s">
        <v>22</v>
      </c>
      <c r="Y23" s="370" t="s">
        <v>23</v>
      </c>
      <c r="Z23" s="370" t="s">
        <v>23</v>
      </c>
      <c r="AA23" s="373" t="s">
        <v>22</v>
      </c>
      <c r="AB23" s="373" t="s">
        <v>22</v>
      </c>
      <c r="AC23" s="373" t="s">
        <v>22</v>
      </c>
      <c r="AD23" s="373" t="s">
        <v>22</v>
      </c>
      <c r="AE23" s="372" t="s">
        <v>23</v>
      </c>
      <c r="AF23" s="375" t="s">
        <v>23</v>
      </c>
      <c r="AG23" s="258"/>
      <c r="AH23" s="260">
        <f>VLOOKUP(B23,'MAY25'!$B:$AK,36,0)</f>
        <v>11</v>
      </c>
      <c r="AI23" s="253">
        <f>COUNTIF(C23:AF23,"U")</f>
        <v>4</v>
      </c>
      <c r="AJ23" s="254">
        <f>AH23-AI23</f>
        <v>7</v>
      </c>
      <c r="AK23" s="247"/>
      <c r="AL23" s="247"/>
    </row>
    <row r="24" spans="1:38" ht="19.5" customHeight="1">
      <c r="A24" s="602" t="s">
        <v>56</v>
      </c>
      <c r="B24" s="509" t="s">
        <v>57</v>
      </c>
      <c r="C24" s="790" t="s">
        <v>23</v>
      </c>
      <c r="D24" s="404" t="s">
        <v>42</v>
      </c>
      <c r="E24" s="404" t="s">
        <v>42</v>
      </c>
      <c r="F24" s="405" t="s">
        <v>19</v>
      </c>
      <c r="G24" s="405" t="s">
        <v>19</v>
      </c>
      <c r="H24" s="405" t="s">
        <v>19</v>
      </c>
      <c r="I24" s="790" t="s">
        <v>23</v>
      </c>
      <c r="J24" s="92" t="s">
        <v>34</v>
      </c>
      <c r="K24" s="92" t="s">
        <v>34</v>
      </c>
      <c r="L24" s="110" t="s">
        <v>30</v>
      </c>
      <c r="M24" s="92" t="s">
        <v>34</v>
      </c>
      <c r="N24" s="92" t="s">
        <v>34</v>
      </c>
      <c r="O24" s="92" t="s">
        <v>34</v>
      </c>
      <c r="P24" s="561" t="s">
        <v>23</v>
      </c>
      <c r="Q24" s="561" t="s">
        <v>23</v>
      </c>
      <c r="R24" s="92" t="s">
        <v>34</v>
      </c>
      <c r="S24" s="92" t="s">
        <v>34</v>
      </c>
      <c r="T24" s="92" t="s">
        <v>34</v>
      </c>
      <c r="U24" s="110" t="s">
        <v>30</v>
      </c>
      <c r="V24" s="92" t="s">
        <v>34</v>
      </c>
      <c r="W24" s="561" t="s">
        <v>23</v>
      </c>
      <c r="X24" s="561" t="s">
        <v>23</v>
      </c>
      <c r="Y24" s="92" t="s">
        <v>34</v>
      </c>
      <c r="Z24" s="367" t="s">
        <v>42</v>
      </c>
      <c r="AA24" s="367" t="s">
        <v>165</v>
      </c>
      <c r="AB24" s="392" t="s">
        <v>49</v>
      </c>
      <c r="AC24" s="367" t="s">
        <v>165</v>
      </c>
      <c r="AD24" s="561" t="s">
        <v>23</v>
      </c>
      <c r="AE24" s="372" t="s">
        <v>23</v>
      </c>
      <c r="AF24" s="810" t="s">
        <v>42</v>
      </c>
      <c r="AG24" s="258"/>
      <c r="AH24" s="260">
        <f>VLOOKUP(B24,'MAY25'!$B:$AK,36,0)</f>
        <v>17</v>
      </c>
      <c r="AI24" s="253">
        <f>COUNTIF(C24:AF24,"U")</f>
        <v>10</v>
      </c>
      <c r="AJ24" s="254">
        <f>AH24-AI24</f>
        <v>7</v>
      </c>
      <c r="AK24" s="247"/>
      <c r="AL24" s="247"/>
    </row>
    <row r="25" spans="1:38" ht="19.5" customHeight="1" thickBot="1">
      <c r="A25" s="680" t="s">
        <v>166</v>
      </c>
      <c r="B25" s="508" t="s">
        <v>167</v>
      </c>
      <c r="C25" s="806" t="s">
        <v>23</v>
      </c>
      <c r="D25" s="806" t="s">
        <v>23</v>
      </c>
      <c r="E25" s="376" t="s">
        <v>22</v>
      </c>
      <c r="F25" s="376" t="s">
        <v>22</v>
      </c>
      <c r="G25" s="376" t="s">
        <v>22</v>
      </c>
      <c r="H25" s="376" t="s">
        <v>22</v>
      </c>
      <c r="I25" s="806" t="s">
        <v>23</v>
      </c>
      <c r="J25" s="806" t="s">
        <v>23</v>
      </c>
      <c r="K25" s="377" t="s">
        <v>22</v>
      </c>
      <c r="L25" s="377" t="s">
        <v>22</v>
      </c>
      <c r="M25" s="377" t="s">
        <v>22</v>
      </c>
      <c r="N25" s="377" t="s">
        <v>22</v>
      </c>
      <c r="O25" s="598" t="s">
        <v>23</v>
      </c>
      <c r="P25" s="598" t="s">
        <v>23</v>
      </c>
      <c r="Q25" s="377" t="s">
        <v>22</v>
      </c>
      <c r="R25" s="377" t="s">
        <v>22</v>
      </c>
      <c r="S25" s="377" t="s">
        <v>22</v>
      </c>
      <c r="T25" s="377" t="s">
        <v>22</v>
      </c>
      <c r="U25" s="378" t="s">
        <v>23</v>
      </c>
      <c r="V25" s="378" t="s">
        <v>23</v>
      </c>
      <c r="W25" s="377" t="s">
        <v>22</v>
      </c>
      <c r="X25" s="377" t="s">
        <v>22</v>
      </c>
      <c r="Y25" s="377" t="s">
        <v>22</v>
      </c>
      <c r="Z25" s="377" t="s">
        <v>22</v>
      </c>
      <c r="AA25" s="378" t="s">
        <v>23</v>
      </c>
      <c r="AB25" s="378" t="s">
        <v>23</v>
      </c>
      <c r="AC25" s="377" t="s">
        <v>22</v>
      </c>
      <c r="AD25" s="377" t="s">
        <v>22</v>
      </c>
      <c r="AE25" s="377" t="s">
        <v>22</v>
      </c>
      <c r="AF25" s="379" t="s">
        <v>22</v>
      </c>
      <c r="AG25" s="258"/>
      <c r="AH25" s="261">
        <f>VLOOKUP(B25,'MAY25'!$B:$AK,36,0)</f>
        <v>16</v>
      </c>
      <c r="AI25" s="256">
        <f>COUNTIF(C25:AF25,"U")</f>
        <v>0</v>
      </c>
      <c r="AJ25" s="257">
        <f>AH25-AI25</f>
        <v>16</v>
      </c>
      <c r="AK25" s="247"/>
      <c r="AL25" s="247"/>
    </row>
    <row r="26" spans="1:38" ht="20.100000000000001" customHeight="1" thickBot="1">
      <c r="A26" s="242"/>
      <c r="B26" s="242"/>
      <c r="C26" s="262"/>
      <c r="D26" s="262"/>
      <c r="E26" s="262"/>
      <c r="F26" s="262"/>
      <c r="G26" s="243"/>
      <c r="H26" s="243"/>
      <c r="I26" s="262"/>
      <c r="J26" s="245"/>
      <c r="K26" s="245"/>
      <c r="L26" s="245"/>
      <c r="M26" s="243"/>
      <c r="N26" s="243"/>
      <c r="O26" s="244"/>
      <c r="P26" s="244"/>
      <c r="Q26" s="244"/>
      <c r="R26" s="244"/>
      <c r="S26" s="243"/>
      <c r="T26" s="243"/>
      <c r="U26" s="245"/>
      <c r="V26" s="245"/>
      <c r="W26" s="245"/>
      <c r="X26" s="245"/>
      <c r="Y26" s="243"/>
      <c r="Z26" s="243"/>
      <c r="AA26" s="244"/>
      <c r="AB26" s="244"/>
      <c r="AC26" s="244"/>
      <c r="AD26" s="244"/>
      <c r="AF26" s="246"/>
      <c r="AG26" s="258"/>
      <c r="AH26" s="248"/>
      <c r="AI26" s="48"/>
      <c r="AJ26" s="247"/>
      <c r="AK26" s="247"/>
      <c r="AL26" s="247"/>
    </row>
    <row r="27" spans="1:38" ht="24.95" customHeight="1" thickBot="1">
      <c r="A27" s="581" t="s">
        <v>60</v>
      </c>
      <c r="B27" s="514"/>
      <c r="C27" s="514"/>
      <c r="D27" s="514"/>
      <c r="E27" s="514"/>
      <c r="F27" s="514"/>
      <c r="G27" s="514"/>
      <c r="H27" s="514"/>
      <c r="I27" s="514"/>
      <c r="J27" s="514"/>
      <c r="K27" s="514"/>
      <c r="L27" s="514"/>
      <c r="M27" s="514"/>
      <c r="N27" s="514"/>
      <c r="O27" s="514"/>
      <c r="P27" s="514"/>
      <c r="Q27" s="514"/>
      <c r="R27" s="514"/>
      <c r="S27" s="514"/>
      <c r="T27" s="514"/>
      <c r="U27" s="514"/>
      <c r="V27" s="514"/>
      <c r="W27" s="514"/>
      <c r="X27" s="514"/>
      <c r="Y27" s="514"/>
      <c r="Z27" s="514"/>
      <c r="AA27" s="514"/>
      <c r="AB27" s="514"/>
      <c r="AC27" s="514"/>
      <c r="AD27" s="650"/>
      <c r="AE27" s="650"/>
      <c r="AF27" s="651"/>
      <c r="AG27" s="258"/>
      <c r="AH27" s="248"/>
      <c r="AI27" s="48"/>
      <c r="AJ27" s="247"/>
      <c r="AK27" s="247"/>
      <c r="AL27" s="247"/>
    </row>
    <row r="28" spans="1:38" ht="18.75" customHeight="1">
      <c r="A28" s="602" t="s">
        <v>61</v>
      </c>
      <c r="B28" s="509" t="s">
        <v>62</v>
      </c>
      <c r="C28" s="353" t="s">
        <v>63</v>
      </c>
      <c r="D28" s="353" t="s">
        <v>63</v>
      </c>
      <c r="E28" s="269" t="s">
        <v>23</v>
      </c>
      <c r="F28" s="269" t="s">
        <v>23</v>
      </c>
      <c r="G28" s="233" t="s">
        <v>24</v>
      </c>
      <c r="H28" s="233" t="s">
        <v>24</v>
      </c>
      <c r="I28" s="233" t="s">
        <v>24</v>
      </c>
      <c r="J28" s="233" t="s">
        <v>24</v>
      </c>
      <c r="K28" s="758"/>
      <c r="L28" s="758"/>
      <c r="M28" s="758"/>
      <c r="N28" s="758"/>
      <c r="O28" s="758"/>
      <c r="P28" s="758"/>
      <c r="Q28" s="758"/>
      <c r="R28" s="758"/>
      <c r="S28" s="758"/>
      <c r="T28" s="758"/>
      <c r="U28" s="758"/>
      <c r="V28" s="758"/>
      <c r="W28" s="758"/>
      <c r="X28" s="758"/>
      <c r="Y28" s="758"/>
      <c r="Z28" s="758"/>
      <c r="AA28" s="758"/>
      <c r="AB28" s="758"/>
      <c r="AC28" s="758"/>
      <c r="AD28" s="758"/>
      <c r="AE28" s="758"/>
      <c r="AF28" s="776"/>
      <c r="AH28" s="4">
        <f>VLOOKUP(B28,'MAY25'!$B:$AK,36,0)</f>
        <v>15</v>
      </c>
      <c r="AI28" s="56">
        <f t="shared" ref="AI28:AI52" si="4">COUNTIF(C28:AF28,"U")</f>
        <v>0</v>
      </c>
      <c r="AJ28" s="57">
        <f t="shared" ref="AJ28:AJ52" si="5">AH28-AI28</f>
        <v>15</v>
      </c>
    </row>
    <row r="29" spans="1:38" ht="18.75" customHeight="1">
      <c r="A29" s="602" t="s">
        <v>64</v>
      </c>
      <c r="B29" s="509" t="s">
        <v>65</v>
      </c>
      <c r="C29" s="269" t="s">
        <v>23</v>
      </c>
      <c r="D29" s="269" t="s">
        <v>23</v>
      </c>
      <c r="E29" s="353" t="s">
        <v>63</v>
      </c>
      <c r="F29" s="353" t="s">
        <v>63</v>
      </c>
      <c r="G29" s="353" t="s">
        <v>63</v>
      </c>
      <c r="H29" s="353" t="s">
        <v>63</v>
      </c>
      <c r="I29" s="269" t="s">
        <v>23</v>
      </c>
      <c r="J29" s="269" t="s">
        <v>23</v>
      </c>
      <c r="K29" s="233" t="s">
        <v>24</v>
      </c>
      <c r="L29" s="233" t="s">
        <v>24</v>
      </c>
      <c r="M29" s="233" t="s">
        <v>24</v>
      </c>
      <c r="N29" s="233" t="s">
        <v>24</v>
      </c>
      <c r="O29" s="269" t="s">
        <v>23</v>
      </c>
      <c r="P29" s="269" t="s">
        <v>23</v>
      </c>
      <c r="Q29" s="794" t="s">
        <v>34</v>
      </c>
      <c r="R29" s="794" t="s">
        <v>34</v>
      </c>
      <c r="S29" s="794" t="s">
        <v>34</v>
      </c>
      <c r="T29" s="794" t="s">
        <v>34</v>
      </c>
      <c r="U29" s="269" t="s">
        <v>23</v>
      </c>
      <c r="V29" s="269" t="s">
        <v>23</v>
      </c>
      <c r="W29" s="354" t="s">
        <v>22</v>
      </c>
      <c r="X29" s="354" t="s">
        <v>22</v>
      </c>
      <c r="Y29" s="354" t="s">
        <v>22</v>
      </c>
      <c r="Z29" s="354" t="s">
        <v>22</v>
      </c>
      <c r="AA29" s="269" t="s">
        <v>23</v>
      </c>
      <c r="AB29" s="269" t="s">
        <v>23</v>
      </c>
      <c r="AC29" s="354" t="s">
        <v>22</v>
      </c>
      <c r="AD29" s="354" t="s">
        <v>22</v>
      </c>
      <c r="AE29" s="354" t="s">
        <v>22</v>
      </c>
      <c r="AF29" s="357" t="s">
        <v>22</v>
      </c>
      <c r="AH29" s="37">
        <f>VLOOKUP(B29,'MAY25'!$B:$AK,36,0)</f>
        <v>20</v>
      </c>
      <c r="AI29" s="35">
        <f t="shared" si="4"/>
        <v>4</v>
      </c>
      <c r="AJ29" s="38">
        <f t="shared" si="5"/>
        <v>16</v>
      </c>
    </row>
    <row r="30" spans="1:38" ht="18.75" customHeight="1">
      <c r="A30" s="602" t="s">
        <v>66</v>
      </c>
      <c r="B30" s="509" t="s">
        <v>67</v>
      </c>
      <c r="C30" s="362" t="s">
        <v>68</v>
      </c>
      <c r="D30" s="354" t="s">
        <v>22</v>
      </c>
      <c r="E30" s="354" t="s">
        <v>22</v>
      </c>
      <c r="F30" s="269" t="s">
        <v>23</v>
      </c>
      <c r="G30" s="269" t="s">
        <v>23</v>
      </c>
      <c r="H30" s="269" t="s">
        <v>23</v>
      </c>
      <c r="I30" s="353" t="s">
        <v>63</v>
      </c>
      <c r="J30" s="353" t="s">
        <v>63</v>
      </c>
      <c r="K30" s="353" t="s">
        <v>63</v>
      </c>
      <c r="L30" s="353" t="s">
        <v>63</v>
      </c>
      <c r="M30" s="269" t="s">
        <v>23</v>
      </c>
      <c r="N30" s="269" t="s">
        <v>23</v>
      </c>
      <c r="O30" s="233" t="s">
        <v>24</v>
      </c>
      <c r="P30" s="233" t="s">
        <v>24</v>
      </c>
      <c r="Q30" s="233" t="s">
        <v>24</v>
      </c>
      <c r="R30" s="233" t="s">
        <v>24</v>
      </c>
      <c r="S30" s="269" t="s">
        <v>23</v>
      </c>
      <c r="T30" s="269" t="s">
        <v>23</v>
      </c>
      <c r="U30" s="795" t="s">
        <v>30</v>
      </c>
      <c r="V30" s="794" t="s">
        <v>34</v>
      </c>
      <c r="W30" s="794" t="s">
        <v>34</v>
      </c>
      <c r="X30" s="794" t="s">
        <v>34</v>
      </c>
      <c r="Y30" s="269" t="s">
        <v>23</v>
      </c>
      <c r="Z30" s="269" t="s">
        <v>23</v>
      </c>
      <c r="AA30" s="233" t="s">
        <v>24</v>
      </c>
      <c r="AB30" s="233" t="s">
        <v>24</v>
      </c>
      <c r="AC30" s="233" t="s">
        <v>24</v>
      </c>
      <c r="AD30" s="233" t="s">
        <v>24</v>
      </c>
      <c r="AE30" s="269" t="s">
        <v>23</v>
      </c>
      <c r="AF30" s="271" t="s">
        <v>23</v>
      </c>
      <c r="AH30" s="37">
        <f>VLOOKUP(B30,'MAY25'!$B:$AK,36,0)</f>
        <v>17</v>
      </c>
      <c r="AI30" s="35">
        <f t="shared" si="4"/>
        <v>3</v>
      </c>
      <c r="AJ30" s="38">
        <f t="shared" si="5"/>
        <v>14</v>
      </c>
    </row>
    <row r="31" spans="1:38" ht="18.75" customHeight="1">
      <c r="A31" s="602" t="s">
        <v>69</v>
      </c>
      <c r="B31" s="509" t="s">
        <v>70</v>
      </c>
      <c r="C31" s="233" t="s">
        <v>24</v>
      </c>
      <c r="D31" s="233" t="s">
        <v>24</v>
      </c>
      <c r="E31" s="269" t="s">
        <v>23</v>
      </c>
      <c r="F31" s="269" t="s">
        <v>23</v>
      </c>
      <c r="G31" s="233" t="s">
        <v>24</v>
      </c>
      <c r="H31" s="233" t="s">
        <v>24</v>
      </c>
      <c r="I31" s="233" t="s">
        <v>24</v>
      </c>
      <c r="J31" s="233" t="s">
        <v>24</v>
      </c>
      <c r="K31" s="269" t="s">
        <v>23</v>
      </c>
      <c r="L31" s="269" t="s">
        <v>23</v>
      </c>
      <c r="M31" s="354" t="s">
        <v>22</v>
      </c>
      <c r="N31" s="354" t="s">
        <v>22</v>
      </c>
      <c r="O31" s="354" t="s">
        <v>22</v>
      </c>
      <c r="P31" s="354" t="s">
        <v>22</v>
      </c>
      <c r="Q31" s="269" t="s">
        <v>23</v>
      </c>
      <c r="R31" s="269" t="s">
        <v>23</v>
      </c>
      <c r="S31" s="233" t="s">
        <v>24</v>
      </c>
      <c r="T31" s="233" t="s">
        <v>24</v>
      </c>
      <c r="U31" s="233" t="s">
        <v>24</v>
      </c>
      <c r="V31" s="233" t="s">
        <v>24</v>
      </c>
      <c r="W31" s="269" t="s">
        <v>23</v>
      </c>
      <c r="X31" s="269" t="s">
        <v>23</v>
      </c>
      <c r="Y31" s="354" t="s">
        <v>22</v>
      </c>
      <c r="Z31" s="354" t="s">
        <v>22</v>
      </c>
      <c r="AA31" s="354" t="s">
        <v>22</v>
      </c>
      <c r="AB31" s="354" t="s">
        <v>22</v>
      </c>
      <c r="AC31" s="269" t="s">
        <v>23</v>
      </c>
      <c r="AD31" s="269" t="s">
        <v>23</v>
      </c>
      <c r="AE31" s="233" t="s">
        <v>24</v>
      </c>
      <c r="AF31" s="236" t="s">
        <v>24</v>
      </c>
      <c r="AH31" s="37">
        <f>VLOOKUP(B31,'MAY25'!$B:$AK,36,0)</f>
        <v>11</v>
      </c>
      <c r="AI31" s="35">
        <f t="shared" si="4"/>
        <v>0</v>
      </c>
      <c r="AJ31" s="38">
        <f t="shared" si="5"/>
        <v>11</v>
      </c>
    </row>
    <row r="32" spans="1:38" ht="18.75" customHeight="1">
      <c r="A32" s="602" t="s">
        <v>71</v>
      </c>
      <c r="B32" s="509" t="s">
        <v>72</v>
      </c>
      <c r="C32" s="269" t="s">
        <v>23</v>
      </c>
      <c r="D32" s="269" t="s">
        <v>23</v>
      </c>
      <c r="E32" s="364" t="s">
        <v>184</v>
      </c>
      <c r="F32" s="364" t="s">
        <v>184</v>
      </c>
      <c r="G32" s="364" t="s">
        <v>184</v>
      </c>
      <c r="H32" s="233" t="s">
        <v>24</v>
      </c>
      <c r="I32" s="269" t="s">
        <v>23</v>
      </c>
      <c r="J32" s="269" t="s">
        <v>23</v>
      </c>
      <c r="K32" s="354" t="s">
        <v>22</v>
      </c>
      <c r="L32" s="354" t="s">
        <v>22</v>
      </c>
      <c r="M32" s="354" t="s">
        <v>22</v>
      </c>
      <c r="N32" s="354" t="s">
        <v>22</v>
      </c>
      <c r="O32" s="269" t="s">
        <v>23</v>
      </c>
      <c r="P32" s="269" t="s">
        <v>23</v>
      </c>
      <c r="Q32" s="353" t="s">
        <v>63</v>
      </c>
      <c r="R32" s="353" t="s">
        <v>63</v>
      </c>
      <c r="S32" s="353" t="s">
        <v>63</v>
      </c>
      <c r="T32" s="353" t="s">
        <v>63</v>
      </c>
      <c r="U32" s="269" t="s">
        <v>23</v>
      </c>
      <c r="V32" s="269" t="s">
        <v>23</v>
      </c>
      <c r="W32" s="233" t="s">
        <v>24</v>
      </c>
      <c r="X32" s="233" t="s">
        <v>24</v>
      </c>
      <c r="Y32" s="233" t="s">
        <v>24</v>
      </c>
      <c r="Z32" s="233" t="s">
        <v>24</v>
      </c>
      <c r="AA32" s="269" t="s">
        <v>23</v>
      </c>
      <c r="AB32" s="269" t="s">
        <v>23</v>
      </c>
      <c r="AC32" s="354" t="s">
        <v>22</v>
      </c>
      <c r="AD32" s="354" t="s">
        <v>22</v>
      </c>
      <c r="AE32" s="354" t="s">
        <v>22</v>
      </c>
      <c r="AF32" s="357" t="s">
        <v>22</v>
      </c>
      <c r="AH32" s="37">
        <f>VLOOKUP(B32,'MAY25'!$B:$AK,36,0)</f>
        <v>8</v>
      </c>
      <c r="AI32" s="35">
        <f t="shared" si="4"/>
        <v>0</v>
      </c>
      <c r="AJ32" s="38">
        <f t="shared" si="5"/>
        <v>8</v>
      </c>
    </row>
    <row r="33" spans="1:36" ht="18.75" customHeight="1">
      <c r="A33" s="602" t="s">
        <v>73</v>
      </c>
      <c r="B33" s="509" t="s">
        <v>74</v>
      </c>
      <c r="C33" s="354" t="s">
        <v>22</v>
      </c>
      <c r="D33" s="364" t="s">
        <v>184</v>
      </c>
      <c r="E33" s="364" t="s">
        <v>184</v>
      </c>
      <c r="F33" s="364" t="s">
        <v>184</v>
      </c>
      <c r="G33" s="269" t="s">
        <v>23</v>
      </c>
      <c r="H33" s="269" t="s">
        <v>23</v>
      </c>
      <c r="I33" s="794" t="s">
        <v>34</v>
      </c>
      <c r="J33" s="794" t="s">
        <v>34</v>
      </c>
      <c r="K33" s="794" t="s">
        <v>34</v>
      </c>
      <c r="L33" s="795" t="s">
        <v>30</v>
      </c>
      <c r="M33" s="269" t="s">
        <v>23</v>
      </c>
      <c r="N33" s="269" t="s">
        <v>23</v>
      </c>
      <c r="O33" s="794" t="s">
        <v>34</v>
      </c>
      <c r="P33" s="794" t="s">
        <v>34</v>
      </c>
      <c r="Q33" s="233" t="s">
        <v>24</v>
      </c>
      <c r="R33" s="233" t="s">
        <v>24</v>
      </c>
      <c r="S33" s="269" t="s">
        <v>23</v>
      </c>
      <c r="T33" s="269" t="s">
        <v>23</v>
      </c>
      <c r="U33" s="353" t="s">
        <v>63</v>
      </c>
      <c r="V33" s="353" t="s">
        <v>63</v>
      </c>
      <c r="W33" s="353" t="s">
        <v>63</v>
      </c>
      <c r="X33" s="353" t="s">
        <v>63</v>
      </c>
      <c r="Y33" s="269" t="s">
        <v>23</v>
      </c>
      <c r="Z33" s="269" t="s">
        <v>23</v>
      </c>
      <c r="AA33" s="269" t="s">
        <v>23</v>
      </c>
      <c r="AB33" s="233" t="s">
        <v>24</v>
      </c>
      <c r="AC33" s="233" t="s">
        <v>24</v>
      </c>
      <c r="AD33" s="233" t="s">
        <v>24</v>
      </c>
      <c r="AE33" s="269" t="s">
        <v>23</v>
      </c>
      <c r="AF33" s="357" t="s">
        <v>22</v>
      </c>
      <c r="AH33" s="37">
        <f>VLOOKUP(B33,'MAY25'!$B:$AK,36,0)</f>
        <v>10</v>
      </c>
      <c r="AI33" s="35">
        <f t="shared" si="4"/>
        <v>5</v>
      </c>
      <c r="AJ33" s="38">
        <f t="shared" si="5"/>
        <v>5</v>
      </c>
    </row>
    <row r="34" spans="1:36" ht="18.75" customHeight="1">
      <c r="A34" s="602" t="s">
        <v>75</v>
      </c>
      <c r="B34" s="509" t="s">
        <v>76</v>
      </c>
      <c r="C34" s="233" t="s">
        <v>24</v>
      </c>
      <c r="D34" s="233" t="s">
        <v>24</v>
      </c>
      <c r="E34" s="233" t="s">
        <v>24</v>
      </c>
      <c r="F34" s="269" t="s">
        <v>23</v>
      </c>
      <c r="G34" s="354" t="s">
        <v>22</v>
      </c>
      <c r="H34" s="354" t="s">
        <v>22</v>
      </c>
      <c r="I34" s="354" t="s">
        <v>22</v>
      </c>
      <c r="J34" s="354" t="s">
        <v>22</v>
      </c>
      <c r="K34" s="269" t="s">
        <v>23</v>
      </c>
      <c r="L34" s="269" t="s">
        <v>23</v>
      </c>
      <c r="M34" s="233" t="s">
        <v>24</v>
      </c>
      <c r="N34" s="233" t="s">
        <v>24</v>
      </c>
      <c r="O34" s="233" t="s">
        <v>24</v>
      </c>
      <c r="P34" s="233" t="s">
        <v>24</v>
      </c>
      <c r="Q34" s="269" t="s">
        <v>23</v>
      </c>
      <c r="R34" s="269" t="s">
        <v>23</v>
      </c>
      <c r="S34" s="354" t="s">
        <v>22</v>
      </c>
      <c r="T34" s="354" t="s">
        <v>22</v>
      </c>
      <c r="U34" s="354" t="s">
        <v>22</v>
      </c>
      <c r="V34" s="354" t="s">
        <v>22</v>
      </c>
      <c r="W34" s="269" t="s">
        <v>23</v>
      </c>
      <c r="X34" s="269" t="s">
        <v>23</v>
      </c>
      <c r="Y34" s="353" t="s">
        <v>63</v>
      </c>
      <c r="Z34" s="353" t="s">
        <v>63</v>
      </c>
      <c r="AA34" s="353" t="s">
        <v>63</v>
      </c>
      <c r="AB34" s="353" t="s">
        <v>63</v>
      </c>
      <c r="AC34" s="269" t="s">
        <v>23</v>
      </c>
      <c r="AD34" s="269" t="s">
        <v>23</v>
      </c>
      <c r="AE34" s="233" t="s">
        <v>24</v>
      </c>
      <c r="AF34" s="236" t="s">
        <v>24</v>
      </c>
      <c r="AH34" s="37">
        <f>VLOOKUP(B34,'MAY25'!$B:$AK,36,0)</f>
        <v>22</v>
      </c>
      <c r="AI34" s="35">
        <f t="shared" si="4"/>
        <v>0</v>
      </c>
      <c r="AJ34" s="38">
        <f t="shared" si="5"/>
        <v>22</v>
      </c>
    </row>
    <row r="35" spans="1:36" ht="18.75" customHeight="1">
      <c r="A35" s="602" t="s">
        <v>77</v>
      </c>
      <c r="B35" s="509" t="s">
        <v>78</v>
      </c>
      <c r="C35" s="269" t="s">
        <v>23</v>
      </c>
      <c r="D35" s="269" t="s">
        <v>23</v>
      </c>
      <c r="E35" s="796" t="s">
        <v>108</v>
      </c>
      <c r="F35" s="796" t="s">
        <v>108</v>
      </c>
      <c r="G35" s="796" t="s">
        <v>108</v>
      </c>
      <c r="H35" s="796" t="s">
        <v>108</v>
      </c>
      <c r="I35" s="796" t="s">
        <v>108</v>
      </c>
      <c r="J35" s="796" t="s">
        <v>108</v>
      </c>
      <c r="K35" s="796" t="s">
        <v>108</v>
      </c>
      <c r="L35" s="796" t="s">
        <v>108</v>
      </c>
      <c r="M35" s="796" t="s">
        <v>108</v>
      </c>
      <c r="N35" s="796" t="s">
        <v>108</v>
      </c>
      <c r="O35" s="796" t="s">
        <v>108</v>
      </c>
      <c r="P35" s="796" t="s">
        <v>108</v>
      </c>
      <c r="Q35" s="796" t="s">
        <v>108</v>
      </c>
      <c r="R35" s="796" t="s">
        <v>108</v>
      </c>
      <c r="S35" s="796" t="s">
        <v>108</v>
      </c>
      <c r="T35" s="796" t="s">
        <v>108</v>
      </c>
      <c r="U35" s="796" t="s">
        <v>108</v>
      </c>
      <c r="V35" s="796" t="s">
        <v>108</v>
      </c>
      <c r="W35" s="796" t="s">
        <v>108</v>
      </c>
      <c r="X35" s="796" t="s">
        <v>108</v>
      </c>
      <c r="Y35" s="796" t="s">
        <v>108</v>
      </c>
      <c r="Z35" s="796" t="s">
        <v>108</v>
      </c>
      <c r="AA35" s="796" t="s">
        <v>108</v>
      </c>
      <c r="AB35" s="796" t="s">
        <v>108</v>
      </c>
      <c r="AC35" s="796" t="s">
        <v>108</v>
      </c>
      <c r="AD35" s="796" t="s">
        <v>108</v>
      </c>
      <c r="AE35" s="796" t="s">
        <v>108</v>
      </c>
      <c r="AF35" s="811" t="s">
        <v>108</v>
      </c>
      <c r="AH35" s="37">
        <f>VLOOKUP(B35,'MAY25'!$B:$AK,36,0)</f>
        <v>18</v>
      </c>
      <c r="AI35" s="35">
        <f t="shared" si="4"/>
        <v>0</v>
      </c>
      <c r="AJ35" s="38">
        <f t="shared" si="5"/>
        <v>18</v>
      </c>
    </row>
    <row r="36" spans="1:36" ht="18.75" customHeight="1">
      <c r="A36" s="602" t="s">
        <v>79</v>
      </c>
      <c r="B36" s="509" t="s">
        <v>80</v>
      </c>
      <c r="C36" s="353" t="s">
        <v>63</v>
      </c>
      <c r="D36" s="353" t="s">
        <v>63</v>
      </c>
      <c r="E36" s="353" t="s">
        <v>63</v>
      </c>
      <c r="F36" s="353" t="s">
        <v>63</v>
      </c>
      <c r="G36" s="269" t="s">
        <v>23</v>
      </c>
      <c r="H36" s="269" t="s">
        <v>23</v>
      </c>
      <c r="I36" s="233" t="s">
        <v>24</v>
      </c>
      <c r="J36" s="233" t="s">
        <v>24</v>
      </c>
      <c r="K36" s="233" t="s">
        <v>24</v>
      </c>
      <c r="L36" s="233" t="s">
        <v>24</v>
      </c>
      <c r="M36" s="269" t="s">
        <v>23</v>
      </c>
      <c r="N36" s="269" t="s">
        <v>23</v>
      </c>
      <c r="O36" s="354" t="s">
        <v>22</v>
      </c>
      <c r="P36" s="354" t="s">
        <v>22</v>
      </c>
      <c r="Q36" s="354" t="s">
        <v>22</v>
      </c>
      <c r="R36" s="354" t="s">
        <v>22</v>
      </c>
      <c r="S36" s="269" t="s">
        <v>23</v>
      </c>
      <c r="T36" s="269" t="s">
        <v>23</v>
      </c>
      <c r="U36" s="233" t="s">
        <v>24</v>
      </c>
      <c r="V36" s="233" t="s">
        <v>24</v>
      </c>
      <c r="W36" s="233" t="s">
        <v>24</v>
      </c>
      <c r="X36" s="233" t="s">
        <v>24</v>
      </c>
      <c r="Y36" s="269" t="s">
        <v>23</v>
      </c>
      <c r="Z36" s="269" t="s">
        <v>23</v>
      </c>
      <c r="AA36" s="794" t="s">
        <v>34</v>
      </c>
      <c r="AB36" s="354" t="s">
        <v>22</v>
      </c>
      <c r="AC36" s="354" t="s">
        <v>22</v>
      </c>
      <c r="AD36" s="354" t="s">
        <v>22</v>
      </c>
      <c r="AE36" s="269" t="s">
        <v>23</v>
      </c>
      <c r="AF36" s="271" t="s">
        <v>23</v>
      </c>
      <c r="AH36" s="37">
        <f>VLOOKUP(B36,'MAY25'!$B:$AK,36,0)</f>
        <v>21</v>
      </c>
      <c r="AI36" s="35">
        <f t="shared" si="4"/>
        <v>1</v>
      </c>
      <c r="AJ36" s="38">
        <f t="shared" si="5"/>
        <v>20</v>
      </c>
    </row>
    <row r="37" spans="1:36" ht="18.75" customHeight="1">
      <c r="A37" s="602" t="s">
        <v>81</v>
      </c>
      <c r="B37" s="509" t="s">
        <v>82</v>
      </c>
      <c r="C37" s="354" t="s">
        <v>22</v>
      </c>
      <c r="D37" s="756" t="s">
        <v>84</v>
      </c>
      <c r="E37" s="269" t="s">
        <v>23</v>
      </c>
      <c r="F37" s="269" t="s">
        <v>23</v>
      </c>
      <c r="G37" s="353" t="s">
        <v>63</v>
      </c>
      <c r="H37" s="756" t="s">
        <v>84</v>
      </c>
      <c r="I37" s="353" t="s">
        <v>63</v>
      </c>
      <c r="J37" s="353" t="s">
        <v>63</v>
      </c>
      <c r="K37" s="269" t="s">
        <v>23</v>
      </c>
      <c r="L37" s="269" t="s">
        <v>23</v>
      </c>
      <c r="M37" s="233" t="s">
        <v>24</v>
      </c>
      <c r="N37" s="233" t="s">
        <v>24</v>
      </c>
      <c r="O37" s="233" t="s">
        <v>24</v>
      </c>
      <c r="P37" s="269" t="s">
        <v>23</v>
      </c>
      <c r="Q37" s="269" t="s">
        <v>23</v>
      </c>
      <c r="R37" s="354" t="s">
        <v>22</v>
      </c>
      <c r="S37" s="354" t="s">
        <v>22</v>
      </c>
      <c r="T37" s="354" t="s">
        <v>22</v>
      </c>
      <c r="U37" s="354" t="s">
        <v>22</v>
      </c>
      <c r="V37" s="354" t="s">
        <v>22</v>
      </c>
      <c r="W37" s="269" t="s">
        <v>23</v>
      </c>
      <c r="X37" s="269" t="s">
        <v>23</v>
      </c>
      <c r="Y37" s="233" t="s">
        <v>24</v>
      </c>
      <c r="Z37" s="233" t="s">
        <v>24</v>
      </c>
      <c r="AA37" s="233" t="s">
        <v>24</v>
      </c>
      <c r="AB37" s="233" t="s">
        <v>24</v>
      </c>
      <c r="AC37" s="269" t="s">
        <v>23</v>
      </c>
      <c r="AD37" s="269" t="s">
        <v>23</v>
      </c>
      <c r="AE37" s="354" t="s">
        <v>22</v>
      </c>
      <c r="AF37" s="357" t="s">
        <v>22</v>
      </c>
      <c r="AH37" s="37">
        <f>VLOOKUP(B37,'MAY25'!$B:$AK,36,0)</f>
        <v>10</v>
      </c>
      <c r="AI37" s="35">
        <f t="shared" si="4"/>
        <v>0</v>
      </c>
      <c r="AJ37" s="38">
        <f t="shared" si="5"/>
        <v>10</v>
      </c>
    </row>
    <row r="38" spans="1:36" ht="18.75" customHeight="1">
      <c r="A38" s="602" t="s">
        <v>85</v>
      </c>
      <c r="B38" s="509" t="s">
        <v>86</v>
      </c>
      <c r="C38" s="269" t="s">
        <v>23</v>
      </c>
      <c r="D38" s="269" t="s">
        <v>23</v>
      </c>
      <c r="E38" s="354" t="s">
        <v>22</v>
      </c>
      <c r="F38" s="354" t="s">
        <v>22</v>
      </c>
      <c r="G38" s="354" t="s">
        <v>22</v>
      </c>
      <c r="H38" s="354" t="s">
        <v>22</v>
      </c>
      <c r="I38" s="269" t="s">
        <v>23</v>
      </c>
      <c r="J38" s="269" t="s">
        <v>23</v>
      </c>
      <c r="K38" s="353" t="s">
        <v>63</v>
      </c>
      <c r="L38" s="353" t="s">
        <v>63</v>
      </c>
      <c r="M38" s="353" t="s">
        <v>63</v>
      </c>
      <c r="N38" s="353" t="s">
        <v>63</v>
      </c>
      <c r="O38" s="269" t="s">
        <v>23</v>
      </c>
      <c r="P38" s="269" t="s">
        <v>23</v>
      </c>
      <c r="Q38" s="794" t="s">
        <v>34</v>
      </c>
      <c r="R38" s="794" t="s">
        <v>34</v>
      </c>
      <c r="S38" s="233" t="s">
        <v>24</v>
      </c>
      <c r="T38" s="233" t="s">
        <v>24</v>
      </c>
      <c r="U38" s="269" t="s">
        <v>23</v>
      </c>
      <c r="V38" s="269" t="s">
        <v>23</v>
      </c>
      <c r="W38" s="354" t="s">
        <v>22</v>
      </c>
      <c r="X38" s="354" t="s">
        <v>22</v>
      </c>
      <c r="Y38" s="354" t="s">
        <v>22</v>
      </c>
      <c r="Z38" s="354" t="s">
        <v>22</v>
      </c>
      <c r="AA38" s="269" t="s">
        <v>23</v>
      </c>
      <c r="AB38" s="269" t="s">
        <v>23</v>
      </c>
      <c r="AC38" s="233" t="s">
        <v>24</v>
      </c>
      <c r="AD38" s="233" t="s">
        <v>24</v>
      </c>
      <c r="AE38" s="233" t="s">
        <v>24</v>
      </c>
      <c r="AF38" s="236" t="s">
        <v>24</v>
      </c>
      <c r="AH38" s="37">
        <f>VLOOKUP(B38,'MAY25'!$B:$AK,36,0)</f>
        <v>17</v>
      </c>
      <c r="AI38" s="35">
        <f t="shared" si="4"/>
        <v>2</v>
      </c>
      <c r="AJ38" s="38">
        <f t="shared" si="5"/>
        <v>15</v>
      </c>
    </row>
    <row r="39" spans="1:36" ht="18.75" customHeight="1">
      <c r="A39" s="602" t="s">
        <v>87</v>
      </c>
      <c r="B39" s="509" t="s">
        <v>88</v>
      </c>
      <c r="C39" s="233" t="s">
        <v>24</v>
      </c>
      <c r="D39" s="233" t="s">
        <v>24</v>
      </c>
      <c r="E39" s="233" t="s">
        <v>24</v>
      </c>
      <c r="F39" s="233" t="s">
        <v>24</v>
      </c>
      <c r="G39" s="269" t="s">
        <v>23</v>
      </c>
      <c r="H39" s="269" t="s">
        <v>23</v>
      </c>
      <c r="I39" s="354" t="s">
        <v>22</v>
      </c>
      <c r="J39" s="354" t="s">
        <v>22</v>
      </c>
      <c r="K39" s="354" t="s">
        <v>22</v>
      </c>
      <c r="L39" s="354" t="s">
        <v>22</v>
      </c>
      <c r="M39" s="269" t="s">
        <v>23</v>
      </c>
      <c r="N39" s="269" t="s">
        <v>23</v>
      </c>
      <c r="O39" s="353" t="s">
        <v>63</v>
      </c>
      <c r="P39" s="353" t="s">
        <v>63</v>
      </c>
      <c r="Q39" s="353" t="s">
        <v>63</v>
      </c>
      <c r="R39" s="353" t="s">
        <v>63</v>
      </c>
      <c r="S39" s="269" t="s">
        <v>23</v>
      </c>
      <c r="T39" s="269" t="s">
        <v>23</v>
      </c>
      <c r="U39" s="233" t="s">
        <v>24</v>
      </c>
      <c r="V39" s="233" t="s">
        <v>24</v>
      </c>
      <c r="W39" s="233" t="s">
        <v>24</v>
      </c>
      <c r="X39" s="233" t="s">
        <v>24</v>
      </c>
      <c r="Y39" s="269" t="s">
        <v>23</v>
      </c>
      <c r="Z39" s="269" t="s">
        <v>23</v>
      </c>
      <c r="AA39" s="354" t="s">
        <v>22</v>
      </c>
      <c r="AB39" s="354" t="s">
        <v>22</v>
      </c>
      <c r="AC39" s="354" t="s">
        <v>22</v>
      </c>
      <c r="AD39" s="354" t="s">
        <v>22</v>
      </c>
      <c r="AE39" s="269" t="s">
        <v>23</v>
      </c>
      <c r="AF39" s="271" t="s">
        <v>23</v>
      </c>
      <c r="AH39" s="37">
        <f>VLOOKUP(B39,'MAY25'!$B:$AK,36,0)</f>
        <v>14</v>
      </c>
      <c r="AI39" s="35">
        <f t="shared" si="4"/>
        <v>0</v>
      </c>
      <c r="AJ39" s="38">
        <f t="shared" si="5"/>
        <v>14</v>
      </c>
    </row>
    <row r="40" spans="1:36" ht="18.75" customHeight="1">
      <c r="A40" s="602" t="s">
        <v>90</v>
      </c>
      <c r="B40" s="509" t="s">
        <v>91</v>
      </c>
      <c r="C40" s="797" t="s">
        <v>108</v>
      </c>
      <c r="D40" s="797" t="s">
        <v>108</v>
      </c>
      <c r="E40" s="797" t="s">
        <v>108</v>
      </c>
      <c r="F40" s="797" t="s">
        <v>108</v>
      </c>
      <c r="G40" s="797" t="s">
        <v>108</v>
      </c>
      <c r="H40" s="797" t="s">
        <v>108</v>
      </c>
      <c r="I40" s="797" t="s">
        <v>108</v>
      </c>
      <c r="J40" s="797" t="s">
        <v>108</v>
      </c>
      <c r="K40" s="797" t="s">
        <v>108</v>
      </c>
      <c r="L40" s="797" t="s">
        <v>108</v>
      </c>
      <c r="M40" s="797" t="s">
        <v>108</v>
      </c>
      <c r="N40" s="797" t="s">
        <v>108</v>
      </c>
      <c r="O40" s="797" t="s">
        <v>108</v>
      </c>
      <c r="P40" s="797" t="s">
        <v>108</v>
      </c>
      <c r="Q40" s="797" t="s">
        <v>108</v>
      </c>
      <c r="R40" s="797" t="s">
        <v>108</v>
      </c>
      <c r="S40" s="797" t="s">
        <v>108</v>
      </c>
      <c r="T40" s="797" t="s">
        <v>108</v>
      </c>
      <c r="U40" s="797" t="s">
        <v>108</v>
      </c>
      <c r="V40" s="797" t="s">
        <v>108</v>
      </c>
      <c r="W40" s="797" t="s">
        <v>108</v>
      </c>
      <c r="X40" s="797" t="s">
        <v>108</v>
      </c>
      <c r="Y40" s="797" t="s">
        <v>108</v>
      </c>
      <c r="Z40" s="797" t="s">
        <v>108</v>
      </c>
      <c r="AA40" s="797" t="s">
        <v>108</v>
      </c>
      <c r="AB40" s="797" t="s">
        <v>108</v>
      </c>
      <c r="AC40" s="797" t="s">
        <v>108</v>
      </c>
      <c r="AD40" s="797" t="s">
        <v>108</v>
      </c>
      <c r="AE40" s="797" t="s">
        <v>108</v>
      </c>
      <c r="AF40" s="812" t="s">
        <v>108</v>
      </c>
      <c r="AH40" s="37">
        <f>VLOOKUP(B40,'MAY25'!$B:$AK,36,0)</f>
        <v>11</v>
      </c>
      <c r="AI40" s="35">
        <f t="shared" si="4"/>
        <v>0</v>
      </c>
      <c r="AJ40" s="38">
        <f t="shared" si="5"/>
        <v>11</v>
      </c>
    </row>
    <row r="41" spans="1:36" ht="19.5" customHeight="1" thickBot="1">
      <c r="A41" s="680" t="s">
        <v>94</v>
      </c>
      <c r="B41" s="508" t="s">
        <v>95</v>
      </c>
      <c r="C41" s="279" t="s">
        <v>23</v>
      </c>
      <c r="D41" s="366" t="s">
        <v>184</v>
      </c>
      <c r="E41" s="366" t="s">
        <v>184</v>
      </c>
      <c r="F41" s="366" t="s">
        <v>184</v>
      </c>
      <c r="G41" s="279" t="s">
        <v>23</v>
      </c>
      <c r="H41" s="279" t="s">
        <v>23</v>
      </c>
      <c r="I41" s="813" t="s">
        <v>34</v>
      </c>
      <c r="J41" s="223" t="s">
        <v>22</v>
      </c>
      <c r="K41" s="223" t="s">
        <v>22</v>
      </c>
      <c r="L41" s="223" t="s">
        <v>22</v>
      </c>
      <c r="M41" s="24" t="s">
        <v>23</v>
      </c>
      <c r="N41" s="237" t="s">
        <v>24</v>
      </c>
      <c r="O41" s="360" t="s">
        <v>34</v>
      </c>
      <c r="P41" s="237" t="s">
        <v>24</v>
      </c>
      <c r="Q41" s="237" t="s">
        <v>24</v>
      </c>
      <c r="R41" s="24" t="s">
        <v>23</v>
      </c>
      <c r="S41" s="24" t="s">
        <v>23</v>
      </c>
      <c r="T41" s="223" t="s">
        <v>22</v>
      </c>
      <c r="U41" s="223" t="s">
        <v>22</v>
      </c>
      <c r="V41" s="223" t="s">
        <v>22</v>
      </c>
      <c r="W41" s="223" t="s">
        <v>22</v>
      </c>
      <c r="X41" s="24" t="s">
        <v>23</v>
      </c>
      <c r="Y41" s="24" t="s">
        <v>23</v>
      </c>
      <c r="Z41" s="237" t="s">
        <v>24</v>
      </c>
      <c r="AA41" s="237" t="s">
        <v>24</v>
      </c>
      <c r="AB41" s="237" t="s">
        <v>24</v>
      </c>
      <c r="AC41" s="237" t="s">
        <v>24</v>
      </c>
      <c r="AD41" s="24" t="s">
        <v>23</v>
      </c>
      <c r="AE41" s="24" t="s">
        <v>23</v>
      </c>
      <c r="AF41" s="222" t="s">
        <v>22</v>
      </c>
      <c r="AH41" s="46">
        <f>VLOOKUP(B41,'MAY25'!$B:$AK,36,0)</f>
        <v>22</v>
      </c>
      <c r="AI41" s="16">
        <f>COUNTIF(C41:AF41,"U")</f>
        <v>2</v>
      </c>
      <c r="AJ41" s="52">
        <f>AH41-AI41</f>
        <v>20</v>
      </c>
    </row>
    <row r="42" spans="1:36" ht="20.100000000000001" customHeight="1" thickBot="1">
      <c r="B42" s="249"/>
      <c r="C42" s="303"/>
      <c r="D42" s="787"/>
      <c r="E42" s="787"/>
      <c r="F42" s="787"/>
      <c r="G42" s="303"/>
      <c r="H42" s="303"/>
      <c r="I42" s="788"/>
      <c r="J42" s="244"/>
      <c r="K42" s="244"/>
      <c r="L42" s="244"/>
      <c r="M42" s="167"/>
      <c r="N42" s="303"/>
      <c r="O42" s="789"/>
      <c r="P42" s="303"/>
      <c r="Q42" s="303"/>
      <c r="R42" s="167"/>
      <c r="S42" s="167"/>
      <c r="T42" s="244"/>
      <c r="U42" s="244"/>
      <c r="V42" s="244"/>
      <c r="W42" s="244"/>
      <c r="X42" s="167"/>
      <c r="Y42" s="167"/>
      <c r="Z42" s="303"/>
      <c r="AA42" s="303"/>
      <c r="AB42" s="303"/>
      <c r="AC42" s="303"/>
      <c r="AD42" s="167"/>
      <c r="AE42" s="167"/>
      <c r="AF42" s="244"/>
      <c r="AH42" s="72"/>
      <c r="AI42" s="72"/>
      <c r="AJ42" s="72"/>
    </row>
    <row r="43" spans="1:36" ht="24.95" customHeight="1" thickBot="1">
      <c r="A43" s="581" t="s">
        <v>97</v>
      </c>
      <c r="B43" s="514"/>
      <c r="C43" s="514"/>
      <c r="D43" s="514"/>
      <c r="E43" s="514"/>
      <c r="F43" s="514"/>
      <c r="G43" s="514"/>
      <c r="H43" s="514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Y43" s="514"/>
      <c r="Z43" s="514"/>
      <c r="AA43" s="514"/>
      <c r="AB43" s="514"/>
      <c r="AC43" s="514"/>
      <c r="AD43" s="650"/>
      <c r="AE43" s="650"/>
      <c r="AF43" s="651"/>
      <c r="AH43" s="72"/>
      <c r="AI43" s="72"/>
      <c r="AJ43" s="72"/>
    </row>
    <row r="44" spans="1:36" ht="18.75" customHeight="1">
      <c r="A44" s="602" t="s">
        <v>98</v>
      </c>
      <c r="B44" s="509" t="s">
        <v>99</v>
      </c>
      <c r="C44" s="269" t="s">
        <v>23</v>
      </c>
      <c r="D44" s="798" t="s">
        <v>181</v>
      </c>
      <c r="E44" s="798" t="s">
        <v>181</v>
      </c>
      <c r="F44" s="798" t="s">
        <v>181</v>
      </c>
      <c r="G44" s="798" t="s">
        <v>181</v>
      </c>
      <c r="H44" s="798" t="s">
        <v>181</v>
      </c>
      <c r="I44" s="269" t="s">
        <v>23</v>
      </c>
      <c r="J44" s="269" t="s">
        <v>23</v>
      </c>
      <c r="K44" s="354" t="s">
        <v>22</v>
      </c>
      <c r="L44" s="354" t="s">
        <v>22</v>
      </c>
      <c r="M44" s="354" t="s">
        <v>22</v>
      </c>
      <c r="N44" s="354" t="s">
        <v>22</v>
      </c>
      <c r="O44" s="354" t="s">
        <v>22</v>
      </c>
      <c r="P44" s="269" t="s">
        <v>23</v>
      </c>
      <c r="Q44" s="269" t="s">
        <v>23</v>
      </c>
      <c r="R44" s="233" t="s">
        <v>24</v>
      </c>
      <c r="S44" s="233" t="s">
        <v>24</v>
      </c>
      <c r="T44" s="233" t="s">
        <v>24</v>
      </c>
      <c r="U44" s="233" t="s">
        <v>24</v>
      </c>
      <c r="V44" s="269" t="s">
        <v>23</v>
      </c>
      <c r="W44" s="269" t="s">
        <v>23</v>
      </c>
      <c r="X44" s="799" t="s">
        <v>34</v>
      </c>
      <c r="Y44" s="799" t="s">
        <v>34</v>
      </c>
      <c r="Z44" s="795" t="s">
        <v>30</v>
      </c>
      <c r="AA44" s="799" t="s">
        <v>34</v>
      </c>
      <c r="AB44" s="269" t="s">
        <v>23</v>
      </c>
      <c r="AC44" s="269" t="s">
        <v>23</v>
      </c>
      <c r="AD44" s="799" t="s">
        <v>34</v>
      </c>
      <c r="AE44" s="799" t="s">
        <v>34</v>
      </c>
      <c r="AF44" s="814" t="s">
        <v>34</v>
      </c>
      <c r="AH44" s="4">
        <f>VLOOKUP(B44,'MAY25'!$B:$AK,36,0)</f>
        <v>21</v>
      </c>
      <c r="AI44" s="56">
        <f t="shared" si="4"/>
        <v>6</v>
      </c>
      <c r="AJ44" s="57">
        <f t="shared" si="5"/>
        <v>15</v>
      </c>
    </row>
    <row r="45" spans="1:36" ht="18.75" customHeight="1">
      <c r="A45" s="602" t="s">
        <v>123</v>
      </c>
      <c r="B45" s="509" t="s">
        <v>124</v>
      </c>
      <c r="C45" s="25" t="s">
        <v>23</v>
      </c>
      <c r="D45" s="354" t="s">
        <v>22</v>
      </c>
      <c r="E45" s="364" t="s">
        <v>184</v>
      </c>
      <c r="F45" s="364" t="s">
        <v>184</v>
      </c>
      <c r="G45" s="364" t="s">
        <v>184</v>
      </c>
      <c r="H45" s="25" t="s">
        <v>23</v>
      </c>
      <c r="I45" s="25" t="s">
        <v>23</v>
      </c>
      <c r="J45" s="233" t="s">
        <v>24</v>
      </c>
      <c r="K45" s="233" t="s">
        <v>24</v>
      </c>
      <c r="L45" s="233" t="s">
        <v>24</v>
      </c>
      <c r="M45" s="233" t="s">
        <v>24</v>
      </c>
      <c r="N45" s="25" t="s">
        <v>23</v>
      </c>
      <c r="O45" s="25" t="s">
        <v>23</v>
      </c>
      <c r="P45" s="354" t="s">
        <v>22</v>
      </c>
      <c r="Q45" s="354" t="s">
        <v>22</v>
      </c>
      <c r="R45" s="354" t="s">
        <v>22</v>
      </c>
      <c r="S45" s="800" t="s">
        <v>53</v>
      </c>
      <c r="T45" s="25" t="s">
        <v>23</v>
      </c>
      <c r="U45" s="25" t="s">
        <v>23</v>
      </c>
      <c r="V45" s="799" t="s">
        <v>34</v>
      </c>
      <c r="W45" s="799" t="s">
        <v>34</v>
      </c>
      <c r="X45" s="799" t="s">
        <v>34</v>
      </c>
      <c r="Y45" s="799" t="s">
        <v>34</v>
      </c>
      <c r="Z45" s="25" t="s">
        <v>23</v>
      </c>
      <c r="AA45" s="25" t="s">
        <v>23</v>
      </c>
      <c r="AB45" s="354" t="s">
        <v>22</v>
      </c>
      <c r="AC45" s="354" t="s">
        <v>22</v>
      </c>
      <c r="AD45" s="354" t="s">
        <v>22</v>
      </c>
      <c r="AE45" s="354" t="s">
        <v>22</v>
      </c>
      <c r="AF45" s="36" t="s">
        <v>23</v>
      </c>
      <c r="AH45" s="37">
        <f>VLOOKUP(B45,'MAY25'!$B:$AK,36,0)</f>
        <v>19</v>
      </c>
      <c r="AI45" s="35">
        <f t="shared" ref="AI45" si="6">COUNTIF(C45:AF45,"U")</f>
        <v>4</v>
      </c>
      <c r="AJ45" s="38">
        <f t="shared" ref="AJ45" si="7">AH45-AI45</f>
        <v>15</v>
      </c>
    </row>
    <row r="46" spans="1:36" ht="18.75" customHeight="1">
      <c r="A46" s="602" t="s">
        <v>111</v>
      </c>
      <c r="B46" s="509" t="s">
        <v>112</v>
      </c>
      <c r="C46" s="25" t="s">
        <v>23</v>
      </c>
      <c r="D46" s="356" t="s">
        <v>42</v>
      </c>
      <c r="E46" s="356" t="s">
        <v>147</v>
      </c>
      <c r="F46" s="356" t="s">
        <v>147</v>
      </c>
      <c r="G46" s="356" t="s">
        <v>147</v>
      </c>
      <c r="H46" s="25" t="s">
        <v>23</v>
      </c>
      <c r="I46" s="25" t="s">
        <v>23</v>
      </c>
      <c r="J46" s="353" t="s">
        <v>63</v>
      </c>
      <c r="K46" s="353" t="s">
        <v>63</v>
      </c>
      <c r="L46" s="353" t="s">
        <v>63</v>
      </c>
      <c r="M46" s="353" t="s">
        <v>63</v>
      </c>
      <c r="N46" s="25" t="s">
        <v>23</v>
      </c>
      <c r="O46" s="25" t="s">
        <v>23</v>
      </c>
      <c r="P46" s="233" t="s">
        <v>24</v>
      </c>
      <c r="Q46" s="233" t="s">
        <v>24</v>
      </c>
      <c r="R46" s="233" t="s">
        <v>24</v>
      </c>
      <c r="S46" s="233" t="s">
        <v>24</v>
      </c>
      <c r="T46" s="25" t="s">
        <v>23</v>
      </c>
      <c r="U46" s="25" t="s">
        <v>23</v>
      </c>
      <c r="V46" s="354" t="s">
        <v>22</v>
      </c>
      <c r="W46" s="354" t="s">
        <v>22</v>
      </c>
      <c r="X46" s="354" t="s">
        <v>22</v>
      </c>
      <c r="Y46" s="354" t="s">
        <v>22</v>
      </c>
      <c r="Z46" s="25" t="s">
        <v>23</v>
      </c>
      <c r="AA46" s="25" t="s">
        <v>23</v>
      </c>
      <c r="AB46" s="233" t="s">
        <v>24</v>
      </c>
      <c r="AC46" s="233" t="s">
        <v>24</v>
      </c>
      <c r="AD46" s="233" t="s">
        <v>24</v>
      </c>
      <c r="AE46" s="233" t="s">
        <v>24</v>
      </c>
      <c r="AF46" s="36" t="s">
        <v>23</v>
      </c>
      <c r="AH46" s="37">
        <f>VLOOKUP(B46,'MAY25'!$B:$AK,36,0)</f>
        <v>17</v>
      </c>
      <c r="AI46" s="35">
        <f t="shared" si="4"/>
        <v>0</v>
      </c>
      <c r="AJ46" s="38">
        <f t="shared" si="5"/>
        <v>17</v>
      </c>
    </row>
    <row r="47" spans="1:36" ht="18.75" customHeight="1">
      <c r="A47" s="602" t="s">
        <v>133</v>
      </c>
      <c r="B47" s="509" t="s">
        <v>134</v>
      </c>
      <c r="C47" s="354" t="s">
        <v>22</v>
      </c>
      <c r="D47" s="354" t="s">
        <v>22</v>
      </c>
      <c r="E47" s="354" t="s">
        <v>22</v>
      </c>
      <c r="F47" s="25" t="s">
        <v>23</v>
      </c>
      <c r="G47" s="25" t="s">
        <v>23</v>
      </c>
      <c r="H47" s="233" t="s">
        <v>24</v>
      </c>
      <c r="I47" s="233" t="s">
        <v>24</v>
      </c>
      <c r="J47" s="233" t="s">
        <v>24</v>
      </c>
      <c r="K47" s="233" t="s">
        <v>24</v>
      </c>
      <c r="L47" s="25" t="s">
        <v>23</v>
      </c>
      <c r="M47" s="25" t="s">
        <v>23</v>
      </c>
      <c r="N47" s="354" t="s">
        <v>22</v>
      </c>
      <c r="O47" s="276" t="s">
        <v>125</v>
      </c>
      <c r="P47" s="276" t="s">
        <v>125</v>
      </c>
      <c r="Q47" s="276" t="s">
        <v>125</v>
      </c>
      <c r="R47" s="25" t="s">
        <v>23</v>
      </c>
      <c r="S47" s="25" t="s">
        <v>23</v>
      </c>
      <c r="T47" s="8" t="s">
        <v>83</v>
      </c>
      <c r="U47" s="8" t="s">
        <v>83</v>
      </c>
      <c r="V47" s="8" t="s">
        <v>83</v>
      </c>
      <c r="W47" s="233" t="s">
        <v>24</v>
      </c>
      <c r="X47" s="25" t="s">
        <v>23</v>
      </c>
      <c r="Y47" s="25" t="s">
        <v>23</v>
      </c>
      <c r="Z47" s="354" t="s">
        <v>22</v>
      </c>
      <c r="AA47" s="354" t="s">
        <v>22</v>
      </c>
      <c r="AB47" s="354" t="s">
        <v>22</v>
      </c>
      <c r="AC47" s="354" t="s">
        <v>22</v>
      </c>
      <c r="AD47" s="25" t="s">
        <v>23</v>
      </c>
      <c r="AE47" s="25" t="s">
        <v>23</v>
      </c>
      <c r="AF47" s="236" t="s">
        <v>24</v>
      </c>
      <c r="AH47" s="37">
        <f>VLOOKUP(B47,'MAY25'!$B:$AK,36,0)</f>
        <v>16</v>
      </c>
      <c r="AI47" s="35">
        <f t="shared" ref="AI47:AI48" si="8">COUNTIF(C47:AF47,"U")</f>
        <v>0</v>
      </c>
      <c r="AJ47" s="38">
        <f t="shared" ref="AJ47:AJ48" si="9">AH47-AI47</f>
        <v>16</v>
      </c>
    </row>
    <row r="48" spans="1:36" ht="18.75" customHeight="1">
      <c r="A48" s="602" t="s">
        <v>140</v>
      </c>
      <c r="B48" s="509" t="s">
        <v>141</v>
      </c>
      <c r="C48" s="233" t="s">
        <v>24</v>
      </c>
      <c r="D48" s="25" t="s">
        <v>23</v>
      </c>
      <c r="E48" s="25" t="s">
        <v>23</v>
      </c>
      <c r="F48" s="354" t="s">
        <v>22</v>
      </c>
      <c r="G48" s="354" t="s">
        <v>22</v>
      </c>
      <c r="H48" s="354" t="s">
        <v>22</v>
      </c>
      <c r="I48" s="354" t="s">
        <v>22</v>
      </c>
      <c r="J48" s="25" t="s">
        <v>23</v>
      </c>
      <c r="K48" s="25" t="s">
        <v>23</v>
      </c>
      <c r="L48" s="356" t="s">
        <v>147</v>
      </c>
      <c r="M48" s="356" t="s">
        <v>147</v>
      </c>
      <c r="N48" s="356" t="s">
        <v>147</v>
      </c>
      <c r="O48" s="356" t="s">
        <v>147</v>
      </c>
      <c r="P48" s="25" t="s">
        <v>23</v>
      </c>
      <c r="Q48" s="25" t="s">
        <v>23</v>
      </c>
      <c r="R48" s="353" t="s">
        <v>63</v>
      </c>
      <c r="S48" s="353" t="s">
        <v>63</v>
      </c>
      <c r="T48" s="353" t="s">
        <v>63</v>
      </c>
      <c r="U48" s="353" t="s">
        <v>63</v>
      </c>
      <c r="V48" s="25" t="s">
        <v>23</v>
      </c>
      <c r="W48" s="25" t="s">
        <v>23</v>
      </c>
      <c r="X48" s="799" t="s">
        <v>34</v>
      </c>
      <c r="Y48" s="233" t="s">
        <v>24</v>
      </c>
      <c r="Z48" s="233" t="s">
        <v>24</v>
      </c>
      <c r="AA48" s="233" t="s">
        <v>24</v>
      </c>
      <c r="AB48" s="25" t="s">
        <v>23</v>
      </c>
      <c r="AC48" s="25" t="s">
        <v>23</v>
      </c>
      <c r="AD48" s="354" t="s">
        <v>22</v>
      </c>
      <c r="AE48" s="354" t="s">
        <v>22</v>
      </c>
      <c r="AF48" s="357" t="s">
        <v>22</v>
      </c>
      <c r="AH48" s="37">
        <f>VLOOKUP(B48,'MAY25'!$B:$AK,36,0)</f>
        <v>22</v>
      </c>
      <c r="AI48" s="35">
        <f t="shared" si="8"/>
        <v>1</v>
      </c>
      <c r="AJ48" s="38">
        <f t="shared" si="9"/>
        <v>21</v>
      </c>
    </row>
    <row r="49" spans="1:36" ht="18.75" customHeight="1">
      <c r="A49" s="602" t="s">
        <v>151</v>
      </c>
      <c r="B49" s="509" t="s">
        <v>152</v>
      </c>
      <c r="C49" s="25" t="s">
        <v>23</v>
      </c>
      <c r="D49" s="233" t="s">
        <v>24</v>
      </c>
      <c r="E49" s="233" t="s">
        <v>24</v>
      </c>
      <c r="F49" s="233" t="s">
        <v>24</v>
      </c>
      <c r="G49" s="233" t="s">
        <v>24</v>
      </c>
      <c r="H49" s="25" t="s">
        <v>23</v>
      </c>
      <c r="I49" s="25" t="s">
        <v>23</v>
      </c>
      <c r="J49" s="354" t="s">
        <v>22</v>
      </c>
      <c r="K49" s="354" t="s">
        <v>22</v>
      </c>
      <c r="L49" s="354" t="s">
        <v>22</v>
      </c>
      <c r="M49" s="354" t="s">
        <v>22</v>
      </c>
      <c r="N49" s="25" t="s">
        <v>23</v>
      </c>
      <c r="O49" s="25" t="s">
        <v>23</v>
      </c>
      <c r="P49" s="233" t="s">
        <v>24</v>
      </c>
      <c r="Q49" s="233" t="s">
        <v>24</v>
      </c>
      <c r="R49" s="233" t="s">
        <v>24</v>
      </c>
      <c r="S49" s="233" t="s">
        <v>24</v>
      </c>
      <c r="T49" s="25" t="s">
        <v>23</v>
      </c>
      <c r="U49" s="25" t="s">
        <v>23</v>
      </c>
      <c r="V49" s="354" t="s">
        <v>22</v>
      </c>
      <c r="W49" s="354" t="s">
        <v>22</v>
      </c>
      <c r="X49" s="354" t="s">
        <v>22</v>
      </c>
      <c r="Y49" s="92" t="s">
        <v>34</v>
      </c>
      <c r="Z49" s="25" t="s">
        <v>23</v>
      </c>
      <c r="AA49" s="25" t="s">
        <v>23</v>
      </c>
      <c r="AB49" s="92" t="s">
        <v>34</v>
      </c>
      <c r="AC49" s="92" t="s">
        <v>34</v>
      </c>
      <c r="AD49" s="92" t="s">
        <v>34</v>
      </c>
      <c r="AE49" s="92" t="s">
        <v>34</v>
      </c>
      <c r="AF49" s="36" t="s">
        <v>23</v>
      </c>
      <c r="AH49" s="37">
        <f>VLOOKUP(B49,'MAY25'!$B:$AK,36,0)</f>
        <v>13</v>
      </c>
      <c r="AI49" s="35">
        <f t="shared" si="4"/>
        <v>5</v>
      </c>
      <c r="AJ49" s="38">
        <f t="shared" si="5"/>
        <v>8</v>
      </c>
    </row>
    <row r="50" spans="1:36" ht="18.75" customHeight="1">
      <c r="A50" s="602" t="s">
        <v>113</v>
      </c>
      <c r="B50" s="509" t="s">
        <v>114</v>
      </c>
      <c r="C50" s="794" t="s">
        <v>34</v>
      </c>
      <c r="D50" s="794" t="s">
        <v>34</v>
      </c>
      <c r="E50" s="794" t="s">
        <v>34</v>
      </c>
      <c r="F50" s="269" t="s">
        <v>23</v>
      </c>
      <c r="G50" s="269" t="s">
        <v>23</v>
      </c>
      <c r="H50" s="233" t="s">
        <v>24</v>
      </c>
      <c r="I50" s="233" t="s">
        <v>24</v>
      </c>
      <c r="J50" s="233" t="s">
        <v>24</v>
      </c>
      <c r="K50" s="233" t="s">
        <v>24</v>
      </c>
      <c r="L50" s="25" t="s">
        <v>23</v>
      </c>
      <c r="M50" s="25" t="s">
        <v>23</v>
      </c>
      <c r="N50" s="354" t="s">
        <v>22</v>
      </c>
      <c r="O50" s="354" t="s">
        <v>22</v>
      </c>
      <c r="P50" s="354" t="s">
        <v>22</v>
      </c>
      <c r="Q50" s="354" t="s">
        <v>22</v>
      </c>
      <c r="R50" s="25" t="s">
        <v>23</v>
      </c>
      <c r="S50" s="25" t="s">
        <v>23</v>
      </c>
      <c r="T50" s="356" t="s">
        <v>147</v>
      </c>
      <c r="U50" s="356" t="s">
        <v>147</v>
      </c>
      <c r="V50" s="356" t="s">
        <v>147</v>
      </c>
      <c r="W50" s="356" t="s">
        <v>147</v>
      </c>
      <c r="X50" s="25" t="s">
        <v>23</v>
      </c>
      <c r="Y50" s="25" t="s">
        <v>23</v>
      </c>
      <c r="Z50" s="353" t="s">
        <v>63</v>
      </c>
      <c r="AA50" s="353" t="s">
        <v>63</v>
      </c>
      <c r="AB50" s="353" t="s">
        <v>63</v>
      </c>
      <c r="AC50" s="353" t="s">
        <v>63</v>
      </c>
      <c r="AD50" s="25" t="s">
        <v>23</v>
      </c>
      <c r="AE50" s="25" t="s">
        <v>23</v>
      </c>
      <c r="AF50" s="236" t="s">
        <v>24</v>
      </c>
      <c r="AH50" s="37">
        <f>VLOOKUP(B50,'MAY25'!$B:$AK,36,0)</f>
        <v>6</v>
      </c>
      <c r="AI50" s="35">
        <f t="shared" si="4"/>
        <v>3</v>
      </c>
      <c r="AJ50" s="38">
        <f t="shared" si="5"/>
        <v>3</v>
      </c>
    </row>
    <row r="51" spans="1:36" ht="18.75" customHeight="1">
      <c r="A51" s="602" t="s">
        <v>117</v>
      </c>
      <c r="B51" s="509" t="s">
        <v>118</v>
      </c>
      <c r="C51" s="25" t="s">
        <v>23</v>
      </c>
      <c r="D51" s="233" t="s">
        <v>24</v>
      </c>
      <c r="E51" s="233" t="s">
        <v>24</v>
      </c>
      <c r="F51" s="233" t="s">
        <v>24</v>
      </c>
      <c r="G51" s="233" t="s">
        <v>24</v>
      </c>
      <c r="H51" s="25" t="s">
        <v>23</v>
      </c>
      <c r="I51" s="25" t="s">
        <v>23</v>
      </c>
      <c r="J51" s="354" t="s">
        <v>22</v>
      </c>
      <c r="K51" s="354" t="s">
        <v>22</v>
      </c>
      <c r="L51" s="354" t="s">
        <v>22</v>
      </c>
      <c r="M51" s="354" t="s">
        <v>22</v>
      </c>
      <c r="N51" s="25" t="s">
        <v>23</v>
      </c>
      <c r="O51" s="25" t="s">
        <v>23</v>
      </c>
      <c r="P51" s="233" t="s">
        <v>24</v>
      </c>
      <c r="Q51" s="233" t="s">
        <v>24</v>
      </c>
      <c r="R51" s="233" t="s">
        <v>24</v>
      </c>
      <c r="S51" s="8" t="s">
        <v>83</v>
      </c>
      <c r="T51" s="25" t="s">
        <v>23</v>
      </c>
      <c r="U51" s="25" t="s">
        <v>23</v>
      </c>
      <c r="V51" s="354" t="s">
        <v>22</v>
      </c>
      <c r="W51" s="354" t="s">
        <v>22</v>
      </c>
      <c r="X51" s="354" t="s">
        <v>22</v>
      </c>
      <c r="Y51" s="354" t="s">
        <v>22</v>
      </c>
      <c r="Z51" s="25" t="s">
        <v>23</v>
      </c>
      <c r="AA51" s="25" t="s">
        <v>23</v>
      </c>
      <c r="AB51" s="799" t="s">
        <v>34</v>
      </c>
      <c r="AC51" s="356" t="s">
        <v>147</v>
      </c>
      <c r="AD51" s="356" t="s">
        <v>147</v>
      </c>
      <c r="AE51" s="356" t="s">
        <v>147</v>
      </c>
      <c r="AF51" s="36" t="s">
        <v>23</v>
      </c>
      <c r="AH51" s="37">
        <f>VLOOKUP(B51,'MAY25'!$B:$AK,36,0)</f>
        <v>11</v>
      </c>
      <c r="AI51" s="35">
        <f t="shared" si="4"/>
        <v>1</v>
      </c>
      <c r="AJ51" s="38">
        <f t="shared" si="5"/>
        <v>10</v>
      </c>
    </row>
    <row r="52" spans="1:36" ht="18.75" customHeight="1" thickBot="1">
      <c r="A52" s="680" t="s">
        <v>119</v>
      </c>
      <c r="B52" s="508" t="s">
        <v>120</v>
      </c>
      <c r="C52" s="815" t="s">
        <v>19</v>
      </c>
      <c r="D52" s="815" t="s">
        <v>19</v>
      </c>
      <c r="E52" s="394" t="s">
        <v>63</v>
      </c>
      <c r="F52" s="24" t="s">
        <v>23</v>
      </c>
      <c r="G52" s="24" t="s">
        <v>23</v>
      </c>
      <c r="H52" s="237" t="s">
        <v>24</v>
      </c>
      <c r="I52" s="237" t="s">
        <v>146</v>
      </c>
      <c r="J52" s="237" t="s">
        <v>24</v>
      </c>
      <c r="K52" s="237" t="s">
        <v>24</v>
      </c>
      <c r="L52" s="24" t="s">
        <v>23</v>
      </c>
      <c r="M52" s="24" t="s">
        <v>23</v>
      </c>
      <c r="N52" s="355" t="s">
        <v>22</v>
      </c>
      <c r="O52" s="355" t="s">
        <v>22</v>
      </c>
      <c r="P52" s="355" t="s">
        <v>22</v>
      </c>
      <c r="Q52" s="355" t="s">
        <v>22</v>
      </c>
      <c r="R52" s="24" t="s">
        <v>23</v>
      </c>
      <c r="S52" s="24" t="s">
        <v>23</v>
      </c>
      <c r="T52" s="237" t="s">
        <v>24</v>
      </c>
      <c r="U52" s="237" t="s">
        <v>24</v>
      </c>
      <c r="V52" s="237" t="s">
        <v>24</v>
      </c>
      <c r="W52" s="237" t="s">
        <v>24</v>
      </c>
      <c r="X52" s="237" t="s">
        <v>24</v>
      </c>
      <c r="Y52" s="24" t="s">
        <v>23</v>
      </c>
      <c r="Z52" s="24" t="s">
        <v>23</v>
      </c>
      <c r="AA52" s="355" t="s">
        <v>22</v>
      </c>
      <c r="AB52" s="355" t="s">
        <v>22</v>
      </c>
      <c r="AC52" s="355" t="s">
        <v>22</v>
      </c>
      <c r="AD52" s="24" t="s">
        <v>23</v>
      </c>
      <c r="AE52" s="24" t="s">
        <v>23</v>
      </c>
      <c r="AF52" s="816" t="s">
        <v>147</v>
      </c>
      <c r="AH52" s="46">
        <f>VLOOKUP(B52,'MAY25'!$B:$AK,36,0)</f>
        <v>19</v>
      </c>
      <c r="AI52" s="16">
        <f t="shared" si="4"/>
        <v>0</v>
      </c>
      <c r="AJ52" s="52">
        <f t="shared" si="5"/>
        <v>19</v>
      </c>
    </row>
    <row r="53" spans="1:36" ht="9.9499999999999993" customHeight="1" thickBot="1">
      <c r="A53" s="1"/>
      <c r="B53" s="1"/>
    </row>
    <row r="54" spans="1:36" ht="17.100000000000001" customHeight="1">
      <c r="A54" s="801" t="s">
        <v>22</v>
      </c>
      <c r="B54" s="801"/>
      <c r="C54" s="817">
        <f>COUNTIF(C28:C52,$A$54)</f>
        <v>3</v>
      </c>
      <c r="D54" s="218">
        <f t="shared" ref="D54:AF54" si="10">COUNTIF(D5:D52,$A$54)</f>
        <v>7</v>
      </c>
      <c r="E54" s="218">
        <f t="shared" si="10"/>
        <v>6</v>
      </c>
      <c r="F54" s="218">
        <f t="shared" si="10"/>
        <v>6</v>
      </c>
      <c r="G54" s="218">
        <f t="shared" si="10"/>
        <v>9</v>
      </c>
      <c r="H54" s="218">
        <f t="shared" si="10"/>
        <v>9</v>
      </c>
      <c r="I54" s="218">
        <f t="shared" si="10"/>
        <v>7</v>
      </c>
      <c r="J54" s="218">
        <f t="shared" si="10"/>
        <v>9</v>
      </c>
      <c r="K54" s="218">
        <f t="shared" si="10"/>
        <v>10</v>
      </c>
      <c r="L54" s="218">
        <f t="shared" si="10"/>
        <v>10</v>
      </c>
      <c r="M54" s="218">
        <f t="shared" si="10"/>
        <v>8</v>
      </c>
      <c r="N54" s="218">
        <f t="shared" si="10"/>
        <v>10</v>
      </c>
      <c r="O54" s="218">
        <f t="shared" si="10"/>
        <v>9</v>
      </c>
      <c r="P54" s="218">
        <f t="shared" si="10"/>
        <v>9</v>
      </c>
      <c r="Q54" s="218">
        <f t="shared" si="10"/>
        <v>9</v>
      </c>
      <c r="R54" s="218">
        <f t="shared" si="10"/>
        <v>8</v>
      </c>
      <c r="S54" s="218">
        <f t="shared" si="10"/>
        <v>6</v>
      </c>
      <c r="T54" s="218">
        <f t="shared" si="10"/>
        <v>6</v>
      </c>
      <c r="U54" s="218">
        <f t="shared" si="10"/>
        <v>6</v>
      </c>
      <c r="V54" s="218">
        <f t="shared" si="10"/>
        <v>9</v>
      </c>
      <c r="W54" s="218">
        <f t="shared" si="10"/>
        <v>9</v>
      </c>
      <c r="X54" s="218">
        <f t="shared" si="10"/>
        <v>9</v>
      </c>
      <c r="Y54" s="218">
        <f t="shared" si="10"/>
        <v>8</v>
      </c>
      <c r="Z54" s="218">
        <f t="shared" si="10"/>
        <v>7</v>
      </c>
      <c r="AA54" s="218">
        <f t="shared" si="10"/>
        <v>8</v>
      </c>
      <c r="AB54" s="218">
        <f t="shared" si="10"/>
        <v>9</v>
      </c>
      <c r="AC54" s="218">
        <f t="shared" si="10"/>
        <v>11</v>
      </c>
      <c r="AD54" s="218">
        <f t="shared" si="10"/>
        <v>10</v>
      </c>
      <c r="AE54" s="218">
        <f t="shared" si="10"/>
        <v>8</v>
      </c>
      <c r="AF54" s="221">
        <f t="shared" si="10"/>
        <v>10</v>
      </c>
    </row>
    <row r="55" spans="1:36" ht="17.100000000000001" customHeight="1">
      <c r="A55" s="802" t="s">
        <v>147</v>
      </c>
      <c r="B55" s="802"/>
      <c r="C55" s="358">
        <f t="shared" ref="C55:AF55" si="11">COUNTIF(C46:C52,$A$55)</f>
        <v>0</v>
      </c>
      <c r="D55" s="225">
        <f t="shared" si="11"/>
        <v>0</v>
      </c>
      <c r="E55" s="225">
        <f t="shared" si="11"/>
        <v>1</v>
      </c>
      <c r="F55" s="225">
        <f t="shared" si="11"/>
        <v>1</v>
      </c>
      <c r="G55" s="225">
        <f t="shared" si="11"/>
        <v>1</v>
      </c>
      <c r="H55" s="225">
        <f t="shared" si="11"/>
        <v>0</v>
      </c>
      <c r="I55" s="225">
        <f t="shared" si="11"/>
        <v>0</v>
      </c>
      <c r="J55" s="225">
        <f t="shared" si="11"/>
        <v>0</v>
      </c>
      <c r="K55" s="225">
        <f t="shared" si="11"/>
        <v>0</v>
      </c>
      <c r="L55" s="225">
        <f t="shared" si="11"/>
        <v>1</v>
      </c>
      <c r="M55" s="225">
        <f t="shared" si="11"/>
        <v>1</v>
      </c>
      <c r="N55" s="225">
        <f t="shared" si="11"/>
        <v>1</v>
      </c>
      <c r="O55" s="225">
        <f t="shared" si="11"/>
        <v>1</v>
      </c>
      <c r="P55" s="225">
        <f t="shared" si="11"/>
        <v>0</v>
      </c>
      <c r="Q55" s="225">
        <f t="shared" si="11"/>
        <v>0</v>
      </c>
      <c r="R55" s="225">
        <f t="shared" si="11"/>
        <v>0</v>
      </c>
      <c r="S55" s="225">
        <f t="shared" si="11"/>
        <v>0</v>
      </c>
      <c r="T55" s="225">
        <f t="shared" si="11"/>
        <v>1</v>
      </c>
      <c r="U55" s="225">
        <f t="shared" si="11"/>
        <v>1</v>
      </c>
      <c r="V55" s="225">
        <f t="shared" si="11"/>
        <v>1</v>
      </c>
      <c r="W55" s="225">
        <f t="shared" si="11"/>
        <v>1</v>
      </c>
      <c r="X55" s="225">
        <f t="shared" si="11"/>
        <v>0</v>
      </c>
      <c r="Y55" s="225">
        <f t="shared" si="11"/>
        <v>0</v>
      </c>
      <c r="Z55" s="225">
        <f t="shared" si="11"/>
        <v>0</v>
      </c>
      <c r="AA55" s="225">
        <f t="shared" si="11"/>
        <v>0</v>
      </c>
      <c r="AB55" s="225">
        <f t="shared" si="11"/>
        <v>0</v>
      </c>
      <c r="AC55" s="225">
        <f t="shared" si="11"/>
        <v>1</v>
      </c>
      <c r="AD55" s="225">
        <f t="shared" si="11"/>
        <v>1</v>
      </c>
      <c r="AE55" s="225">
        <f t="shared" si="11"/>
        <v>1</v>
      </c>
      <c r="AF55" s="230">
        <f t="shared" si="11"/>
        <v>1</v>
      </c>
    </row>
    <row r="56" spans="1:36" ht="17.100000000000001" customHeight="1">
      <c r="A56" s="725" t="s">
        <v>24</v>
      </c>
      <c r="B56" s="725"/>
      <c r="C56" s="358">
        <f>COUNTIF(C28:C52,"P14")</f>
        <v>4</v>
      </c>
      <c r="D56" s="225">
        <f t="shared" ref="D56:AF56" si="12">COUNTIF(D5:D52,"P14")+COUNTIF(D5:D52,"P14EW")</f>
        <v>9</v>
      </c>
      <c r="E56" s="225">
        <f t="shared" si="12"/>
        <v>9</v>
      </c>
      <c r="F56" s="225">
        <f t="shared" si="12"/>
        <v>8</v>
      </c>
      <c r="G56" s="225">
        <f t="shared" si="12"/>
        <v>8</v>
      </c>
      <c r="H56" s="225">
        <f t="shared" si="12"/>
        <v>10</v>
      </c>
      <c r="I56" s="225">
        <f t="shared" si="12"/>
        <v>8</v>
      </c>
      <c r="J56" s="225">
        <f t="shared" si="12"/>
        <v>11</v>
      </c>
      <c r="K56" s="225">
        <f t="shared" si="12"/>
        <v>11</v>
      </c>
      <c r="L56" s="225">
        <f t="shared" si="12"/>
        <v>7</v>
      </c>
      <c r="M56" s="225">
        <f t="shared" si="12"/>
        <v>7</v>
      </c>
      <c r="N56" s="225">
        <f t="shared" si="12"/>
        <v>6</v>
      </c>
      <c r="O56" s="225">
        <f t="shared" si="12"/>
        <v>5</v>
      </c>
      <c r="P56" s="225">
        <f t="shared" si="12"/>
        <v>8</v>
      </c>
      <c r="Q56" s="225">
        <f t="shared" si="12"/>
        <v>9</v>
      </c>
      <c r="R56" s="225">
        <f t="shared" si="12"/>
        <v>9</v>
      </c>
      <c r="S56" s="225">
        <f t="shared" si="12"/>
        <v>8</v>
      </c>
      <c r="T56" s="225">
        <f t="shared" si="12"/>
        <v>8</v>
      </c>
      <c r="U56" s="225">
        <f t="shared" si="12"/>
        <v>8</v>
      </c>
      <c r="V56" s="225">
        <f t="shared" si="12"/>
        <v>7</v>
      </c>
      <c r="W56" s="225">
        <f t="shared" si="12"/>
        <v>8</v>
      </c>
      <c r="X56" s="225">
        <f t="shared" si="12"/>
        <v>8</v>
      </c>
      <c r="Y56" s="225">
        <f t="shared" si="12"/>
        <v>6</v>
      </c>
      <c r="Z56" s="225">
        <f t="shared" si="12"/>
        <v>7</v>
      </c>
      <c r="AA56" s="225">
        <f t="shared" si="12"/>
        <v>8</v>
      </c>
      <c r="AB56" s="225">
        <f t="shared" si="12"/>
        <v>9</v>
      </c>
      <c r="AC56" s="225">
        <f t="shared" si="12"/>
        <v>9</v>
      </c>
      <c r="AD56" s="225">
        <f t="shared" si="12"/>
        <v>7</v>
      </c>
      <c r="AE56" s="225">
        <f t="shared" si="12"/>
        <v>8</v>
      </c>
      <c r="AF56" s="230">
        <f t="shared" si="12"/>
        <v>9</v>
      </c>
    </row>
    <row r="57" spans="1:36" ht="17.100000000000001" customHeight="1" thickBot="1">
      <c r="A57" s="727" t="s">
        <v>63</v>
      </c>
      <c r="B57" s="727"/>
      <c r="C57" s="293">
        <f t="shared" ref="C57:AF57" si="13">COUNTIF(C6:C52,$A$57)</f>
        <v>2</v>
      </c>
      <c r="D57" s="283">
        <f t="shared" si="13"/>
        <v>2</v>
      </c>
      <c r="E57" s="283">
        <f t="shared" si="13"/>
        <v>3</v>
      </c>
      <c r="F57" s="283">
        <f t="shared" si="13"/>
        <v>2</v>
      </c>
      <c r="G57" s="283">
        <f t="shared" si="13"/>
        <v>2</v>
      </c>
      <c r="H57" s="283">
        <f t="shared" si="13"/>
        <v>1</v>
      </c>
      <c r="I57" s="283">
        <f t="shared" si="13"/>
        <v>2</v>
      </c>
      <c r="J57" s="283">
        <f t="shared" si="13"/>
        <v>3</v>
      </c>
      <c r="K57" s="283">
        <f t="shared" si="13"/>
        <v>3</v>
      </c>
      <c r="L57" s="283">
        <f t="shared" si="13"/>
        <v>3</v>
      </c>
      <c r="M57" s="283">
        <f t="shared" si="13"/>
        <v>2</v>
      </c>
      <c r="N57" s="283">
        <f t="shared" si="13"/>
        <v>1</v>
      </c>
      <c r="O57" s="283">
        <f t="shared" si="13"/>
        <v>1</v>
      </c>
      <c r="P57" s="283">
        <f t="shared" si="13"/>
        <v>1</v>
      </c>
      <c r="Q57" s="283">
        <f t="shared" si="13"/>
        <v>2</v>
      </c>
      <c r="R57" s="283">
        <f t="shared" si="13"/>
        <v>3</v>
      </c>
      <c r="S57" s="283">
        <f t="shared" si="13"/>
        <v>2</v>
      </c>
      <c r="T57" s="283">
        <f t="shared" si="13"/>
        <v>2</v>
      </c>
      <c r="U57" s="283">
        <f t="shared" si="13"/>
        <v>2</v>
      </c>
      <c r="V57" s="283">
        <f t="shared" si="13"/>
        <v>1</v>
      </c>
      <c r="W57" s="283">
        <f t="shared" si="13"/>
        <v>2</v>
      </c>
      <c r="X57" s="283">
        <f t="shared" si="13"/>
        <v>2</v>
      </c>
      <c r="Y57" s="283">
        <f t="shared" si="13"/>
        <v>2</v>
      </c>
      <c r="Z57" s="283">
        <f t="shared" si="13"/>
        <v>3</v>
      </c>
      <c r="AA57" s="283">
        <f t="shared" si="13"/>
        <v>2</v>
      </c>
      <c r="AB57" s="283">
        <f t="shared" si="13"/>
        <v>2</v>
      </c>
      <c r="AC57" s="283">
        <f t="shared" si="13"/>
        <v>2</v>
      </c>
      <c r="AD57" s="283">
        <f t="shared" si="13"/>
        <v>1</v>
      </c>
      <c r="AE57" s="283">
        <f t="shared" si="13"/>
        <v>1</v>
      </c>
      <c r="AF57" s="288">
        <f t="shared" si="13"/>
        <v>1</v>
      </c>
    </row>
    <row r="58" spans="1:36" ht="20.100000000000001" customHeight="1" thickBot="1"/>
    <row r="59" spans="1:36" ht="24.95" customHeight="1" thickBot="1">
      <c r="A59" s="581" t="s">
        <v>126</v>
      </c>
      <c r="B59" s="514"/>
      <c r="C59" s="514"/>
      <c r="D59" s="514"/>
      <c r="E59" s="514"/>
      <c r="F59" s="514"/>
      <c r="G59" s="514"/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39"/>
    </row>
    <row r="60" spans="1:36" ht="18.75" customHeight="1">
      <c r="A60" s="602" t="s">
        <v>127</v>
      </c>
      <c r="B60" s="509" t="s">
        <v>128</v>
      </c>
      <c r="C60" s="276" t="s">
        <v>125</v>
      </c>
      <c r="D60" s="276" t="s">
        <v>125</v>
      </c>
      <c r="E60" s="276" t="s">
        <v>125</v>
      </c>
      <c r="F60" s="231" t="s">
        <v>23</v>
      </c>
      <c r="G60" s="231" t="s">
        <v>23</v>
      </c>
      <c r="H60" s="284" t="s">
        <v>83</v>
      </c>
      <c r="I60" s="284" t="s">
        <v>83</v>
      </c>
      <c r="J60" s="284" t="s">
        <v>83</v>
      </c>
      <c r="K60" s="284" t="s">
        <v>83</v>
      </c>
      <c r="L60" s="231" t="s">
        <v>23</v>
      </c>
      <c r="M60" s="231" t="s">
        <v>23</v>
      </c>
      <c r="N60" s="231" t="s">
        <v>23</v>
      </c>
      <c r="O60" s="278" t="s">
        <v>34</v>
      </c>
      <c r="P60" s="278" t="s">
        <v>34</v>
      </c>
      <c r="Q60" s="278" t="s">
        <v>34</v>
      </c>
      <c r="R60" s="231" t="s">
        <v>23</v>
      </c>
      <c r="S60" s="231" t="s">
        <v>23</v>
      </c>
      <c r="T60" s="278" t="s">
        <v>34</v>
      </c>
      <c r="U60" s="304" t="s">
        <v>30</v>
      </c>
      <c r="V60" s="278" t="s">
        <v>34</v>
      </c>
      <c r="W60" s="284" t="s">
        <v>83</v>
      </c>
      <c r="X60" s="231" t="s">
        <v>23</v>
      </c>
      <c r="Y60" s="231" t="s">
        <v>23</v>
      </c>
      <c r="Z60" s="276" t="s">
        <v>125</v>
      </c>
      <c r="AA60" s="276" t="s">
        <v>125</v>
      </c>
      <c r="AB60" s="276" t="s">
        <v>125</v>
      </c>
      <c r="AC60" s="276" t="s">
        <v>125</v>
      </c>
      <c r="AD60" s="8" t="s">
        <v>83</v>
      </c>
      <c r="AE60" s="231" t="s">
        <v>23</v>
      </c>
      <c r="AF60" s="285" t="s">
        <v>83</v>
      </c>
      <c r="AH60" s="220">
        <f>VLOOKUP(B60,'MAY25'!$B:$AK,36,0)</f>
        <v>18</v>
      </c>
      <c r="AI60" s="218">
        <f t="shared" ref="AI60:AI64" si="14">COUNTIF(C60:AF60,"U")</f>
        <v>5</v>
      </c>
      <c r="AJ60" s="221">
        <f t="shared" ref="AJ60:AJ64" si="15">AH60-AI60</f>
        <v>13</v>
      </c>
    </row>
    <row r="61" spans="1:36" ht="18.75" customHeight="1">
      <c r="A61" s="602" t="s">
        <v>129</v>
      </c>
      <c r="B61" s="509" t="s">
        <v>130</v>
      </c>
      <c r="C61" s="231" t="s">
        <v>23</v>
      </c>
      <c r="D61" s="284" t="s">
        <v>83</v>
      </c>
      <c r="E61" s="284" t="s">
        <v>83</v>
      </c>
      <c r="F61" s="284" t="s">
        <v>83</v>
      </c>
      <c r="G61" s="284" t="s">
        <v>83</v>
      </c>
      <c r="H61" s="231" t="s">
        <v>23</v>
      </c>
      <c r="I61" s="231" t="s">
        <v>23</v>
      </c>
      <c r="J61" s="276" t="s">
        <v>125</v>
      </c>
      <c r="K61" s="276" t="s">
        <v>125</v>
      </c>
      <c r="L61" s="276" t="s">
        <v>125</v>
      </c>
      <c r="M61" s="276" t="s">
        <v>125</v>
      </c>
      <c r="N61" s="276" t="s">
        <v>125</v>
      </c>
      <c r="O61" s="231" t="s">
        <v>23</v>
      </c>
      <c r="P61" s="284" t="s">
        <v>83</v>
      </c>
      <c r="Q61" s="284" t="s">
        <v>83</v>
      </c>
      <c r="R61" s="284" t="s">
        <v>83</v>
      </c>
      <c r="S61" s="284" t="s">
        <v>83</v>
      </c>
      <c r="T61" s="231" t="s">
        <v>23</v>
      </c>
      <c r="U61" s="231" t="s">
        <v>23</v>
      </c>
      <c r="V61" s="276" t="s">
        <v>125</v>
      </c>
      <c r="W61" s="276" t="s">
        <v>125</v>
      </c>
      <c r="X61" s="276" t="s">
        <v>125</v>
      </c>
      <c r="Y61" s="276" t="s">
        <v>125</v>
      </c>
      <c r="Z61" s="231" t="s">
        <v>23</v>
      </c>
      <c r="AA61" s="231" t="s">
        <v>23</v>
      </c>
      <c r="AB61" s="284" t="s">
        <v>83</v>
      </c>
      <c r="AC61" s="284" t="s">
        <v>83</v>
      </c>
      <c r="AD61" s="231" t="s">
        <v>23</v>
      </c>
      <c r="AE61" s="284" t="s">
        <v>83</v>
      </c>
      <c r="AF61" s="234" t="s">
        <v>23</v>
      </c>
      <c r="AH61" s="227">
        <f>VLOOKUP(B61,'MAY25'!$B:$AK,36,0)</f>
        <v>12</v>
      </c>
      <c r="AI61" s="225">
        <f t="shared" si="14"/>
        <v>0</v>
      </c>
      <c r="AJ61" s="230">
        <f t="shared" si="15"/>
        <v>12</v>
      </c>
    </row>
    <row r="62" spans="1:36" ht="18.75" customHeight="1">
      <c r="A62" s="602" t="s">
        <v>187</v>
      </c>
      <c r="B62" s="509" t="s">
        <v>188</v>
      </c>
      <c r="C62" s="8" t="s">
        <v>83</v>
      </c>
      <c r="D62" s="25" t="s">
        <v>23</v>
      </c>
      <c r="E62" s="25" t="s">
        <v>23</v>
      </c>
      <c r="F62" s="7" t="s">
        <v>103</v>
      </c>
      <c r="G62" s="7" t="s">
        <v>103</v>
      </c>
      <c r="H62" s="7" t="s">
        <v>103</v>
      </c>
      <c r="I62" s="7" t="s">
        <v>103</v>
      </c>
      <c r="J62" s="25" t="s">
        <v>23</v>
      </c>
      <c r="K62" s="25" t="s">
        <v>23</v>
      </c>
      <c r="L62" s="8" t="s">
        <v>83</v>
      </c>
      <c r="M62" s="8" t="s">
        <v>83</v>
      </c>
      <c r="N62" s="8" t="s">
        <v>83</v>
      </c>
      <c r="O62" s="8" t="s">
        <v>83</v>
      </c>
      <c r="P62" s="25" t="s">
        <v>23</v>
      </c>
      <c r="Q62" s="25" t="s">
        <v>23</v>
      </c>
      <c r="R62" s="7" t="s">
        <v>103</v>
      </c>
      <c r="S62" s="7" t="s">
        <v>103</v>
      </c>
      <c r="T62" s="7" t="s">
        <v>103</v>
      </c>
      <c r="U62" s="7" t="s">
        <v>103</v>
      </c>
      <c r="V62" s="25" t="s">
        <v>23</v>
      </c>
      <c r="W62" s="25" t="s">
        <v>23</v>
      </c>
      <c r="X62" s="8" t="s">
        <v>83</v>
      </c>
      <c r="Y62" s="8" t="s">
        <v>83</v>
      </c>
      <c r="Z62" s="8" t="s">
        <v>83</v>
      </c>
      <c r="AA62" s="8" t="s">
        <v>189</v>
      </c>
      <c r="AB62" s="25" t="s">
        <v>23</v>
      </c>
      <c r="AC62" s="25" t="s">
        <v>23</v>
      </c>
      <c r="AD62" s="7" t="s">
        <v>103</v>
      </c>
      <c r="AE62" s="7" t="s">
        <v>103</v>
      </c>
      <c r="AF62" s="12" t="s">
        <v>103</v>
      </c>
      <c r="AH62" s="928">
        <v>17</v>
      </c>
      <c r="AI62" s="225">
        <f t="shared" ref="AI62" si="16">COUNTIF(C62:AF62,"U")</f>
        <v>0</v>
      </c>
      <c r="AJ62" s="230">
        <f t="shared" ref="AJ62" si="17">AH62-AI62</f>
        <v>17</v>
      </c>
    </row>
    <row r="63" spans="1:36" ht="18.75" customHeight="1">
      <c r="A63" s="602" t="s">
        <v>121</v>
      </c>
      <c r="B63" s="509" t="s">
        <v>122</v>
      </c>
      <c r="C63" s="336" t="s">
        <v>19</v>
      </c>
      <c r="D63" s="336" t="s">
        <v>19</v>
      </c>
      <c r="E63" s="336" t="s">
        <v>19</v>
      </c>
      <c r="F63" s="336" t="s">
        <v>19</v>
      </c>
      <c r="G63" s="336" t="s">
        <v>19</v>
      </c>
      <c r="H63" s="336" t="s">
        <v>19</v>
      </c>
      <c r="I63" s="336" t="s">
        <v>19</v>
      </c>
      <c r="J63" s="336" t="s">
        <v>19</v>
      </c>
      <c r="K63" s="336" t="s">
        <v>19</v>
      </c>
      <c r="L63" s="336" t="s">
        <v>19</v>
      </c>
      <c r="M63" s="336" t="s">
        <v>19</v>
      </c>
      <c r="N63" s="336" t="s">
        <v>19</v>
      </c>
      <c r="O63" s="336" t="s">
        <v>19</v>
      </c>
      <c r="P63" s="336" t="s">
        <v>19</v>
      </c>
      <c r="Q63" s="336" t="s">
        <v>19</v>
      </c>
      <c r="R63" s="336" t="s">
        <v>19</v>
      </c>
      <c r="S63" s="336" t="s">
        <v>19</v>
      </c>
      <c r="T63" s="336" t="s">
        <v>19</v>
      </c>
      <c r="U63" s="336" t="s">
        <v>19</v>
      </c>
      <c r="V63" s="336" t="s">
        <v>19</v>
      </c>
      <c r="W63" s="336" t="s">
        <v>19</v>
      </c>
      <c r="X63" s="336" t="s">
        <v>19</v>
      </c>
      <c r="Y63" s="336" t="s">
        <v>19</v>
      </c>
      <c r="Z63" s="336" t="s">
        <v>19</v>
      </c>
      <c r="AA63" s="336" t="s">
        <v>19</v>
      </c>
      <c r="AB63" s="336" t="s">
        <v>19</v>
      </c>
      <c r="AC63" s="336" t="s">
        <v>19</v>
      </c>
      <c r="AD63" s="336" t="s">
        <v>19</v>
      </c>
      <c r="AE63" s="336" t="s">
        <v>19</v>
      </c>
      <c r="AF63" s="351" t="s">
        <v>19</v>
      </c>
      <c r="AH63" s="227">
        <f>VLOOKUP(B63,'MAY25'!$B:$AK,36,0)</f>
        <v>19</v>
      </c>
      <c r="AI63" s="225"/>
      <c r="AJ63" s="230"/>
    </row>
    <row r="64" spans="1:36" ht="19.5" customHeight="1" thickBot="1">
      <c r="A64" s="680" t="s">
        <v>131</v>
      </c>
      <c r="B64" s="508" t="s">
        <v>132</v>
      </c>
      <c r="C64" s="342" t="s">
        <v>108</v>
      </c>
      <c r="D64" s="342" t="s">
        <v>108</v>
      </c>
      <c r="E64" s="342" t="s">
        <v>108</v>
      </c>
      <c r="F64" s="342" t="s">
        <v>108</v>
      </c>
      <c r="G64" s="342" t="s">
        <v>108</v>
      </c>
      <c r="H64" s="342" t="s">
        <v>108</v>
      </c>
      <c r="I64" s="342" t="s">
        <v>108</v>
      </c>
      <c r="J64" s="342" t="s">
        <v>108</v>
      </c>
      <c r="K64" s="342" t="s">
        <v>108</v>
      </c>
      <c r="L64" s="342" t="s">
        <v>108</v>
      </c>
      <c r="M64" s="342" t="s">
        <v>108</v>
      </c>
      <c r="N64" s="342" t="s">
        <v>108</v>
      </c>
      <c r="O64" s="342" t="s">
        <v>108</v>
      </c>
      <c r="P64" s="342" t="s">
        <v>108</v>
      </c>
      <c r="Q64" s="342" t="s">
        <v>108</v>
      </c>
      <c r="R64" s="342" t="s">
        <v>108</v>
      </c>
      <c r="S64" s="342" t="s">
        <v>108</v>
      </c>
      <c r="T64" s="342" t="s">
        <v>108</v>
      </c>
      <c r="U64" s="342" t="s">
        <v>108</v>
      </c>
      <c r="V64" s="342" t="s">
        <v>108</v>
      </c>
      <c r="W64" s="342" t="s">
        <v>108</v>
      </c>
      <c r="X64" s="342" t="s">
        <v>108</v>
      </c>
      <c r="Y64" s="342" t="s">
        <v>108</v>
      </c>
      <c r="Z64" s="342" t="s">
        <v>108</v>
      </c>
      <c r="AA64" s="342" t="s">
        <v>108</v>
      </c>
      <c r="AB64" s="342" t="s">
        <v>108</v>
      </c>
      <c r="AC64" s="342" t="s">
        <v>108</v>
      </c>
      <c r="AD64" s="342" t="s">
        <v>108</v>
      </c>
      <c r="AE64" s="342" t="s">
        <v>108</v>
      </c>
      <c r="AF64" s="343" t="s">
        <v>108</v>
      </c>
      <c r="AH64" s="241">
        <f>VLOOKUP(B64,'MAY25'!$B:$AK,36,0)</f>
        <v>22</v>
      </c>
      <c r="AI64" s="283">
        <f t="shared" si="14"/>
        <v>0</v>
      </c>
      <c r="AJ64" s="288">
        <f t="shared" si="15"/>
        <v>22</v>
      </c>
    </row>
    <row r="65" spans="1:36" ht="9.9499999999999993" customHeight="1" thickBot="1">
      <c r="A65" s="1"/>
      <c r="B65" s="1"/>
    </row>
    <row r="66" spans="1:36" ht="18">
      <c r="A66" s="719" t="s">
        <v>125</v>
      </c>
      <c r="B66" s="720"/>
      <c r="C66" s="220">
        <f t="shared" ref="C66:AF66" si="18">COUNTIF(C46:C52,$A$66)+COUNTIF(C60:C64,$A$66)</f>
        <v>1</v>
      </c>
      <c r="D66" s="218">
        <f t="shared" si="18"/>
        <v>1</v>
      </c>
      <c r="E66" s="218">
        <f t="shared" si="18"/>
        <v>1</v>
      </c>
      <c r="F66" s="218">
        <f t="shared" si="18"/>
        <v>0</v>
      </c>
      <c r="G66" s="218">
        <f t="shared" si="18"/>
        <v>0</v>
      </c>
      <c r="H66" s="218">
        <f t="shared" si="18"/>
        <v>0</v>
      </c>
      <c r="I66" s="218">
        <f t="shared" si="18"/>
        <v>0</v>
      </c>
      <c r="J66" s="218">
        <f t="shared" si="18"/>
        <v>1</v>
      </c>
      <c r="K66" s="218">
        <f t="shared" si="18"/>
        <v>1</v>
      </c>
      <c r="L66" s="218">
        <f t="shared" si="18"/>
        <v>1</v>
      </c>
      <c r="M66" s="218">
        <f t="shared" si="18"/>
        <v>1</v>
      </c>
      <c r="N66" s="218">
        <f t="shared" si="18"/>
        <v>1</v>
      </c>
      <c r="O66" s="218">
        <f t="shared" si="18"/>
        <v>1</v>
      </c>
      <c r="P66" s="218">
        <f t="shared" si="18"/>
        <v>1</v>
      </c>
      <c r="Q66" s="218">
        <f t="shared" si="18"/>
        <v>1</v>
      </c>
      <c r="R66" s="218">
        <f t="shared" si="18"/>
        <v>0</v>
      </c>
      <c r="S66" s="218">
        <f t="shared" si="18"/>
        <v>0</v>
      </c>
      <c r="T66" s="218">
        <f t="shared" si="18"/>
        <v>0</v>
      </c>
      <c r="U66" s="218">
        <f t="shared" si="18"/>
        <v>0</v>
      </c>
      <c r="V66" s="218">
        <f t="shared" si="18"/>
        <v>1</v>
      </c>
      <c r="W66" s="218">
        <f t="shared" si="18"/>
        <v>1</v>
      </c>
      <c r="X66" s="218">
        <f t="shared" si="18"/>
        <v>1</v>
      </c>
      <c r="Y66" s="218">
        <f t="shared" si="18"/>
        <v>1</v>
      </c>
      <c r="Z66" s="218">
        <f t="shared" si="18"/>
        <v>1</v>
      </c>
      <c r="AA66" s="218">
        <f t="shared" si="18"/>
        <v>1</v>
      </c>
      <c r="AB66" s="218">
        <f t="shared" si="18"/>
        <v>1</v>
      </c>
      <c r="AC66" s="218">
        <f t="shared" si="18"/>
        <v>1</v>
      </c>
      <c r="AD66" s="218">
        <f t="shared" si="18"/>
        <v>0</v>
      </c>
      <c r="AE66" s="218">
        <f t="shared" si="18"/>
        <v>0</v>
      </c>
      <c r="AF66" s="221">
        <f t="shared" si="18"/>
        <v>0</v>
      </c>
    </row>
    <row r="67" spans="1:36" ht="18.75" thickBot="1">
      <c r="A67" s="733" t="s">
        <v>83</v>
      </c>
      <c r="B67" s="734"/>
      <c r="C67" s="241">
        <f t="shared" ref="C67:AF67" si="19">COUNTIF(C46:C52,$A$67)+COUNTIF(C60:C64,$A$67)</f>
        <v>1</v>
      </c>
      <c r="D67" s="283">
        <f t="shared" si="19"/>
        <v>1</v>
      </c>
      <c r="E67" s="283">
        <f t="shared" si="19"/>
        <v>1</v>
      </c>
      <c r="F67" s="283">
        <f t="shared" si="19"/>
        <v>1</v>
      </c>
      <c r="G67" s="283">
        <f t="shared" si="19"/>
        <v>1</v>
      </c>
      <c r="H67" s="283">
        <f t="shared" si="19"/>
        <v>1</v>
      </c>
      <c r="I67" s="283">
        <f t="shared" si="19"/>
        <v>1</v>
      </c>
      <c r="J67" s="283">
        <f t="shared" si="19"/>
        <v>1</v>
      </c>
      <c r="K67" s="283">
        <f t="shared" si="19"/>
        <v>1</v>
      </c>
      <c r="L67" s="283">
        <f t="shared" si="19"/>
        <v>1</v>
      </c>
      <c r="M67" s="283">
        <f t="shared" si="19"/>
        <v>1</v>
      </c>
      <c r="N67" s="283">
        <f t="shared" si="19"/>
        <v>1</v>
      </c>
      <c r="O67" s="283">
        <f t="shared" si="19"/>
        <v>1</v>
      </c>
      <c r="P67" s="283">
        <f t="shared" si="19"/>
        <v>1</v>
      </c>
      <c r="Q67" s="283">
        <f t="shared" si="19"/>
        <v>1</v>
      </c>
      <c r="R67" s="283">
        <f t="shared" si="19"/>
        <v>1</v>
      </c>
      <c r="S67" s="283">
        <f t="shared" si="19"/>
        <v>2</v>
      </c>
      <c r="T67" s="283">
        <f t="shared" si="19"/>
        <v>1</v>
      </c>
      <c r="U67" s="283">
        <f t="shared" si="19"/>
        <v>1</v>
      </c>
      <c r="V67" s="283">
        <f t="shared" si="19"/>
        <v>1</v>
      </c>
      <c r="W67" s="283">
        <f t="shared" si="19"/>
        <v>1</v>
      </c>
      <c r="X67" s="283">
        <f t="shared" si="19"/>
        <v>1</v>
      </c>
      <c r="Y67" s="283">
        <f t="shared" si="19"/>
        <v>1</v>
      </c>
      <c r="Z67" s="283">
        <f t="shared" si="19"/>
        <v>1</v>
      </c>
      <c r="AA67" s="283">
        <f t="shared" si="19"/>
        <v>0</v>
      </c>
      <c r="AB67" s="283">
        <f t="shared" si="19"/>
        <v>1</v>
      </c>
      <c r="AC67" s="283">
        <f t="shared" si="19"/>
        <v>1</v>
      </c>
      <c r="AD67" s="283">
        <f t="shared" si="19"/>
        <v>1</v>
      </c>
      <c r="AE67" s="283">
        <f t="shared" si="19"/>
        <v>1</v>
      </c>
      <c r="AF67" s="288">
        <f t="shared" si="19"/>
        <v>1</v>
      </c>
    </row>
    <row r="71" spans="1:36">
      <c r="B71" s="922"/>
      <c r="C71" s="922"/>
      <c r="D71" s="922"/>
      <c r="E71" s="922"/>
      <c r="F71" s="922"/>
      <c r="G71" s="922"/>
      <c r="H71" s="922"/>
      <c r="I71" s="922"/>
      <c r="J71" s="922"/>
      <c r="K71" s="922"/>
      <c r="L71" s="922"/>
      <c r="M71" s="922"/>
      <c r="N71" s="922"/>
      <c r="O71" s="922"/>
      <c r="P71" s="922"/>
      <c r="Q71" s="922"/>
      <c r="R71" s="922"/>
      <c r="S71" s="922"/>
      <c r="T71" s="922"/>
      <c r="U71" s="922"/>
      <c r="V71" s="922"/>
      <c r="W71" s="922"/>
      <c r="X71" s="922"/>
      <c r="Y71" s="922"/>
      <c r="Z71" s="922"/>
      <c r="AA71" s="922"/>
      <c r="AB71" s="922"/>
      <c r="AC71" s="922"/>
      <c r="AD71" s="922"/>
      <c r="AE71" s="922"/>
      <c r="AF71" s="922"/>
      <c r="AG71" s="922"/>
      <c r="AH71" s="922"/>
      <c r="AI71" s="922"/>
      <c r="AJ71" s="922"/>
    </row>
  </sheetData>
  <mergeCells count="3">
    <mergeCell ref="AH3:AH4"/>
    <mergeCell ref="AI3:AI4"/>
    <mergeCell ref="AJ3:AJ4"/>
  </mergeCells>
  <phoneticPr fontId="39" type="noConversion"/>
  <conditionalFormatting sqref="C57:AF57">
    <cfRule type="cellIs" dxfId="28" priority="2" operator="lessThan">
      <formula>1.5</formula>
    </cfRule>
    <cfRule type="cellIs" dxfId="27" priority="3" operator="lessThan">
      <formula>2.5</formula>
    </cfRule>
  </conditionalFormatting>
  <conditionalFormatting sqref="C66:AF67">
    <cfRule type="cellIs" dxfId="26" priority="1" operator="lessThan">
      <formula>0.5</formula>
    </cfRule>
  </conditionalFormatting>
  <conditionalFormatting sqref="AH26:AH27">
    <cfRule type="cellIs" dxfId="25" priority="4" operator="equal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F666-C0F0-482A-BF20-F71C6B210021}">
  <dimension ref="A1:AN70"/>
  <sheetViews>
    <sheetView showGridLines="0" zoomScale="70" zoomScaleNormal="70" workbookViewId="0">
      <pane xSplit="2" ySplit="4" topLeftCell="AB34" activePane="bottomRight" state="frozen"/>
      <selection pane="bottomRight" activeCell="C5" sqref="C5"/>
      <selection pane="bottomLeft" activeCell="C5" sqref="C5"/>
      <selection pane="topRight" activeCell="C5" sqref="C5"/>
    </sheetView>
  </sheetViews>
  <sheetFormatPr defaultRowHeight="15"/>
  <cols>
    <col min="1" max="1" width="42.5703125" customWidth="1"/>
    <col min="2" max="2" width="42.5703125" hidden="1" customWidth="1"/>
  </cols>
  <sheetData>
    <row r="1" spans="1:40" ht="20.100000000000001" customHeight="1" thickBot="1">
      <c r="A1" s="940" t="s">
        <v>0</v>
      </c>
      <c r="B1" s="584" t="s">
        <v>0</v>
      </c>
      <c r="C1" s="829" t="s">
        <v>1</v>
      </c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  <c r="U1" s="830"/>
      <c r="V1" s="830"/>
      <c r="W1" s="830"/>
      <c r="X1" s="830"/>
      <c r="Y1" s="830"/>
      <c r="Z1" s="830"/>
      <c r="AA1" s="830"/>
      <c r="AB1" s="830"/>
      <c r="AC1" s="830"/>
      <c r="AD1" s="830"/>
      <c r="AE1" s="830"/>
      <c r="AF1" s="830"/>
      <c r="AG1" s="831"/>
      <c r="AI1" s="294"/>
      <c r="AJ1" s="294"/>
      <c r="AK1" s="294"/>
    </row>
    <row r="2" spans="1:40" ht="30" customHeight="1" thickBot="1">
      <c r="A2" s="588" t="s">
        <v>2</v>
      </c>
      <c r="B2" s="552"/>
      <c r="C2" s="827" t="s">
        <v>190</v>
      </c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  <c r="P2" s="828"/>
      <c r="Q2" s="828"/>
      <c r="R2" s="828"/>
      <c r="S2" s="828"/>
      <c r="T2" s="828"/>
      <c r="U2" s="828"/>
      <c r="V2" s="828"/>
      <c r="W2" s="828"/>
      <c r="X2" s="828"/>
      <c r="Y2" s="828"/>
      <c r="Z2" s="828"/>
      <c r="AA2" s="828"/>
      <c r="AB2" s="828"/>
      <c r="AC2" s="828"/>
      <c r="AD2" s="828"/>
      <c r="AE2" s="828"/>
      <c r="AF2" s="828"/>
      <c r="AG2" s="838"/>
      <c r="AI2" s="618" t="s">
        <v>5</v>
      </c>
      <c r="AJ2" s="619"/>
      <c r="AK2" s="620"/>
    </row>
    <row r="3" spans="1:40" ht="24.95" customHeight="1">
      <c r="A3" s="590" t="s">
        <v>0</v>
      </c>
      <c r="B3" s="464" t="s">
        <v>0</v>
      </c>
      <c r="C3" s="630" t="s">
        <v>12</v>
      </c>
      <c r="D3" s="630" t="s">
        <v>6</v>
      </c>
      <c r="E3" s="630" t="s">
        <v>7</v>
      </c>
      <c r="F3" s="630" t="s">
        <v>8</v>
      </c>
      <c r="G3" s="705" t="s">
        <v>9</v>
      </c>
      <c r="H3" s="705" t="s">
        <v>10</v>
      </c>
      <c r="I3" s="630" t="s">
        <v>11</v>
      </c>
      <c r="J3" s="630" t="s">
        <v>12</v>
      </c>
      <c r="K3" s="630" t="s">
        <v>6</v>
      </c>
      <c r="L3" s="630" t="s">
        <v>7</v>
      </c>
      <c r="M3" s="630" t="s">
        <v>8</v>
      </c>
      <c r="N3" s="705" t="s">
        <v>9</v>
      </c>
      <c r="O3" s="705" t="s">
        <v>10</v>
      </c>
      <c r="P3" s="630" t="s">
        <v>11</v>
      </c>
      <c r="Q3" s="630" t="s">
        <v>12</v>
      </c>
      <c r="R3" s="630" t="s">
        <v>6</v>
      </c>
      <c r="S3" s="630" t="s">
        <v>7</v>
      </c>
      <c r="T3" s="630" t="s">
        <v>8</v>
      </c>
      <c r="U3" s="705" t="s">
        <v>9</v>
      </c>
      <c r="V3" s="705" t="s">
        <v>10</v>
      </c>
      <c r="W3" s="630" t="s">
        <v>11</v>
      </c>
      <c r="X3" s="630" t="s">
        <v>12</v>
      </c>
      <c r="Y3" s="630" t="s">
        <v>6</v>
      </c>
      <c r="Z3" s="630" t="s">
        <v>7</v>
      </c>
      <c r="AA3" s="630" t="s">
        <v>8</v>
      </c>
      <c r="AB3" s="705" t="s">
        <v>9</v>
      </c>
      <c r="AC3" s="705" t="s">
        <v>10</v>
      </c>
      <c r="AD3" s="630" t="s">
        <v>11</v>
      </c>
      <c r="AE3" s="630" t="s">
        <v>12</v>
      </c>
      <c r="AF3" s="630" t="s">
        <v>6</v>
      </c>
      <c r="AG3" s="685" t="s">
        <v>7</v>
      </c>
      <c r="AI3" s="1401">
        <v>2025</v>
      </c>
      <c r="AJ3" s="1397" t="s">
        <v>13</v>
      </c>
      <c r="AK3" s="1399" t="s">
        <v>14</v>
      </c>
    </row>
    <row r="4" spans="1:40" ht="24.95" customHeight="1" thickBot="1">
      <c r="A4" s="591" t="s">
        <v>15</v>
      </c>
      <c r="B4" s="466" t="s">
        <v>16</v>
      </c>
      <c r="C4" s="630">
        <v>1</v>
      </c>
      <c r="D4" s="630">
        <v>2</v>
      </c>
      <c r="E4" s="630">
        <v>3</v>
      </c>
      <c r="F4" s="630">
        <v>4</v>
      </c>
      <c r="G4" s="705">
        <v>5</v>
      </c>
      <c r="H4" s="705">
        <v>6</v>
      </c>
      <c r="I4" s="630">
        <v>7</v>
      </c>
      <c r="J4" s="630">
        <v>8</v>
      </c>
      <c r="K4" s="630">
        <v>9</v>
      </c>
      <c r="L4" s="630">
        <v>10</v>
      </c>
      <c r="M4" s="630">
        <v>11</v>
      </c>
      <c r="N4" s="705">
        <v>12</v>
      </c>
      <c r="O4" s="705">
        <v>13</v>
      </c>
      <c r="P4" s="630">
        <v>14</v>
      </c>
      <c r="Q4" s="630">
        <v>15</v>
      </c>
      <c r="R4" s="630">
        <v>16</v>
      </c>
      <c r="S4" s="630">
        <v>17</v>
      </c>
      <c r="T4" s="630">
        <v>18</v>
      </c>
      <c r="U4" s="705">
        <v>19</v>
      </c>
      <c r="V4" s="705">
        <v>20</v>
      </c>
      <c r="W4" s="630">
        <v>21</v>
      </c>
      <c r="X4" s="630">
        <v>22</v>
      </c>
      <c r="Y4" s="630">
        <v>23</v>
      </c>
      <c r="Z4" s="630">
        <v>24</v>
      </c>
      <c r="AA4" s="630">
        <v>25</v>
      </c>
      <c r="AB4" s="705">
        <v>26</v>
      </c>
      <c r="AC4" s="705">
        <v>27</v>
      </c>
      <c r="AD4" s="630">
        <v>28</v>
      </c>
      <c r="AE4" s="630">
        <v>29</v>
      </c>
      <c r="AF4" s="630">
        <v>30</v>
      </c>
      <c r="AG4" s="685">
        <v>31</v>
      </c>
      <c r="AI4" s="1405"/>
      <c r="AJ4" s="1406"/>
      <c r="AK4" s="1407"/>
    </row>
    <row r="5" spans="1:40" ht="18.75" customHeight="1">
      <c r="A5" s="718" t="s">
        <v>17</v>
      </c>
      <c r="B5" s="695" t="s">
        <v>18</v>
      </c>
      <c r="C5" s="158" t="s">
        <v>19</v>
      </c>
      <c r="D5" s="158" t="s">
        <v>19</v>
      </c>
      <c r="E5" s="158" t="s">
        <v>19</v>
      </c>
      <c r="F5" s="158" t="s">
        <v>19</v>
      </c>
      <c r="G5" s="158" t="s">
        <v>19</v>
      </c>
      <c r="H5" s="158" t="s">
        <v>19</v>
      </c>
      <c r="I5" s="158" t="s">
        <v>19</v>
      </c>
      <c r="J5" s="158" t="s">
        <v>19</v>
      </c>
      <c r="K5" s="158" t="s">
        <v>19</v>
      </c>
      <c r="L5" s="158" t="s">
        <v>19</v>
      </c>
      <c r="M5" s="158" t="s">
        <v>19</v>
      </c>
      <c r="N5" s="158" t="s">
        <v>19</v>
      </c>
      <c r="O5" s="158" t="s">
        <v>19</v>
      </c>
      <c r="P5" s="158" t="s">
        <v>19</v>
      </c>
      <c r="Q5" s="158" t="s">
        <v>19</v>
      </c>
      <c r="R5" s="158" t="s">
        <v>19</v>
      </c>
      <c r="S5" s="158" t="s">
        <v>19</v>
      </c>
      <c r="T5" s="158" t="s">
        <v>19</v>
      </c>
      <c r="U5" s="158" t="s">
        <v>19</v>
      </c>
      <c r="V5" s="158" t="s">
        <v>19</v>
      </c>
      <c r="W5" s="158" t="s">
        <v>19</v>
      </c>
      <c r="X5" s="158" t="s">
        <v>19</v>
      </c>
      <c r="Y5" s="158" t="s">
        <v>19</v>
      </c>
      <c r="Z5" s="158" t="s">
        <v>19</v>
      </c>
      <c r="AA5" s="158" t="s">
        <v>19</v>
      </c>
      <c r="AB5" s="158" t="s">
        <v>19</v>
      </c>
      <c r="AC5" s="157" t="s">
        <v>191</v>
      </c>
      <c r="AD5" s="157" t="s">
        <v>191</v>
      </c>
      <c r="AE5" s="157" t="s">
        <v>191</v>
      </c>
      <c r="AF5" s="157" t="s">
        <v>191</v>
      </c>
      <c r="AG5" s="135" t="s">
        <v>191</v>
      </c>
      <c r="AI5" s="291">
        <f>VLOOKUP(B5,'JUN25'!B:AJ,35,0)</f>
        <v>22</v>
      </c>
      <c r="AJ5" s="228">
        <f>COUNTIF(C5:AG5,"U")</f>
        <v>0</v>
      </c>
      <c r="AK5" s="230">
        <f>AI5-AJ5</f>
        <v>22</v>
      </c>
      <c r="AM5" s="846"/>
      <c r="AN5" s="847"/>
    </row>
    <row r="6" spans="1:40" ht="19.5" customHeight="1">
      <c r="A6" s="718" t="s">
        <v>20</v>
      </c>
      <c r="B6" s="695" t="s">
        <v>21</v>
      </c>
      <c r="C6" s="562" t="s">
        <v>23</v>
      </c>
      <c r="D6" s="562" t="s">
        <v>23</v>
      </c>
      <c r="E6" s="6" t="s">
        <v>22</v>
      </c>
      <c r="F6" s="6" t="s">
        <v>22</v>
      </c>
      <c r="G6" s="6" t="s">
        <v>22</v>
      </c>
      <c r="H6" s="6" t="s">
        <v>22</v>
      </c>
      <c r="I6" s="562" t="s">
        <v>23</v>
      </c>
      <c r="J6" s="562" t="s">
        <v>23</v>
      </c>
      <c r="K6" s="111" t="s">
        <v>24</v>
      </c>
      <c r="L6" s="111" t="s">
        <v>24</v>
      </c>
      <c r="M6" s="111" t="s">
        <v>24</v>
      </c>
      <c r="N6" s="111" t="s">
        <v>24</v>
      </c>
      <c r="O6" s="562" t="s">
        <v>23</v>
      </c>
      <c r="P6" s="562" t="s">
        <v>23</v>
      </c>
      <c r="Q6" s="6" t="s">
        <v>22</v>
      </c>
      <c r="R6" s="6" t="s">
        <v>22</v>
      </c>
      <c r="S6" s="6" t="s">
        <v>22</v>
      </c>
      <c r="T6" s="6" t="s">
        <v>22</v>
      </c>
      <c r="U6" s="562" t="s">
        <v>23</v>
      </c>
      <c r="V6" s="562" t="s">
        <v>23</v>
      </c>
      <c r="W6" s="111" t="s">
        <v>24</v>
      </c>
      <c r="X6" s="111" t="s">
        <v>24</v>
      </c>
      <c r="Y6" s="111" t="s">
        <v>24</v>
      </c>
      <c r="Z6" s="111" t="s">
        <v>24</v>
      </c>
      <c r="AA6" s="562" t="s">
        <v>23</v>
      </c>
      <c r="AB6" s="562" t="s">
        <v>23</v>
      </c>
      <c r="AC6" s="6" t="s">
        <v>22</v>
      </c>
      <c r="AD6" s="6" t="s">
        <v>22</v>
      </c>
      <c r="AE6" s="6" t="s">
        <v>22</v>
      </c>
      <c r="AF6" s="6" t="s">
        <v>22</v>
      </c>
      <c r="AG6" s="839" t="s">
        <v>23</v>
      </c>
      <c r="AI6" s="227">
        <f>VLOOKUP(B6,'JUN25'!B:AJ,35,0)</f>
        <v>13</v>
      </c>
      <c r="AJ6" s="225">
        <f>COUNTIF(C6:AG6,"U")</f>
        <v>0</v>
      </c>
      <c r="AK6" s="230">
        <f>AI6-AJ6</f>
        <v>13</v>
      </c>
      <c r="AM6" s="846"/>
    </row>
    <row r="7" spans="1:40" ht="18.75" customHeight="1">
      <c r="A7" s="602" t="s">
        <v>26</v>
      </c>
      <c r="B7" s="509" t="s">
        <v>27</v>
      </c>
      <c r="C7" s="6" t="s">
        <v>22</v>
      </c>
      <c r="D7" s="6" t="s">
        <v>22</v>
      </c>
      <c r="E7" s="29" t="s">
        <v>23</v>
      </c>
      <c r="F7" s="29" t="s">
        <v>23</v>
      </c>
      <c r="G7" s="111" t="s">
        <v>24</v>
      </c>
      <c r="H7" s="111" t="s">
        <v>24</v>
      </c>
      <c r="I7" s="111" t="s">
        <v>24</v>
      </c>
      <c r="J7" s="111" t="s">
        <v>24</v>
      </c>
      <c r="K7" s="29" t="s">
        <v>23</v>
      </c>
      <c r="L7" s="29" t="s">
        <v>23</v>
      </c>
      <c r="M7" s="6" t="s">
        <v>22</v>
      </c>
      <c r="N7" s="6" t="s">
        <v>22</v>
      </c>
      <c r="O7" s="6" t="s">
        <v>22</v>
      </c>
      <c r="P7" s="6" t="s">
        <v>22</v>
      </c>
      <c r="Q7" s="29" t="s">
        <v>23</v>
      </c>
      <c r="R7" s="29" t="s">
        <v>23</v>
      </c>
      <c r="S7" s="85" t="s">
        <v>63</v>
      </c>
      <c r="T7" s="85" t="s">
        <v>63</v>
      </c>
      <c r="U7" s="85" t="s">
        <v>63</v>
      </c>
      <c r="V7" s="85" t="s">
        <v>63</v>
      </c>
      <c r="W7" s="85" t="s">
        <v>63</v>
      </c>
      <c r="X7" s="29" t="s">
        <v>23</v>
      </c>
      <c r="Y7" s="6" t="s">
        <v>22</v>
      </c>
      <c r="Z7" s="6" t="s">
        <v>22</v>
      </c>
      <c r="AA7" s="111" t="s">
        <v>24</v>
      </c>
      <c r="AB7" s="111" t="s">
        <v>24</v>
      </c>
      <c r="AC7" s="29" t="s">
        <v>23</v>
      </c>
      <c r="AD7" s="29" t="s">
        <v>23</v>
      </c>
      <c r="AE7" s="111" t="s">
        <v>24</v>
      </c>
      <c r="AF7" s="111" t="s">
        <v>24</v>
      </c>
      <c r="AG7" s="119" t="s">
        <v>24</v>
      </c>
      <c r="AI7" s="291">
        <f>VLOOKUP(B7,'JUN25'!B:AJ,35,0)</f>
        <v>6</v>
      </c>
      <c r="AJ7" s="225">
        <f>COUNTIF(C7:AG7,"U")</f>
        <v>0</v>
      </c>
      <c r="AK7" s="230">
        <f>AI7-AJ7</f>
        <v>6</v>
      </c>
      <c r="AM7" s="846"/>
    </row>
    <row r="8" spans="1:40" ht="18.75" customHeight="1">
      <c r="A8" s="602" t="s">
        <v>28</v>
      </c>
      <c r="B8" s="509" t="s">
        <v>29</v>
      </c>
      <c r="C8" s="29" t="s">
        <v>23</v>
      </c>
      <c r="D8" s="29" t="s">
        <v>23</v>
      </c>
      <c r="E8" s="6" t="s">
        <v>22</v>
      </c>
      <c r="F8" s="6" t="s">
        <v>22</v>
      </c>
      <c r="G8" s="92" t="s">
        <v>34</v>
      </c>
      <c r="H8" s="92" t="s">
        <v>34</v>
      </c>
      <c r="I8" s="29" t="s">
        <v>23</v>
      </c>
      <c r="J8" s="29" t="s">
        <v>23</v>
      </c>
      <c r="K8" s="28" t="s">
        <v>24</v>
      </c>
      <c r="L8" s="28" t="s">
        <v>24</v>
      </c>
      <c r="M8" s="28" t="s">
        <v>24</v>
      </c>
      <c r="N8" s="28" t="s">
        <v>24</v>
      </c>
      <c r="O8" s="29" t="s">
        <v>23</v>
      </c>
      <c r="P8" s="29" t="s">
        <v>23</v>
      </c>
      <c r="Q8" s="6" t="s">
        <v>22</v>
      </c>
      <c r="R8" s="6" t="s">
        <v>22</v>
      </c>
      <c r="S8" s="6" t="s">
        <v>22</v>
      </c>
      <c r="T8" s="6" t="s">
        <v>22</v>
      </c>
      <c r="U8" s="29" t="s">
        <v>23</v>
      </c>
      <c r="V8" s="29" t="s">
        <v>23</v>
      </c>
      <c r="W8" s="29" t="s">
        <v>23</v>
      </c>
      <c r="X8" s="85" t="s">
        <v>63</v>
      </c>
      <c r="Y8" s="85" t="s">
        <v>63</v>
      </c>
      <c r="Z8" s="85" t="s">
        <v>63</v>
      </c>
      <c r="AA8" s="85" t="s">
        <v>63</v>
      </c>
      <c r="AB8" s="29" t="s">
        <v>23</v>
      </c>
      <c r="AC8" s="29" t="s">
        <v>23</v>
      </c>
      <c r="AD8" s="28" t="s">
        <v>24</v>
      </c>
      <c r="AE8" s="28" t="s">
        <v>24</v>
      </c>
      <c r="AF8" s="28" t="s">
        <v>24</v>
      </c>
      <c r="AG8" s="78" t="s">
        <v>23</v>
      </c>
      <c r="AI8" s="227">
        <f>VLOOKUP(B8,'JUN25'!B:AJ,35,0)</f>
        <v>17</v>
      </c>
      <c r="AJ8" s="225">
        <f t="shared" ref="AJ8:AJ9" si="0">COUNTIF(C8:AG8,"U")</f>
        <v>2</v>
      </c>
      <c r="AK8" s="230">
        <f t="shared" ref="AK8:AK9" si="1">AI8-AJ8</f>
        <v>15</v>
      </c>
      <c r="AM8" s="846"/>
    </row>
    <row r="9" spans="1:40" ht="18.75" customHeight="1">
      <c r="A9" s="602" t="s">
        <v>32</v>
      </c>
      <c r="B9" s="509" t="s">
        <v>33</v>
      </c>
      <c r="C9" s="111" t="s">
        <v>24</v>
      </c>
      <c r="D9" s="111" t="s">
        <v>24</v>
      </c>
      <c r="E9" s="111" t="s">
        <v>24</v>
      </c>
      <c r="F9" s="111" t="s">
        <v>24</v>
      </c>
      <c r="G9" s="29" t="s">
        <v>23</v>
      </c>
      <c r="H9" s="29" t="s">
        <v>23</v>
      </c>
      <c r="I9" s="6" t="s">
        <v>22</v>
      </c>
      <c r="J9" s="6" t="s">
        <v>22</v>
      </c>
      <c r="K9" s="6" t="s">
        <v>22</v>
      </c>
      <c r="L9" s="6" t="s">
        <v>22</v>
      </c>
      <c r="M9" s="29" t="s">
        <v>23</v>
      </c>
      <c r="N9" s="29" t="s">
        <v>23</v>
      </c>
      <c r="O9" s="111" t="s">
        <v>24</v>
      </c>
      <c r="P9" s="111" t="s">
        <v>24</v>
      </c>
      <c r="Q9" s="111" t="s">
        <v>24</v>
      </c>
      <c r="R9" s="111" t="s">
        <v>24</v>
      </c>
      <c r="S9" s="29" t="s">
        <v>23</v>
      </c>
      <c r="T9" s="29" t="s">
        <v>23</v>
      </c>
      <c r="U9" s="6" t="s">
        <v>22</v>
      </c>
      <c r="V9" s="6" t="s">
        <v>22</v>
      </c>
      <c r="W9" s="6" t="s">
        <v>22</v>
      </c>
      <c r="X9" s="6" t="s">
        <v>22</v>
      </c>
      <c r="Y9" s="29" t="s">
        <v>23</v>
      </c>
      <c r="Z9" s="29" t="s">
        <v>23</v>
      </c>
      <c r="AA9" s="111" t="s">
        <v>24</v>
      </c>
      <c r="AB9" s="111" t="s">
        <v>24</v>
      </c>
      <c r="AC9" s="111" t="s">
        <v>24</v>
      </c>
      <c r="AD9" s="111" t="s">
        <v>24</v>
      </c>
      <c r="AE9" s="29" t="s">
        <v>23</v>
      </c>
      <c r="AF9" s="29" t="s">
        <v>23</v>
      </c>
      <c r="AG9" s="9" t="s">
        <v>22</v>
      </c>
      <c r="AI9" s="291">
        <f>VLOOKUP(B9,'JUN25'!B:AJ,35,0)</f>
        <v>10</v>
      </c>
      <c r="AJ9" s="225">
        <f t="shared" si="0"/>
        <v>0</v>
      </c>
      <c r="AK9" s="230">
        <f t="shared" si="1"/>
        <v>10</v>
      </c>
      <c r="AM9" s="846"/>
    </row>
    <row r="10" spans="1:40" ht="18.75" customHeight="1">
      <c r="A10" s="602" t="s">
        <v>35</v>
      </c>
      <c r="B10" s="509" t="s">
        <v>36</v>
      </c>
      <c r="C10" s="111" t="s">
        <v>24</v>
      </c>
      <c r="D10" s="111" t="s">
        <v>24</v>
      </c>
      <c r="E10" s="29" t="s">
        <v>23</v>
      </c>
      <c r="F10" s="29" t="s">
        <v>23</v>
      </c>
      <c r="G10" s="6" t="s">
        <v>22</v>
      </c>
      <c r="H10" s="6" t="s">
        <v>22</v>
      </c>
      <c r="I10" s="6" t="s">
        <v>22</v>
      </c>
      <c r="J10" s="6" t="s">
        <v>22</v>
      </c>
      <c r="K10" s="29" t="s">
        <v>23</v>
      </c>
      <c r="L10" s="29" t="s">
        <v>23</v>
      </c>
      <c r="M10" s="6" t="s">
        <v>22</v>
      </c>
      <c r="N10" s="6" t="s">
        <v>22</v>
      </c>
      <c r="O10" s="6" t="s">
        <v>22</v>
      </c>
      <c r="P10" s="6" t="s">
        <v>22</v>
      </c>
      <c r="Q10" s="29" t="s">
        <v>23</v>
      </c>
      <c r="R10" s="29" t="s">
        <v>23</v>
      </c>
      <c r="S10" s="111" t="s">
        <v>24</v>
      </c>
      <c r="T10" s="111" t="s">
        <v>24</v>
      </c>
      <c r="U10" s="111" t="s">
        <v>24</v>
      </c>
      <c r="V10" s="111" t="s">
        <v>24</v>
      </c>
      <c r="W10" s="29" t="s">
        <v>23</v>
      </c>
      <c r="X10" s="29" t="s">
        <v>23</v>
      </c>
      <c r="Y10" s="111" t="s">
        <v>24</v>
      </c>
      <c r="Z10" s="111" t="s">
        <v>24</v>
      </c>
      <c r="AA10" s="826" t="s">
        <v>147</v>
      </c>
      <c r="AB10" s="6" t="s">
        <v>22</v>
      </c>
      <c r="AC10" s="29" t="s">
        <v>23</v>
      </c>
      <c r="AD10" s="29" t="s">
        <v>23</v>
      </c>
      <c r="AE10" s="6" t="s">
        <v>22</v>
      </c>
      <c r="AF10" s="6" t="s">
        <v>22</v>
      </c>
      <c r="AG10" s="9" t="s">
        <v>22</v>
      </c>
      <c r="AI10" s="227">
        <f>VLOOKUP(B10,'JUN25'!B:AJ,35,0)</f>
        <v>13</v>
      </c>
      <c r="AJ10" s="225">
        <f>COUNTIF(C10:AG10,"U")</f>
        <v>0</v>
      </c>
      <c r="AK10" s="230">
        <f>AI10-AJ10</f>
        <v>13</v>
      </c>
      <c r="AM10" s="846"/>
    </row>
    <row r="11" spans="1:40" ht="18.75" customHeight="1">
      <c r="A11" s="602" t="s">
        <v>37</v>
      </c>
      <c r="B11" s="509" t="s">
        <v>38</v>
      </c>
      <c r="C11" s="29" t="s">
        <v>23</v>
      </c>
      <c r="D11" s="29" t="s">
        <v>23</v>
      </c>
      <c r="E11" s="28" t="s">
        <v>24</v>
      </c>
      <c r="F11" s="28" t="s">
        <v>24</v>
      </c>
      <c r="G11" s="28" t="s">
        <v>24</v>
      </c>
      <c r="H11" s="28" t="s">
        <v>24</v>
      </c>
      <c r="I11" s="29" t="s">
        <v>23</v>
      </c>
      <c r="J11" s="29" t="s">
        <v>23</v>
      </c>
      <c r="K11" s="6" t="s">
        <v>22</v>
      </c>
      <c r="L11" s="6" t="s">
        <v>22</v>
      </c>
      <c r="M11" s="6" t="s">
        <v>22</v>
      </c>
      <c r="N11" s="6" t="s">
        <v>22</v>
      </c>
      <c r="O11" s="29" t="s">
        <v>23</v>
      </c>
      <c r="P11" s="29" t="s">
        <v>23</v>
      </c>
      <c r="Q11" s="28" t="s">
        <v>24</v>
      </c>
      <c r="R11" s="28" t="s">
        <v>24</v>
      </c>
      <c r="S11" s="28" t="s">
        <v>24</v>
      </c>
      <c r="T11" s="28" t="s">
        <v>24</v>
      </c>
      <c r="U11" s="29" t="s">
        <v>23</v>
      </c>
      <c r="V11" s="29" t="s">
        <v>23</v>
      </c>
      <c r="W11" s="6" t="s">
        <v>22</v>
      </c>
      <c r="X11" s="6" t="s">
        <v>22</v>
      </c>
      <c r="Y11" s="6" t="s">
        <v>22</v>
      </c>
      <c r="Z11" s="6" t="s">
        <v>22</v>
      </c>
      <c r="AA11" s="29" t="s">
        <v>23</v>
      </c>
      <c r="AB11" s="29" t="s">
        <v>23</v>
      </c>
      <c r="AC11" s="85" t="s">
        <v>63</v>
      </c>
      <c r="AD11" s="85" t="s">
        <v>63</v>
      </c>
      <c r="AE11" s="85" t="s">
        <v>63</v>
      </c>
      <c r="AF11" s="85" t="s">
        <v>63</v>
      </c>
      <c r="AG11" s="78" t="s">
        <v>23</v>
      </c>
      <c r="AI11" s="291">
        <f>VLOOKUP(B11,'JUN25'!B:AJ,35,0)</f>
        <v>17</v>
      </c>
      <c r="AJ11" s="225">
        <f>COUNTIF(C11:AG11,"U")</f>
        <v>0</v>
      </c>
      <c r="AK11" s="230">
        <f>AI11-AJ11</f>
        <v>17</v>
      </c>
      <c r="AM11" s="846"/>
    </row>
    <row r="12" spans="1:40" ht="19.5" customHeight="1" thickBot="1">
      <c r="A12" s="680" t="s">
        <v>43</v>
      </c>
      <c r="B12" s="508" t="s">
        <v>44</v>
      </c>
      <c r="C12" s="15" t="s">
        <v>22</v>
      </c>
      <c r="D12" s="15" t="s">
        <v>22</v>
      </c>
      <c r="E12" s="15" t="s">
        <v>22</v>
      </c>
      <c r="F12" s="15" t="s">
        <v>22</v>
      </c>
      <c r="G12" s="83" t="s">
        <v>23</v>
      </c>
      <c r="H12" s="83" t="s">
        <v>23</v>
      </c>
      <c r="I12" s="116" t="s">
        <v>24</v>
      </c>
      <c r="J12" s="116" t="s">
        <v>24</v>
      </c>
      <c r="K12" s="116" t="s">
        <v>24</v>
      </c>
      <c r="L12" s="116" t="s">
        <v>24</v>
      </c>
      <c r="M12" s="83" t="s">
        <v>23</v>
      </c>
      <c r="N12" s="83" t="s">
        <v>23</v>
      </c>
      <c r="O12" s="116" t="s">
        <v>24</v>
      </c>
      <c r="P12" s="116" t="s">
        <v>24</v>
      </c>
      <c r="Q12" s="116" t="s">
        <v>24</v>
      </c>
      <c r="R12" s="116" t="s">
        <v>24</v>
      </c>
      <c r="S12" s="83" t="s">
        <v>23</v>
      </c>
      <c r="T12" s="83" t="s">
        <v>23</v>
      </c>
      <c r="U12" s="116" t="s">
        <v>24</v>
      </c>
      <c r="V12" s="116" t="s">
        <v>24</v>
      </c>
      <c r="W12" s="116" t="s">
        <v>24</v>
      </c>
      <c r="X12" s="116" t="s">
        <v>24</v>
      </c>
      <c r="Y12" s="83" t="s">
        <v>23</v>
      </c>
      <c r="Z12" s="83" t="s">
        <v>23</v>
      </c>
      <c r="AA12" s="15" t="s">
        <v>22</v>
      </c>
      <c r="AB12" s="15" t="s">
        <v>22</v>
      </c>
      <c r="AC12" s="15" t="s">
        <v>22</v>
      </c>
      <c r="AD12" s="15" t="s">
        <v>22</v>
      </c>
      <c r="AE12" s="83" t="s">
        <v>23</v>
      </c>
      <c r="AF12" s="83" t="s">
        <v>23</v>
      </c>
      <c r="AG12" s="117" t="s">
        <v>24</v>
      </c>
      <c r="AI12" s="241">
        <f>VLOOKUP(B12,'JUN25'!B:AJ,35,0)</f>
        <v>7</v>
      </c>
      <c r="AJ12" s="283">
        <f>COUNTIF(C12:AG12,"U")</f>
        <v>0</v>
      </c>
      <c r="AK12" s="288">
        <f>AI12-AJ12</f>
        <v>7</v>
      </c>
      <c r="AM12" s="846"/>
    </row>
    <row r="13" spans="1:40" ht="20.100000000000001" customHeight="1" thickBot="1">
      <c r="A13" s="848"/>
      <c r="B13" s="849"/>
      <c r="C13" s="850"/>
      <c r="D13" s="850"/>
      <c r="E13" s="850"/>
      <c r="F13" s="850"/>
      <c r="G13" s="850"/>
      <c r="H13" s="850"/>
      <c r="I13" s="851"/>
      <c r="J13" s="851"/>
      <c r="K13" s="851"/>
      <c r="L13" s="851"/>
      <c r="M13" s="850"/>
      <c r="N13" s="850"/>
      <c r="O13" s="851"/>
      <c r="P13" s="851"/>
      <c r="Q13" s="851"/>
      <c r="R13" s="851"/>
      <c r="S13" s="850"/>
      <c r="T13" s="850"/>
      <c r="U13" s="851"/>
      <c r="V13" s="851"/>
      <c r="W13" s="851"/>
      <c r="X13" s="851"/>
      <c r="Y13" s="850"/>
      <c r="Z13" s="850"/>
      <c r="AA13" s="850"/>
      <c r="AB13" s="850"/>
      <c r="AC13" s="850"/>
      <c r="AD13" s="850"/>
      <c r="AE13" s="850"/>
      <c r="AF13" s="850"/>
      <c r="AG13" s="851"/>
      <c r="AI13" s="247"/>
      <c r="AJ13" s="247"/>
      <c r="AK13" s="247"/>
      <c r="AM13" s="846"/>
    </row>
    <row r="14" spans="1:40" ht="24.95" customHeight="1" thickBot="1">
      <c r="A14" s="581" t="s">
        <v>154</v>
      </c>
      <c r="B14" s="514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650"/>
      <c r="AE14" s="650"/>
      <c r="AF14" s="761"/>
      <c r="AG14" s="640"/>
      <c r="AI14" s="852"/>
      <c r="AJ14" s="247"/>
      <c r="AK14" s="247"/>
      <c r="AM14" s="846"/>
    </row>
    <row r="15" spans="1:40" ht="19.5" customHeight="1">
      <c r="A15" s="566" t="s">
        <v>155</v>
      </c>
      <c r="B15" s="582" t="s">
        <v>156</v>
      </c>
      <c r="C15" s="101" t="s">
        <v>23</v>
      </c>
      <c r="D15" s="101" t="s">
        <v>23</v>
      </c>
      <c r="E15" s="28" t="s">
        <v>24</v>
      </c>
      <c r="F15" s="157" t="s">
        <v>68</v>
      </c>
      <c r="G15" s="28" t="s">
        <v>24</v>
      </c>
      <c r="H15" s="28" t="s">
        <v>24</v>
      </c>
      <c r="I15" s="101" t="s">
        <v>23</v>
      </c>
      <c r="J15" s="101" t="s">
        <v>23</v>
      </c>
      <c r="K15" s="28" t="s">
        <v>24</v>
      </c>
      <c r="L15" s="28" t="s">
        <v>24</v>
      </c>
      <c r="M15" s="28" t="s">
        <v>24</v>
      </c>
      <c r="N15" s="28" t="s">
        <v>24</v>
      </c>
      <c r="O15" s="101" t="s">
        <v>23</v>
      </c>
      <c r="P15" s="101" t="s">
        <v>23</v>
      </c>
      <c r="Q15" s="28" t="s">
        <v>24</v>
      </c>
      <c r="R15" s="28" t="s">
        <v>24</v>
      </c>
      <c r="S15" s="28" t="s">
        <v>24</v>
      </c>
      <c r="T15" s="28" t="s">
        <v>24</v>
      </c>
      <c r="U15" s="101" t="s">
        <v>23</v>
      </c>
      <c r="V15" s="101" t="s">
        <v>23</v>
      </c>
      <c r="W15" s="28" t="s">
        <v>24</v>
      </c>
      <c r="X15" s="157" t="s">
        <v>68</v>
      </c>
      <c r="Y15" s="28" t="s">
        <v>24</v>
      </c>
      <c r="Z15" s="28" t="s">
        <v>24</v>
      </c>
      <c r="AA15" s="101" t="s">
        <v>23</v>
      </c>
      <c r="AB15" s="101" t="s">
        <v>23</v>
      </c>
      <c r="AC15" s="28" t="s">
        <v>24</v>
      </c>
      <c r="AD15" s="28" t="s">
        <v>24</v>
      </c>
      <c r="AE15" s="28" t="s">
        <v>24</v>
      </c>
      <c r="AF15" s="28" t="s">
        <v>24</v>
      </c>
      <c r="AG15" s="387" t="s">
        <v>23</v>
      </c>
      <c r="AI15" s="220">
        <f>VLOOKUP(B15,'JUN25'!B:AJ,35,0)</f>
        <v>8</v>
      </c>
      <c r="AJ15" s="218">
        <f t="shared" ref="AJ15:AJ40" si="2">COUNTIF(C15:AG15,"U")</f>
        <v>0</v>
      </c>
      <c r="AK15" s="221">
        <f t="shared" ref="AK15:AK44" si="3">AI15-AJ15</f>
        <v>8</v>
      </c>
      <c r="AM15" s="846"/>
    </row>
    <row r="16" spans="1:40" ht="19.5" customHeight="1">
      <c r="A16" s="568" t="s">
        <v>157</v>
      </c>
      <c r="B16" s="582" t="s">
        <v>158</v>
      </c>
      <c r="C16" s="832" t="s">
        <v>23</v>
      </c>
      <c r="D16" s="661" t="s">
        <v>34</v>
      </c>
      <c r="E16" s="101" t="s">
        <v>23</v>
      </c>
      <c r="F16" s="101" t="s">
        <v>23</v>
      </c>
      <c r="G16" s="661" t="s">
        <v>34</v>
      </c>
      <c r="H16" s="661" t="s">
        <v>34</v>
      </c>
      <c r="I16" s="661" t="s">
        <v>34</v>
      </c>
      <c r="J16" s="661" t="s">
        <v>34</v>
      </c>
      <c r="K16" s="101" t="s">
        <v>23</v>
      </c>
      <c r="L16" s="101" t="s">
        <v>23</v>
      </c>
      <c r="M16" s="661" t="s">
        <v>34</v>
      </c>
      <c r="N16" s="661" t="s">
        <v>34</v>
      </c>
      <c r="O16" s="661" t="s">
        <v>34</v>
      </c>
      <c r="P16" s="661" t="s">
        <v>34</v>
      </c>
      <c r="Q16" s="101" t="s">
        <v>23</v>
      </c>
      <c r="R16" s="101" t="s">
        <v>23</v>
      </c>
      <c r="S16" s="6" t="s">
        <v>22</v>
      </c>
      <c r="T16" s="6" t="s">
        <v>22</v>
      </c>
      <c r="U16" s="6" t="s">
        <v>22</v>
      </c>
      <c r="V16" s="6" t="s">
        <v>22</v>
      </c>
      <c r="W16" s="101" t="s">
        <v>23</v>
      </c>
      <c r="X16" s="101" t="s">
        <v>23</v>
      </c>
      <c r="Y16" s="28" t="s">
        <v>24</v>
      </c>
      <c r="Z16" s="28" t="s">
        <v>24</v>
      </c>
      <c r="AA16" s="28" t="s">
        <v>24</v>
      </c>
      <c r="AB16" s="28" t="s">
        <v>24</v>
      </c>
      <c r="AC16" s="28" t="s">
        <v>24</v>
      </c>
      <c r="AD16" s="101" t="s">
        <v>23</v>
      </c>
      <c r="AE16" s="6" t="s">
        <v>22</v>
      </c>
      <c r="AF16" s="6" t="s">
        <v>22</v>
      </c>
      <c r="AG16" s="80" t="s">
        <v>24</v>
      </c>
      <c r="AI16" s="227">
        <f>VLOOKUP(B16,'JUN25'!B:AJ,35,0)</f>
        <v>21</v>
      </c>
      <c r="AJ16" s="225">
        <f t="shared" si="2"/>
        <v>9</v>
      </c>
      <c r="AK16" s="230">
        <f t="shared" si="3"/>
        <v>12</v>
      </c>
      <c r="AM16" s="846"/>
    </row>
    <row r="17" spans="1:39" ht="19.5" customHeight="1">
      <c r="A17" s="568" t="s">
        <v>159</v>
      </c>
      <c r="B17" s="582" t="s">
        <v>160</v>
      </c>
      <c r="C17" s="6" t="s">
        <v>22</v>
      </c>
      <c r="D17" s="6" t="s">
        <v>22</v>
      </c>
      <c r="E17" s="101" t="s">
        <v>23</v>
      </c>
      <c r="F17" s="101" t="s">
        <v>23</v>
      </c>
      <c r="G17" s="6" t="s">
        <v>22</v>
      </c>
      <c r="H17" s="6" t="s">
        <v>22</v>
      </c>
      <c r="I17" s="6" t="s">
        <v>22</v>
      </c>
      <c r="J17" s="6" t="s">
        <v>22</v>
      </c>
      <c r="K17" s="101" t="s">
        <v>23</v>
      </c>
      <c r="L17" s="101" t="s">
        <v>23</v>
      </c>
      <c r="M17" s="6" t="s">
        <v>22</v>
      </c>
      <c r="N17" s="6" t="s">
        <v>22</v>
      </c>
      <c r="O17" s="6" t="s">
        <v>22</v>
      </c>
      <c r="P17" s="6" t="s">
        <v>22</v>
      </c>
      <c r="Q17" s="101" t="s">
        <v>23</v>
      </c>
      <c r="R17" s="101" t="s">
        <v>23</v>
      </c>
      <c r="S17" s="661" t="s">
        <v>34</v>
      </c>
      <c r="T17" s="661" t="s">
        <v>34</v>
      </c>
      <c r="U17" s="661" t="s">
        <v>34</v>
      </c>
      <c r="V17" s="661" t="s">
        <v>34</v>
      </c>
      <c r="W17" s="101" t="s">
        <v>23</v>
      </c>
      <c r="X17" s="101" t="s">
        <v>23</v>
      </c>
      <c r="Y17" s="661" t="s">
        <v>34</v>
      </c>
      <c r="Z17" s="661" t="s">
        <v>34</v>
      </c>
      <c r="AA17" s="661" t="s">
        <v>34</v>
      </c>
      <c r="AB17" s="661" t="s">
        <v>34</v>
      </c>
      <c r="AC17" s="101" t="s">
        <v>23</v>
      </c>
      <c r="AD17" s="101" t="s">
        <v>23</v>
      </c>
      <c r="AE17" s="661" t="s">
        <v>34</v>
      </c>
      <c r="AF17" s="6" t="s">
        <v>22</v>
      </c>
      <c r="AG17" s="9" t="s">
        <v>22</v>
      </c>
      <c r="AI17" s="227">
        <f>VLOOKUP(B17,'JUN25'!B:AJ,35,0)</f>
        <v>22</v>
      </c>
      <c r="AJ17" s="225">
        <f t="shared" si="2"/>
        <v>9</v>
      </c>
      <c r="AK17" s="230">
        <f t="shared" si="3"/>
        <v>13</v>
      </c>
      <c r="AM17" s="846"/>
    </row>
    <row r="18" spans="1:39" ht="19.5" customHeight="1" thickBot="1">
      <c r="A18" s="687" t="s">
        <v>161</v>
      </c>
      <c r="B18" s="592" t="s">
        <v>162</v>
      </c>
      <c r="C18" s="76" t="s">
        <v>24</v>
      </c>
      <c r="D18" s="76" t="s">
        <v>24</v>
      </c>
      <c r="E18" s="76" t="s">
        <v>24</v>
      </c>
      <c r="F18" s="76" t="s">
        <v>24</v>
      </c>
      <c r="G18" s="840" t="s">
        <v>23</v>
      </c>
      <c r="H18" s="840" t="s">
        <v>23</v>
      </c>
      <c r="I18" s="76" t="s">
        <v>24</v>
      </c>
      <c r="J18" s="76" t="s">
        <v>24</v>
      </c>
      <c r="K18" s="76" t="s">
        <v>24</v>
      </c>
      <c r="L18" s="76" t="s">
        <v>24</v>
      </c>
      <c r="M18" s="840" t="s">
        <v>23</v>
      </c>
      <c r="N18" s="840" t="s">
        <v>23</v>
      </c>
      <c r="O18" s="76" t="s">
        <v>24</v>
      </c>
      <c r="P18" s="76" t="s">
        <v>24</v>
      </c>
      <c r="Q18" s="841" t="s">
        <v>34</v>
      </c>
      <c r="R18" s="840" t="s">
        <v>23</v>
      </c>
      <c r="S18" s="842"/>
      <c r="T18" s="842"/>
      <c r="U18" s="842"/>
      <c r="V18" s="842"/>
      <c r="W18" s="842"/>
      <c r="X18" s="842"/>
      <c r="Y18" s="842"/>
      <c r="Z18" s="842"/>
      <c r="AA18" s="842"/>
      <c r="AB18" s="842"/>
      <c r="AC18" s="842"/>
      <c r="AD18" s="842"/>
      <c r="AE18" s="842"/>
      <c r="AF18" s="842"/>
      <c r="AG18" s="843"/>
      <c r="AI18" s="241">
        <f>VLOOKUP(B18,'JUN25'!B:AJ,35,0)</f>
        <v>20</v>
      </c>
      <c r="AJ18" s="283">
        <f t="shared" si="2"/>
        <v>1</v>
      </c>
      <c r="AK18" s="288">
        <f t="shared" si="3"/>
        <v>19</v>
      </c>
      <c r="AM18" s="846"/>
    </row>
    <row r="19" spans="1:39" ht="20.100000000000001" customHeight="1" thickBot="1">
      <c r="A19" s="848"/>
      <c r="B19" s="849"/>
      <c r="C19" s="850"/>
      <c r="D19" s="850"/>
      <c r="E19" s="850"/>
      <c r="F19" s="850"/>
      <c r="G19" s="850"/>
      <c r="H19" s="850"/>
      <c r="I19" s="851"/>
      <c r="J19" s="851"/>
      <c r="K19" s="851"/>
      <c r="L19" s="851"/>
      <c r="M19" s="850"/>
      <c r="N19" s="850"/>
      <c r="O19" s="851"/>
      <c r="P19" s="851"/>
      <c r="Q19" s="851"/>
      <c r="R19" s="851"/>
      <c r="S19" s="850"/>
      <c r="T19" s="850"/>
      <c r="U19" s="851"/>
      <c r="V19" s="851"/>
      <c r="W19" s="851"/>
      <c r="X19" s="851"/>
      <c r="Y19" s="850"/>
      <c r="Z19" s="850"/>
      <c r="AA19" s="850"/>
      <c r="AB19" s="850"/>
      <c r="AC19" s="850"/>
      <c r="AD19" s="850"/>
      <c r="AE19" s="850"/>
      <c r="AF19" s="850"/>
      <c r="AG19" s="851"/>
      <c r="AI19" s="247"/>
      <c r="AJ19" s="247"/>
      <c r="AK19" s="247"/>
      <c r="AM19" s="846"/>
    </row>
    <row r="20" spans="1:39" ht="24.95" customHeight="1" thickBot="1">
      <c r="A20" s="581" t="s">
        <v>45</v>
      </c>
      <c r="B20" s="514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 s="514"/>
      <c r="N20" s="514"/>
      <c r="O20" s="514"/>
      <c r="P20" s="514"/>
      <c r="Q20" s="514"/>
      <c r="R20" s="514"/>
      <c r="S20" s="514"/>
      <c r="T20" s="514"/>
      <c r="U20" s="514"/>
      <c r="V20" s="514"/>
      <c r="W20" s="514"/>
      <c r="X20" s="514"/>
      <c r="Y20" s="514"/>
      <c r="Z20" s="514"/>
      <c r="AA20" s="514"/>
      <c r="AB20" s="514"/>
      <c r="AC20" s="514"/>
      <c r="AD20" s="650"/>
      <c r="AE20" s="650"/>
      <c r="AF20" s="761"/>
      <c r="AG20" s="640"/>
      <c r="AI20" s="852"/>
      <c r="AJ20" s="247"/>
      <c r="AK20" s="247"/>
      <c r="AM20" s="846"/>
    </row>
    <row r="21" spans="1:39" ht="18.75" customHeight="1">
      <c r="A21" s="718" t="s">
        <v>46</v>
      </c>
      <c r="B21" s="695" t="s">
        <v>47</v>
      </c>
      <c r="C21" s="158" t="s">
        <v>186</v>
      </c>
      <c r="D21" s="158" t="s">
        <v>186</v>
      </c>
      <c r="E21" s="158" t="s">
        <v>186</v>
      </c>
      <c r="F21" s="158" t="s">
        <v>186</v>
      </c>
      <c r="G21" s="158" t="s">
        <v>186</v>
      </c>
      <c r="H21" s="158" t="s">
        <v>186</v>
      </c>
      <c r="I21" s="158" t="s">
        <v>186</v>
      </c>
      <c r="J21" s="158" t="s">
        <v>186</v>
      </c>
      <c r="K21" s="158" t="s">
        <v>186</v>
      </c>
      <c r="L21" s="158" t="s">
        <v>186</v>
      </c>
      <c r="M21" s="158" t="s">
        <v>186</v>
      </c>
      <c r="N21" s="158" t="s">
        <v>186</v>
      </c>
      <c r="O21" s="158" t="s">
        <v>186</v>
      </c>
      <c r="P21" s="158" t="s">
        <v>186</v>
      </c>
      <c r="Q21" s="158" t="s">
        <v>186</v>
      </c>
      <c r="R21" s="158" t="s">
        <v>186</v>
      </c>
      <c r="S21" s="158" t="s">
        <v>186</v>
      </c>
      <c r="T21" s="158" t="s">
        <v>186</v>
      </c>
      <c r="U21" s="158" t="s">
        <v>186</v>
      </c>
      <c r="V21" s="158" t="s">
        <v>186</v>
      </c>
      <c r="W21" s="158" t="s">
        <v>186</v>
      </c>
      <c r="X21" s="158" t="s">
        <v>186</v>
      </c>
      <c r="Y21" s="158" t="s">
        <v>186</v>
      </c>
      <c r="Z21" s="158" t="s">
        <v>186</v>
      </c>
      <c r="AA21" s="158" t="s">
        <v>186</v>
      </c>
      <c r="AB21" s="158" t="s">
        <v>186</v>
      </c>
      <c r="AC21" s="158" t="s">
        <v>186</v>
      </c>
      <c r="AD21" s="158" t="s">
        <v>186</v>
      </c>
      <c r="AE21" s="158" t="s">
        <v>186</v>
      </c>
      <c r="AF21" s="158" t="s">
        <v>186</v>
      </c>
      <c r="AG21" s="136" t="s">
        <v>186</v>
      </c>
      <c r="AH21" s="248"/>
      <c r="AI21" s="220">
        <f>VLOOKUP(B21,'JUN25'!B:AJ,35,0)</f>
        <v>15</v>
      </c>
      <c r="AJ21" s="295">
        <f t="shared" si="2"/>
        <v>0</v>
      </c>
      <c r="AK21" s="296">
        <f t="shared" si="3"/>
        <v>15</v>
      </c>
      <c r="AL21" s="247"/>
      <c r="AM21" s="846"/>
    </row>
    <row r="22" spans="1:39" ht="18.75" customHeight="1">
      <c r="A22" s="602" t="s">
        <v>192</v>
      </c>
      <c r="B22" s="509" t="s">
        <v>193</v>
      </c>
      <c r="C22" s="367" t="s">
        <v>165</v>
      </c>
      <c r="D22" s="367" t="s">
        <v>165</v>
      </c>
      <c r="E22" s="367" t="s">
        <v>165</v>
      </c>
      <c r="F22" s="367" t="s">
        <v>165</v>
      </c>
      <c r="G22" s="101" t="s">
        <v>23</v>
      </c>
      <c r="H22" s="101" t="s">
        <v>23</v>
      </c>
      <c r="I22" s="367" t="s">
        <v>165</v>
      </c>
      <c r="J22" s="367" t="s">
        <v>165</v>
      </c>
      <c r="K22" s="367" t="s">
        <v>165</v>
      </c>
      <c r="L22" s="367" t="s">
        <v>165</v>
      </c>
      <c r="M22" s="367" t="s">
        <v>165</v>
      </c>
      <c r="N22" s="833" t="s">
        <v>23</v>
      </c>
      <c r="O22" s="833" t="s">
        <v>23</v>
      </c>
      <c r="P22" s="367" t="s">
        <v>165</v>
      </c>
      <c r="Q22" s="367" t="s">
        <v>165</v>
      </c>
      <c r="R22" s="367" t="s">
        <v>165</v>
      </c>
      <c r="S22" s="367" t="s">
        <v>165</v>
      </c>
      <c r="T22" s="367" t="s">
        <v>165</v>
      </c>
      <c r="U22" s="833" t="s">
        <v>23</v>
      </c>
      <c r="V22" s="833" t="s">
        <v>23</v>
      </c>
      <c r="W22" s="367" t="s">
        <v>165</v>
      </c>
      <c r="X22" s="367" t="s">
        <v>165</v>
      </c>
      <c r="Y22" s="367" t="s">
        <v>165</v>
      </c>
      <c r="Z22" s="367" t="s">
        <v>165</v>
      </c>
      <c r="AA22" s="367" t="s">
        <v>165</v>
      </c>
      <c r="AB22" s="833" t="s">
        <v>23</v>
      </c>
      <c r="AC22" s="833" t="s">
        <v>23</v>
      </c>
      <c r="AD22" s="30" t="s">
        <v>53</v>
      </c>
      <c r="AE22" s="92" t="s">
        <v>34</v>
      </c>
      <c r="AF22" s="92" t="s">
        <v>34</v>
      </c>
      <c r="AG22" s="93" t="s">
        <v>34</v>
      </c>
      <c r="AH22" s="248"/>
      <c r="AI22" s="929"/>
      <c r="AJ22" s="225">
        <f t="shared" si="2"/>
        <v>3</v>
      </c>
      <c r="AK22" s="230">
        <f t="shared" si="3"/>
        <v>-3</v>
      </c>
      <c r="AL22" s="247"/>
      <c r="AM22" s="846"/>
    </row>
    <row r="23" spans="1:39" ht="18.75" customHeight="1">
      <c r="A23" s="602" t="s">
        <v>51</v>
      </c>
      <c r="B23" s="509" t="s">
        <v>52</v>
      </c>
      <c r="C23" s="28" t="s">
        <v>24</v>
      </c>
      <c r="D23" s="101" t="s">
        <v>23</v>
      </c>
      <c r="E23" s="28" t="s">
        <v>24</v>
      </c>
      <c r="F23" s="28" t="s">
        <v>24</v>
      </c>
      <c r="G23" s="28" t="s">
        <v>24</v>
      </c>
      <c r="H23" s="28" t="s">
        <v>24</v>
      </c>
      <c r="I23" s="101" t="s">
        <v>23</v>
      </c>
      <c r="J23" s="101" t="s">
        <v>23</v>
      </c>
      <c r="K23" s="28" t="s">
        <v>24</v>
      </c>
      <c r="L23" s="28" t="s">
        <v>24</v>
      </c>
      <c r="M23" s="28" t="s">
        <v>24</v>
      </c>
      <c r="N23" s="28" t="s">
        <v>24</v>
      </c>
      <c r="O23" s="101" t="s">
        <v>23</v>
      </c>
      <c r="P23" s="101" t="s">
        <v>23</v>
      </c>
      <c r="Q23" s="28" t="s">
        <v>24</v>
      </c>
      <c r="R23" s="28" t="s">
        <v>24</v>
      </c>
      <c r="S23" s="28" t="s">
        <v>24</v>
      </c>
      <c r="T23" s="28" t="s">
        <v>24</v>
      </c>
      <c r="U23" s="101" t="s">
        <v>23</v>
      </c>
      <c r="V23" s="101" t="s">
        <v>23</v>
      </c>
      <c r="W23" s="28" t="s">
        <v>24</v>
      </c>
      <c r="X23" s="28" t="s">
        <v>24</v>
      </c>
      <c r="Y23" s="28" t="s">
        <v>24</v>
      </c>
      <c r="Z23" s="92" t="s">
        <v>34</v>
      </c>
      <c r="AA23" s="101" t="s">
        <v>23</v>
      </c>
      <c r="AB23" s="101" t="s">
        <v>23</v>
      </c>
      <c r="AC23" s="832" t="s">
        <v>23</v>
      </c>
      <c r="AD23" s="834" t="s">
        <v>194</v>
      </c>
      <c r="AE23" s="834" t="s">
        <v>194</v>
      </c>
      <c r="AF23" s="28" t="s">
        <v>24</v>
      </c>
      <c r="AG23" s="387" t="s">
        <v>23</v>
      </c>
      <c r="AH23" s="248"/>
      <c r="AI23" s="227">
        <f>VLOOKUP(B23,'JUN25'!B:AJ,35,0)</f>
        <v>11</v>
      </c>
      <c r="AJ23" s="225">
        <f t="shared" si="2"/>
        <v>1</v>
      </c>
      <c r="AK23" s="230">
        <f t="shared" si="3"/>
        <v>10</v>
      </c>
      <c r="AL23" s="247"/>
      <c r="AM23" s="846"/>
    </row>
    <row r="24" spans="1:39" ht="18.75" customHeight="1">
      <c r="A24" s="602" t="s">
        <v>54</v>
      </c>
      <c r="B24" s="509" t="s">
        <v>55</v>
      </c>
      <c r="C24" s="6" t="s">
        <v>22</v>
      </c>
      <c r="D24" s="6" t="s">
        <v>22</v>
      </c>
      <c r="E24" s="6" t="s">
        <v>22</v>
      </c>
      <c r="F24" s="6" t="s">
        <v>22</v>
      </c>
      <c r="G24" s="101" t="s">
        <v>23</v>
      </c>
      <c r="H24" s="101" t="s">
        <v>23</v>
      </c>
      <c r="I24" s="6" t="s">
        <v>22</v>
      </c>
      <c r="J24" s="6" t="s">
        <v>22</v>
      </c>
      <c r="K24" s="6" t="s">
        <v>22</v>
      </c>
      <c r="L24" s="6" t="s">
        <v>22</v>
      </c>
      <c r="M24" s="835" t="s">
        <v>23</v>
      </c>
      <c r="N24" s="835" t="s">
        <v>23</v>
      </c>
      <c r="O24" s="6" t="s">
        <v>22</v>
      </c>
      <c r="P24" s="6" t="s">
        <v>22</v>
      </c>
      <c r="Q24" s="6" t="s">
        <v>22</v>
      </c>
      <c r="R24" s="6" t="s">
        <v>22</v>
      </c>
      <c r="S24" s="101" t="s">
        <v>23</v>
      </c>
      <c r="T24" s="101" t="s">
        <v>23</v>
      </c>
      <c r="U24" s="101" t="s">
        <v>23</v>
      </c>
      <c r="V24" s="6" t="s">
        <v>22</v>
      </c>
      <c r="W24" s="6" t="s">
        <v>22</v>
      </c>
      <c r="X24" s="6" t="s">
        <v>22</v>
      </c>
      <c r="Y24" s="835" t="s">
        <v>23</v>
      </c>
      <c r="Z24" s="835" t="s">
        <v>23</v>
      </c>
      <c r="AA24" s="6" t="s">
        <v>22</v>
      </c>
      <c r="AB24" s="6" t="s">
        <v>22</v>
      </c>
      <c r="AC24" s="6" t="s">
        <v>22</v>
      </c>
      <c r="AD24" s="6" t="s">
        <v>22</v>
      </c>
      <c r="AE24" s="101" t="s">
        <v>23</v>
      </c>
      <c r="AF24" s="101" t="s">
        <v>23</v>
      </c>
      <c r="AG24" s="9" t="s">
        <v>22</v>
      </c>
      <c r="AH24" s="248"/>
      <c r="AI24" s="227">
        <f>VLOOKUP(B24,'JUN25'!B:AJ,35,0)</f>
        <v>7</v>
      </c>
      <c r="AJ24" s="225">
        <f t="shared" si="2"/>
        <v>0</v>
      </c>
      <c r="AK24" s="230">
        <f t="shared" si="3"/>
        <v>7</v>
      </c>
      <c r="AL24" s="247"/>
      <c r="AM24" s="846"/>
    </row>
    <row r="25" spans="1:39" ht="19.5" customHeight="1">
      <c r="A25" s="602" t="s">
        <v>56</v>
      </c>
      <c r="B25" s="509" t="s">
        <v>57</v>
      </c>
      <c r="C25" s="367" t="s">
        <v>42</v>
      </c>
      <c r="D25" s="367" t="s">
        <v>165</v>
      </c>
      <c r="E25" s="367" t="s">
        <v>165</v>
      </c>
      <c r="F25" s="367" t="s">
        <v>165</v>
      </c>
      <c r="G25" s="101" t="s">
        <v>23</v>
      </c>
      <c r="H25" s="101" t="s">
        <v>23</v>
      </c>
      <c r="I25" s="836" t="s">
        <v>34</v>
      </c>
      <c r="J25" s="392" t="s">
        <v>19</v>
      </c>
      <c r="K25" s="367" t="s">
        <v>165</v>
      </c>
      <c r="L25" s="367" t="s">
        <v>165</v>
      </c>
      <c r="M25" s="367" t="s">
        <v>165</v>
      </c>
      <c r="N25" s="101" t="s">
        <v>23</v>
      </c>
      <c r="O25" s="101" t="s">
        <v>23</v>
      </c>
      <c r="P25" s="157" t="s">
        <v>191</v>
      </c>
      <c r="Q25" s="367" t="s">
        <v>42</v>
      </c>
      <c r="R25" s="367" t="s">
        <v>165</v>
      </c>
      <c r="S25" s="367" t="s">
        <v>165</v>
      </c>
      <c r="T25" s="367" t="s">
        <v>165</v>
      </c>
      <c r="U25" s="101" t="s">
        <v>23</v>
      </c>
      <c r="V25" s="101" t="s">
        <v>23</v>
      </c>
      <c r="W25" s="367" t="s">
        <v>42</v>
      </c>
      <c r="X25" s="367" t="s">
        <v>42</v>
      </c>
      <c r="Y25" s="367" t="s">
        <v>165</v>
      </c>
      <c r="Z25" s="367" t="s">
        <v>165</v>
      </c>
      <c r="AA25" s="367" t="s">
        <v>165</v>
      </c>
      <c r="AB25" s="101" t="s">
        <v>23</v>
      </c>
      <c r="AC25" s="101" t="s">
        <v>23</v>
      </c>
      <c r="AD25" s="367" t="s">
        <v>42</v>
      </c>
      <c r="AE25" s="367" t="s">
        <v>42</v>
      </c>
      <c r="AF25" s="367" t="s">
        <v>165</v>
      </c>
      <c r="AG25" s="810" t="s">
        <v>165</v>
      </c>
      <c r="AH25" s="248"/>
      <c r="AI25" s="227">
        <f>VLOOKUP(B25,'JUN25'!B:AJ,35,0)</f>
        <v>7</v>
      </c>
      <c r="AJ25" s="225">
        <f t="shared" si="2"/>
        <v>1</v>
      </c>
      <c r="AK25" s="230">
        <f t="shared" si="3"/>
        <v>6</v>
      </c>
      <c r="AL25" s="247"/>
      <c r="AM25" s="846"/>
    </row>
    <row r="26" spans="1:39" ht="19.5" customHeight="1" thickBot="1">
      <c r="A26" s="680" t="s">
        <v>166</v>
      </c>
      <c r="B26" s="508" t="s">
        <v>167</v>
      </c>
      <c r="C26" s="840" t="s">
        <v>23</v>
      </c>
      <c r="D26" s="840" t="s">
        <v>23</v>
      </c>
      <c r="E26" s="15" t="s">
        <v>22</v>
      </c>
      <c r="F26" s="15" t="s">
        <v>22</v>
      </c>
      <c r="G26" s="15" t="s">
        <v>22</v>
      </c>
      <c r="H26" s="15" t="s">
        <v>22</v>
      </c>
      <c r="I26" s="840" t="s">
        <v>23</v>
      </c>
      <c r="J26" s="840" t="s">
        <v>23</v>
      </c>
      <c r="K26" s="15" t="s">
        <v>22</v>
      </c>
      <c r="L26" s="15" t="s">
        <v>22</v>
      </c>
      <c r="M26" s="15" t="s">
        <v>22</v>
      </c>
      <c r="N26" s="15" t="s">
        <v>22</v>
      </c>
      <c r="O26" s="840" t="s">
        <v>23</v>
      </c>
      <c r="P26" s="840" t="s">
        <v>23</v>
      </c>
      <c r="Q26" s="15" t="s">
        <v>22</v>
      </c>
      <c r="R26" s="15" t="s">
        <v>22</v>
      </c>
      <c r="S26" s="15" t="s">
        <v>22</v>
      </c>
      <c r="T26" s="15" t="s">
        <v>22</v>
      </c>
      <c r="U26" s="840" t="s">
        <v>23</v>
      </c>
      <c r="V26" s="840" t="s">
        <v>23</v>
      </c>
      <c r="W26" s="15" t="s">
        <v>22</v>
      </c>
      <c r="X26" s="15" t="s">
        <v>22</v>
      </c>
      <c r="Y26" s="15" t="s">
        <v>22</v>
      </c>
      <c r="Z26" s="15" t="s">
        <v>22</v>
      </c>
      <c r="AA26" s="840" t="s">
        <v>23</v>
      </c>
      <c r="AB26" s="840" t="s">
        <v>23</v>
      </c>
      <c r="AC26" s="15" t="s">
        <v>22</v>
      </c>
      <c r="AD26" s="15" t="s">
        <v>22</v>
      </c>
      <c r="AE26" s="15" t="s">
        <v>22</v>
      </c>
      <c r="AF26" s="15" t="s">
        <v>22</v>
      </c>
      <c r="AG26" s="388" t="s">
        <v>23</v>
      </c>
      <c r="AH26" s="248"/>
      <c r="AI26" s="241">
        <f>VLOOKUP(B26,'JUN25'!B:AJ,35,0)</f>
        <v>16</v>
      </c>
      <c r="AJ26" s="283">
        <f t="shared" si="2"/>
        <v>0</v>
      </c>
      <c r="AK26" s="288">
        <f t="shared" si="3"/>
        <v>16</v>
      </c>
      <c r="AL26" s="247"/>
      <c r="AM26" s="846"/>
    </row>
    <row r="27" spans="1:39" ht="20.100000000000001" customHeight="1" thickBot="1">
      <c r="A27" s="848"/>
      <c r="B27" s="849"/>
      <c r="C27" s="850"/>
      <c r="D27" s="850"/>
      <c r="E27" s="850"/>
      <c r="F27" s="850"/>
      <c r="G27" s="850"/>
      <c r="H27" s="850"/>
      <c r="I27" s="851"/>
      <c r="J27" s="851"/>
      <c r="K27" s="851"/>
      <c r="L27" s="851"/>
      <c r="M27" s="850"/>
      <c r="N27" s="850"/>
      <c r="O27" s="851"/>
      <c r="P27" s="851"/>
      <c r="Q27" s="851"/>
      <c r="R27" s="851"/>
      <c r="S27" s="850"/>
      <c r="T27" s="850"/>
      <c r="U27" s="851"/>
      <c r="V27" s="851"/>
      <c r="W27" s="851"/>
      <c r="X27" s="851"/>
      <c r="Y27" s="850"/>
      <c r="Z27" s="850"/>
      <c r="AA27" s="850"/>
      <c r="AB27" s="850"/>
      <c r="AC27" s="850"/>
      <c r="AD27" s="850"/>
      <c r="AE27" s="850"/>
      <c r="AF27" s="850"/>
      <c r="AG27" s="851"/>
      <c r="AI27" s="247"/>
      <c r="AJ27" s="247"/>
      <c r="AK27" s="247"/>
      <c r="AM27" s="846"/>
    </row>
    <row r="28" spans="1:39" ht="24.95" customHeight="1" thickBot="1">
      <c r="A28" s="581" t="s">
        <v>60</v>
      </c>
      <c r="B28" s="514"/>
      <c r="C28" s="514"/>
      <c r="D28" s="514"/>
      <c r="E28" s="514"/>
      <c r="F28" s="514"/>
      <c r="G28" s="514"/>
      <c r="H28" s="514"/>
      <c r="I28" s="514"/>
      <c r="J28" s="514"/>
      <c r="K28" s="514"/>
      <c r="L28" s="514"/>
      <c r="M28" s="514"/>
      <c r="N28" s="514"/>
      <c r="O28" s="514"/>
      <c r="P28" s="514"/>
      <c r="Q28" s="514"/>
      <c r="R28" s="514"/>
      <c r="S28" s="514"/>
      <c r="T28" s="514"/>
      <c r="U28" s="514"/>
      <c r="V28" s="514"/>
      <c r="W28" s="514"/>
      <c r="X28" s="514"/>
      <c r="Y28" s="514"/>
      <c r="Z28" s="514"/>
      <c r="AA28" s="514"/>
      <c r="AB28" s="514"/>
      <c r="AC28" s="514"/>
      <c r="AD28" s="650"/>
      <c r="AE28" s="650"/>
      <c r="AF28" s="761"/>
      <c r="AG28" s="640"/>
      <c r="AI28" s="852"/>
      <c r="AJ28" s="247"/>
      <c r="AK28" s="247"/>
      <c r="AM28" s="846"/>
    </row>
    <row r="29" spans="1:39" ht="18.75" customHeight="1">
      <c r="A29" s="602" t="s">
        <v>64</v>
      </c>
      <c r="B29" s="509" t="s">
        <v>65</v>
      </c>
      <c r="C29" s="29" t="s">
        <v>23</v>
      </c>
      <c r="D29" s="29" t="s">
        <v>23</v>
      </c>
      <c r="E29" s="85" t="s">
        <v>63</v>
      </c>
      <c r="F29" s="85" t="s">
        <v>63</v>
      </c>
      <c r="G29" s="85" t="s">
        <v>63</v>
      </c>
      <c r="H29" s="85" t="s">
        <v>63</v>
      </c>
      <c r="I29" s="29" t="s">
        <v>23</v>
      </c>
      <c r="J29" s="29" t="s">
        <v>23</v>
      </c>
      <c r="K29" s="28" t="s">
        <v>24</v>
      </c>
      <c r="L29" s="28" t="s">
        <v>24</v>
      </c>
      <c r="M29" s="28" t="s">
        <v>24</v>
      </c>
      <c r="N29" s="28" t="s">
        <v>24</v>
      </c>
      <c r="O29" s="29" t="s">
        <v>23</v>
      </c>
      <c r="P29" s="29" t="s">
        <v>23</v>
      </c>
      <c r="Q29" s="6" t="s">
        <v>22</v>
      </c>
      <c r="R29" s="6" t="s">
        <v>22</v>
      </c>
      <c r="S29" s="6" t="s">
        <v>22</v>
      </c>
      <c r="T29" s="6" t="s">
        <v>22</v>
      </c>
      <c r="U29" s="29" t="s">
        <v>23</v>
      </c>
      <c r="V29" s="29" t="s">
        <v>23</v>
      </c>
      <c r="W29" s="28" t="s">
        <v>24</v>
      </c>
      <c r="X29" s="28" t="s">
        <v>24</v>
      </c>
      <c r="Y29" s="28" t="s">
        <v>24</v>
      </c>
      <c r="Z29" s="28" t="s">
        <v>24</v>
      </c>
      <c r="AA29" s="29" t="s">
        <v>23</v>
      </c>
      <c r="AB29" s="29" t="s">
        <v>23</v>
      </c>
      <c r="AC29" s="6" t="s">
        <v>22</v>
      </c>
      <c r="AD29" s="6" t="s">
        <v>22</v>
      </c>
      <c r="AE29" s="6" t="s">
        <v>22</v>
      </c>
      <c r="AF29" s="6" t="s">
        <v>22</v>
      </c>
      <c r="AG29" s="78" t="s">
        <v>23</v>
      </c>
      <c r="AI29" s="220">
        <f>VLOOKUP(B29,'JUN25'!B:AJ,35,0)</f>
        <v>16</v>
      </c>
      <c r="AJ29" s="218">
        <f t="shared" si="2"/>
        <v>0</v>
      </c>
      <c r="AK29" s="221">
        <f t="shared" si="3"/>
        <v>16</v>
      </c>
      <c r="AM29" s="846"/>
    </row>
    <row r="30" spans="1:39" ht="18.75" customHeight="1">
      <c r="A30" s="602" t="s">
        <v>66</v>
      </c>
      <c r="B30" s="509" t="s">
        <v>67</v>
      </c>
      <c r="C30" s="6" t="s">
        <v>22</v>
      </c>
      <c r="D30" s="6" t="s">
        <v>22</v>
      </c>
      <c r="E30" s="6" t="s">
        <v>22</v>
      </c>
      <c r="F30" s="6" t="s">
        <v>22</v>
      </c>
      <c r="G30" s="29" t="s">
        <v>23</v>
      </c>
      <c r="H30" s="29" t="s">
        <v>23</v>
      </c>
      <c r="I30" s="85" t="s">
        <v>63</v>
      </c>
      <c r="J30" s="85" t="s">
        <v>63</v>
      </c>
      <c r="K30" s="85" t="s">
        <v>63</v>
      </c>
      <c r="L30" s="85" t="s">
        <v>63</v>
      </c>
      <c r="M30" s="29" t="s">
        <v>23</v>
      </c>
      <c r="N30" s="29" t="s">
        <v>23</v>
      </c>
      <c r="O30" s="28" t="s">
        <v>24</v>
      </c>
      <c r="P30" s="28" t="s">
        <v>24</v>
      </c>
      <c r="Q30" s="28" t="s">
        <v>24</v>
      </c>
      <c r="R30" s="28" t="s">
        <v>24</v>
      </c>
      <c r="S30" s="29" t="s">
        <v>23</v>
      </c>
      <c r="T30" s="29" t="s">
        <v>23</v>
      </c>
      <c r="U30" s="92" t="s">
        <v>34</v>
      </c>
      <c r="V30" s="92" t="s">
        <v>34</v>
      </c>
      <c r="W30" s="92" t="s">
        <v>34</v>
      </c>
      <c r="X30" s="92" t="s">
        <v>34</v>
      </c>
      <c r="Y30" s="29" t="s">
        <v>23</v>
      </c>
      <c r="Z30" s="29" t="s">
        <v>23</v>
      </c>
      <c r="AA30" s="28" t="s">
        <v>24</v>
      </c>
      <c r="AB30" s="28" t="s">
        <v>24</v>
      </c>
      <c r="AC30" s="28" t="s">
        <v>24</v>
      </c>
      <c r="AD30" s="28" t="s">
        <v>24</v>
      </c>
      <c r="AE30" s="29" t="s">
        <v>23</v>
      </c>
      <c r="AF30" s="29" t="s">
        <v>23</v>
      </c>
      <c r="AG30" s="80" t="s">
        <v>24</v>
      </c>
      <c r="AI30" s="227">
        <f>VLOOKUP(B30,'JUN25'!B:AJ,35,0)</f>
        <v>14</v>
      </c>
      <c r="AJ30" s="225">
        <f t="shared" si="2"/>
        <v>4</v>
      </c>
      <c r="AK30" s="230">
        <f t="shared" si="3"/>
        <v>10</v>
      </c>
      <c r="AM30" s="846"/>
    </row>
    <row r="31" spans="1:39" ht="18.75" customHeight="1">
      <c r="A31" s="602" t="s">
        <v>69</v>
      </c>
      <c r="B31" s="509" t="s">
        <v>70</v>
      </c>
      <c r="C31" s="28" t="s">
        <v>24</v>
      </c>
      <c r="D31" s="28" t="s">
        <v>24</v>
      </c>
      <c r="E31" s="29" t="s">
        <v>23</v>
      </c>
      <c r="F31" s="29" t="s">
        <v>23</v>
      </c>
      <c r="G31" s="6" t="s">
        <v>22</v>
      </c>
      <c r="H31" s="6" t="s">
        <v>22</v>
      </c>
      <c r="I31" s="6" t="s">
        <v>22</v>
      </c>
      <c r="J31" s="6" t="s">
        <v>22</v>
      </c>
      <c r="K31" s="29" t="s">
        <v>23</v>
      </c>
      <c r="L31" s="29" t="s">
        <v>23</v>
      </c>
      <c r="M31" s="85" t="s">
        <v>63</v>
      </c>
      <c r="N31" s="85" t="s">
        <v>63</v>
      </c>
      <c r="O31" s="85" t="s">
        <v>63</v>
      </c>
      <c r="P31" s="85" t="s">
        <v>63</v>
      </c>
      <c r="Q31" s="29" t="s">
        <v>23</v>
      </c>
      <c r="R31" s="29" t="s">
        <v>23</v>
      </c>
      <c r="S31" s="28" t="s">
        <v>24</v>
      </c>
      <c r="T31" s="28" t="s">
        <v>24</v>
      </c>
      <c r="U31" s="28" t="s">
        <v>24</v>
      </c>
      <c r="V31" s="28" t="s">
        <v>24</v>
      </c>
      <c r="W31" s="29" t="s">
        <v>23</v>
      </c>
      <c r="X31" s="29" t="s">
        <v>23</v>
      </c>
      <c r="Y31" s="6" t="s">
        <v>22</v>
      </c>
      <c r="Z31" s="6" t="s">
        <v>22</v>
      </c>
      <c r="AA31" s="6" t="s">
        <v>22</v>
      </c>
      <c r="AB31" s="6" t="s">
        <v>22</v>
      </c>
      <c r="AC31" s="29" t="s">
        <v>23</v>
      </c>
      <c r="AD31" s="29" t="s">
        <v>23</v>
      </c>
      <c r="AE31" s="28" t="s">
        <v>24</v>
      </c>
      <c r="AF31" s="28" t="s">
        <v>24</v>
      </c>
      <c r="AG31" s="80" t="s">
        <v>24</v>
      </c>
      <c r="AI31" s="227">
        <f>VLOOKUP(B31,'JUN25'!B:AJ,35,0)</f>
        <v>11</v>
      </c>
      <c r="AJ31" s="225">
        <f t="shared" si="2"/>
        <v>0</v>
      </c>
      <c r="AK31" s="230">
        <f t="shared" si="3"/>
        <v>11</v>
      </c>
      <c r="AM31" s="846"/>
    </row>
    <row r="32" spans="1:39" ht="18.75" customHeight="1">
      <c r="A32" s="602" t="s">
        <v>71</v>
      </c>
      <c r="B32" s="509" t="s">
        <v>72</v>
      </c>
      <c r="C32" s="29" t="s">
        <v>23</v>
      </c>
      <c r="D32" s="29" t="s">
        <v>23</v>
      </c>
      <c r="E32" s="28" t="s">
        <v>24</v>
      </c>
      <c r="F32" s="28" t="s">
        <v>24</v>
      </c>
      <c r="G32" s="28" t="s">
        <v>24</v>
      </c>
      <c r="H32" s="28" t="s">
        <v>24</v>
      </c>
      <c r="I32" s="29" t="s">
        <v>23</v>
      </c>
      <c r="J32" s="29" t="s">
        <v>23</v>
      </c>
      <c r="K32" s="6" t="s">
        <v>22</v>
      </c>
      <c r="L32" s="6" t="s">
        <v>22</v>
      </c>
      <c r="M32" s="6" t="s">
        <v>22</v>
      </c>
      <c r="N32" s="6" t="s">
        <v>22</v>
      </c>
      <c r="O32" s="29" t="s">
        <v>23</v>
      </c>
      <c r="P32" s="29" t="s">
        <v>23</v>
      </c>
      <c r="Q32" s="85" t="s">
        <v>63</v>
      </c>
      <c r="R32" s="85" t="s">
        <v>63</v>
      </c>
      <c r="S32" s="85" t="s">
        <v>63</v>
      </c>
      <c r="T32" s="85" t="s">
        <v>63</v>
      </c>
      <c r="U32" s="29" t="s">
        <v>23</v>
      </c>
      <c r="V32" s="29" t="s">
        <v>23</v>
      </c>
      <c r="W32" s="92" t="s">
        <v>34</v>
      </c>
      <c r="X32" s="92" t="s">
        <v>34</v>
      </c>
      <c r="Y32" s="92" t="s">
        <v>34</v>
      </c>
      <c r="Z32" s="92" t="s">
        <v>34</v>
      </c>
      <c r="AA32" s="29" t="s">
        <v>23</v>
      </c>
      <c r="AB32" s="29" t="s">
        <v>23</v>
      </c>
      <c r="AC32" s="92" t="s">
        <v>34</v>
      </c>
      <c r="AD32" s="92" t="s">
        <v>34</v>
      </c>
      <c r="AE32" s="92" t="s">
        <v>34</v>
      </c>
      <c r="AF32" s="92" t="s">
        <v>34</v>
      </c>
      <c r="AG32" s="78" t="s">
        <v>23</v>
      </c>
      <c r="AI32" s="227">
        <f>VLOOKUP(B32,'JUN25'!B:AJ,35,0)</f>
        <v>8</v>
      </c>
      <c r="AJ32" s="225">
        <f t="shared" si="2"/>
        <v>8</v>
      </c>
      <c r="AK32" s="230">
        <f t="shared" si="3"/>
        <v>0</v>
      </c>
      <c r="AM32" s="846"/>
    </row>
    <row r="33" spans="1:39" ht="18.75" customHeight="1">
      <c r="A33" s="602" t="s">
        <v>73</v>
      </c>
      <c r="B33" s="509" t="s">
        <v>74</v>
      </c>
      <c r="C33" s="6" t="s">
        <v>22</v>
      </c>
      <c r="D33" s="6" t="s">
        <v>22</v>
      </c>
      <c r="E33" s="6" t="s">
        <v>22</v>
      </c>
      <c r="F33" s="6" t="s">
        <v>22</v>
      </c>
      <c r="G33" s="29" t="s">
        <v>23</v>
      </c>
      <c r="H33" s="29" t="s">
        <v>23</v>
      </c>
      <c r="I33" s="28" t="s">
        <v>24</v>
      </c>
      <c r="J33" s="28" t="s">
        <v>24</v>
      </c>
      <c r="K33" s="28" t="s">
        <v>24</v>
      </c>
      <c r="L33" s="28" t="s">
        <v>24</v>
      </c>
      <c r="M33" s="29" t="s">
        <v>23</v>
      </c>
      <c r="N33" s="29" t="s">
        <v>23</v>
      </c>
      <c r="O33" s="6" t="s">
        <v>22</v>
      </c>
      <c r="P33" s="6" t="s">
        <v>22</v>
      </c>
      <c r="Q33" s="6" t="s">
        <v>22</v>
      </c>
      <c r="R33" s="6" t="s">
        <v>22</v>
      </c>
      <c r="S33" s="29" t="s">
        <v>23</v>
      </c>
      <c r="T33" s="29" t="s">
        <v>23</v>
      </c>
      <c r="U33" s="85" t="s">
        <v>63</v>
      </c>
      <c r="V33" s="85" t="s">
        <v>63</v>
      </c>
      <c r="W33" s="85" t="s">
        <v>63</v>
      </c>
      <c r="X33" s="85" t="s">
        <v>63</v>
      </c>
      <c r="Y33" s="29" t="s">
        <v>23</v>
      </c>
      <c r="Z33" s="29" t="s">
        <v>23</v>
      </c>
      <c r="AA33" s="28" t="s">
        <v>24</v>
      </c>
      <c r="AB33" s="28" t="s">
        <v>24</v>
      </c>
      <c r="AC33" s="28" t="s">
        <v>24</v>
      </c>
      <c r="AD33" s="28" t="s">
        <v>24</v>
      </c>
      <c r="AE33" s="29" t="s">
        <v>23</v>
      </c>
      <c r="AF33" s="29" t="s">
        <v>23</v>
      </c>
      <c r="AG33" s="9" t="s">
        <v>22</v>
      </c>
      <c r="AI33" s="227">
        <f>VLOOKUP(B33,'JUN25'!B:AJ,35,0)</f>
        <v>5</v>
      </c>
      <c r="AJ33" s="225">
        <f t="shared" si="2"/>
        <v>0</v>
      </c>
      <c r="AK33" s="230">
        <f t="shared" si="3"/>
        <v>5</v>
      </c>
      <c r="AM33" s="846"/>
    </row>
    <row r="34" spans="1:39" ht="18.75" customHeight="1">
      <c r="A34" s="602" t="s">
        <v>75</v>
      </c>
      <c r="B34" s="509" t="s">
        <v>76</v>
      </c>
      <c r="C34" s="28" t="s">
        <v>24</v>
      </c>
      <c r="D34" s="28" t="s">
        <v>24</v>
      </c>
      <c r="E34" s="29" t="s">
        <v>23</v>
      </c>
      <c r="F34" s="29" t="s">
        <v>23</v>
      </c>
      <c r="G34" s="6" t="s">
        <v>22</v>
      </c>
      <c r="H34" s="6" t="s">
        <v>22</v>
      </c>
      <c r="I34" s="6" t="s">
        <v>22</v>
      </c>
      <c r="J34" s="6" t="s">
        <v>22</v>
      </c>
      <c r="K34" s="29" t="s">
        <v>23</v>
      </c>
      <c r="L34" s="29" t="s">
        <v>23</v>
      </c>
      <c r="M34" s="6" t="s">
        <v>22</v>
      </c>
      <c r="N34" s="92" t="s">
        <v>34</v>
      </c>
      <c r="O34" s="6" t="s">
        <v>22</v>
      </c>
      <c r="P34" s="6" t="s">
        <v>22</v>
      </c>
      <c r="Q34" s="29" t="s">
        <v>23</v>
      </c>
      <c r="R34" s="29" t="s">
        <v>23</v>
      </c>
      <c r="S34" s="6" t="s">
        <v>22</v>
      </c>
      <c r="T34" s="6" t="s">
        <v>22</v>
      </c>
      <c r="U34" s="6" t="s">
        <v>22</v>
      </c>
      <c r="V34" s="6" t="s">
        <v>22</v>
      </c>
      <c r="W34" s="29" t="s">
        <v>23</v>
      </c>
      <c r="X34" s="29" t="s">
        <v>23</v>
      </c>
      <c r="Y34" s="85" t="s">
        <v>63</v>
      </c>
      <c r="Z34" s="85" t="s">
        <v>63</v>
      </c>
      <c r="AA34" s="85" t="s">
        <v>63</v>
      </c>
      <c r="AB34" s="85" t="s">
        <v>63</v>
      </c>
      <c r="AC34" s="29" t="s">
        <v>23</v>
      </c>
      <c r="AD34" s="29" t="s">
        <v>23</v>
      </c>
      <c r="AE34" s="28" t="s">
        <v>24</v>
      </c>
      <c r="AF34" s="28" t="s">
        <v>24</v>
      </c>
      <c r="AG34" s="80" t="s">
        <v>24</v>
      </c>
      <c r="AI34" s="227">
        <f>VLOOKUP(B34,'JUN25'!B:AJ,35,0)</f>
        <v>22</v>
      </c>
      <c r="AJ34" s="225">
        <f t="shared" si="2"/>
        <v>1</v>
      </c>
      <c r="AK34" s="230">
        <f t="shared" si="3"/>
        <v>21</v>
      </c>
      <c r="AM34" s="846"/>
    </row>
    <row r="35" spans="1:39" ht="18.75" customHeight="1">
      <c r="A35" s="602" t="s">
        <v>77</v>
      </c>
      <c r="B35" s="509" t="s">
        <v>78</v>
      </c>
      <c r="C35" s="108" t="s">
        <v>108</v>
      </c>
      <c r="D35" s="108" t="s">
        <v>108</v>
      </c>
      <c r="E35" s="108" t="s">
        <v>108</v>
      </c>
      <c r="F35" s="108" t="s">
        <v>108</v>
      </c>
      <c r="G35" s="108" t="s">
        <v>108</v>
      </c>
      <c r="H35" s="108" t="s">
        <v>108</v>
      </c>
      <c r="I35" s="30" t="s">
        <v>53</v>
      </c>
      <c r="J35" s="108" t="s">
        <v>108</v>
      </c>
      <c r="K35" s="108" t="s">
        <v>108</v>
      </c>
      <c r="L35" s="108" t="s">
        <v>108</v>
      </c>
      <c r="M35" s="108" t="s">
        <v>108</v>
      </c>
      <c r="N35" s="108" t="s">
        <v>108</v>
      </c>
      <c r="O35" s="108" t="s">
        <v>108</v>
      </c>
      <c r="P35" s="108" t="s">
        <v>108</v>
      </c>
      <c r="Q35" s="108" t="s">
        <v>108</v>
      </c>
      <c r="R35" s="108" t="s">
        <v>108</v>
      </c>
      <c r="S35" s="108" t="s">
        <v>108</v>
      </c>
      <c r="T35" s="108" t="s">
        <v>108</v>
      </c>
      <c r="U35" s="108" t="s">
        <v>108</v>
      </c>
      <c r="V35" s="108" t="s">
        <v>108</v>
      </c>
      <c r="W35" s="108" t="s">
        <v>108</v>
      </c>
      <c r="X35" s="108" t="s">
        <v>108</v>
      </c>
      <c r="Y35" s="108" t="s">
        <v>108</v>
      </c>
      <c r="Z35" s="108" t="s">
        <v>108</v>
      </c>
      <c r="AA35" s="108" t="s">
        <v>108</v>
      </c>
      <c r="AB35" s="108" t="s">
        <v>108</v>
      </c>
      <c r="AC35" s="108" t="s">
        <v>108</v>
      </c>
      <c r="AD35" s="108" t="s">
        <v>108</v>
      </c>
      <c r="AE35" s="108" t="s">
        <v>108</v>
      </c>
      <c r="AF35" s="108" t="s">
        <v>108</v>
      </c>
      <c r="AG35" s="109" t="s">
        <v>108</v>
      </c>
      <c r="AI35" s="227">
        <f>VLOOKUP(B35,'JUN25'!B:AJ,35,0)</f>
        <v>18</v>
      </c>
      <c r="AJ35" s="225">
        <f t="shared" si="2"/>
        <v>0</v>
      </c>
      <c r="AK35" s="230">
        <f t="shared" si="3"/>
        <v>18</v>
      </c>
      <c r="AM35" s="846"/>
    </row>
    <row r="36" spans="1:39" ht="18.75" customHeight="1">
      <c r="A36" s="602" t="s">
        <v>79</v>
      </c>
      <c r="B36" s="509" t="s">
        <v>80</v>
      </c>
      <c r="C36" s="85" t="s">
        <v>63</v>
      </c>
      <c r="D36" s="85" t="s">
        <v>63</v>
      </c>
      <c r="E36" s="92" t="s">
        <v>34</v>
      </c>
      <c r="F36" s="92" t="s">
        <v>34</v>
      </c>
      <c r="G36" s="29" t="s">
        <v>23</v>
      </c>
      <c r="H36" s="29" t="s">
        <v>23</v>
      </c>
      <c r="I36" s="92" t="s">
        <v>34</v>
      </c>
      <c r="J36" s="92" t="s">
        <v>34</v>
      </c>
      <c r="K36" s="92" t="s">
        <v>34</v>
      </c>
      <c r="L36" s="92" t="s">
        <v>34</v>
      </c>
      <c r="M36" s="29" t="s">
        <v>23</v>
      </c>
      <c r="N36" s="29" t="s">
        <v>23</v>
      </c>
      <c r="O36" s="92" t="s">
        <v>34</v>
      </c>
      <c r="P36" s="92" t="s">
        <v>34</v>
      </c>
      <c r="Q36" s="92" t="s">
        <v>34</v>
      </c>
      <c r="R36" s="92" t="s">
        <v>34</v>
      </c>
      <c r="S36" s="29" t="s">
        <v>23</v>
      </c>
      <c r="T36" s="29" t="s">
        <v>23</v>
      </c>
      <c r="U36" s="28" t="s">
        <v>24</v>
      </c>
      <c r="V36" s="28" t="s">
        <v>24</v>
      </c>
      <c r="W36" s="28" t="s">
        <v>24</v>
      </c>
      <c r="X36" s="28" t="s">
        <v>24</v>
      </c>
      <c r="Y36" s="29" t="s">
        <v>23</v>
      </c>
      <c r="Z36" s="29" t="s">
        <v>23</v>
      </c>
      <c r="AA36" s="6" t="s">
        <v>22</v>
      </c>
      <c r="AB36" s="6" t="s">
        <v>22</v>
      </c>
      <c r="AC36" s="6" t="s">
        <v>22</v>
      </c>
      <c r="AD36" s="6" t="s">
        <v>22</v>
      </c>
      <c r="AE36" s="29" t="s">
        <v>23</v>
      </c>
      <c r="AF36" s="29" t="s">
        <v>23</v>
      </c>
      <c r="AG36" s="86" t="s">
        <v>63</v>
      </c>
      <c r="AI36" s="227">
        <f>VLOOKUP(B36,'JUN25'!B:AJ,35,0)</f>
        <v>20</v>
      </c>
      <c r="AJ36" s="225">
        <f t="shared" si="2"/>
        <v>10</v>
      </c>
      <c r="AK36" s="230">
        <f t="shared" si="3"/>
        <v>10</v>
      </c>
      <c r="AM36" s="846"/>
    </row>
    <row r="37" spans="1:39" ht="18.75" customHeight="1">
      <c r="A37" s="602" t="s">
        <v>81</v>
      </c>
      <c r="B37" s="509" t="s">
        <v>82</v>
      </c>
      <c r="C37" s="6" t="s">
        <v>22</v>
      </c>
      <c r="D37" s="6" t="s">
        <v>22</v>
      </c>
      <c r="E37" s="29" t="s">
        <v>23</v>
      </c>
      <c r="F37" s="29" t="s">
        <v>23</v>
      </c>
      <c r="G37" s="85" t="s">
        <v>63</v>
      </c>
      <c r="H37" s="85" t="s">
        <v>63</v>
      </c>
      <c r="I37" s="85" t="s">
        <v>63</v>
      </c>
      <c r="J37" s="85" t="s">
        <v>63</v>
      </c>
      <c r="K37" s="29" t="s">
        <v>23</v>
      </c>
      <c r="L37" s="29" t="s">
        <v>23</v>
      </c>
      <c r="M37" s="28" t="s">
        <v>24</v>
      </c>
      <c r="N37" s="28" t="s">
        <v>24</v>
      </c>
      <c r="O37" s="28" t="s">
        <v>24</v>
      </c>
      <c r="P37" s="28" t="s">
        <v>24</v>
      </c>
      <c r="Q37" s="29" t="s">
        <v>23</v>
      </c>
      <c r="R37" s="29" t="s">
        <v>23</v>
      </c>
      <c r="S37" s="6" t="s">
        <v>22</v>
      </c>
      <c r="T37" s="6" t="s">
        <v>22</v>
      </c>
      <c r="U37" s="6" t="s">
        <v>22</v>
      </c>
      <c r="V37" s="6" t="s">
        <v>22</v>
      </c>
      <c r="W37" s="29" t="s">
        <v>23</v>
      </c>
      <c r="X37" s="29" t="s">
        <v>23</v>
      </c>
      <c r="Y37" s="28" t="s">
        <v>24</v>
      </c>
      <c r="Z37" s="28" t="s">
        <v>83</v>
      </c>
      <c r="AA37" s="28" t="s">
        <v>24</v>
      </c>
      <c r="AB37" s="28" t="s">
        <v>24</v>
      </c>
      <c r="AC37" s="29" t="s">
        <v>23</v>
      </c>
      <c r="AD37" s="29" t="s">
        <v>23</v>
      </c>
      <c r="AE37" s="6" t="s">
        <v>22</v>
      </c>
      <c r="AF37" s="6" t="s">
        <v>22</v>
      </c>
      <c r="AG37" s="9" t="s">
        <v>22</v>
      </c>
      <c r="AI37" s="227">
        <f>VLOOKUP(B37,'JUN25'!B:AJ,35,0)</f>
        <v>10</v>
      </c>
      <c r="AJ37" s="225">
        <f t="shared" si="2"/>
        <v>0</v>
      </c>
      <c r="AK37" s="230">
        <f t="shared" si="3"/>
        <v>10</v>
      </c>
      <c r="AM37" s="846"/>
    </row>
    <row r="38" spans="1:39" ht="18.75" customHeight="1">
      <c r="A38" s="602" t="s">
        <v>85</v>
      </c>
      <c r="B38" s="509" t="s">
        <v>86</v>
      </c>
      <c r="C38" s="29" t="s">
        <v>23</v>
      </c>
      <c r="D38" s="29" t="s">
        <v>23</v>
      </c>
      <c r="E38" s="6" t="s">
        <v>22</v>
      </c>
      <c r="F38" s="6" t="s">
        <v>22</v>
      </c>
      <c r="G38" s="6" t="s">
        <v>22</v>
      </c>
      <c r="H38" s="6" t="s">
        <v>22</v>
      </c>
      <c r="I38" s="29" t="s">
        <v>23</v>
      </c>
      <c r="J38" s="29" t="s">
        <v>23</v>
      </c>
      <c r="K38" s="85" t="s">
        <v>63</v>
      </c>
      <c r="L38" s="85" t="s">
        <v>63</v>
      </c>
      <c r="M38" s="85" t="s">
        <v>63</v>
      </c>
      <c r="N38" s="85" t="s">
        <v>63</v>
      </c>
      <c r="O38" s="29" t="s">
        <v>23</v>
      </c>
      <c r="P38" s="29" t="s">
        <v>23</v>
      </c>
      <c r="Q38" s="28" t="s">
        <v>24</v>
      </c>
      <c r="R38" s="28" t="s">
        <v>24</v>
      </c>
      <c r="S38" s="28" t="s">
        <v>24</v>
      </c>
      <c r="T38" s="28" t="s">
        <v>24</v>
      </c>
      <c r="U38" s="29" t="s">
        <v>23</v>
      </c>
      <c r="V38" s="29" t="s">
        <v>23</v>
      </c>
      <c r="W38" s="6" t="s">
        <v>22</v>
      </c>
      <c r="X38" s="6" t="s">
        <v>22</v>
      </c>
      <c r="Y38" s="6" t="s">
        <v>22</v>
      </c>
      <c r="Z38" s="6" t="s">
        <v>22</v>
      </c>
      <c r="AA38" s="29" t="s">
        <v>23</v>
      </c>
      <c r="AB38" s="29" t="s">
        <v>23</v>
      </c>
      <c r="AC38" s="28" t="s">
        <v>24</v>
      </c>
      <c r="AD38" s="28" t="s">
        <v>24</v>
      </c>
      <c r="AE38" s="28" t="s">
        <v>24</v>
      </c>
      <c r="AF38" s="28" t="s">
        <v>24</v>
      </c>
      <c r="AG38" s="78" t="s">
        <v>23</v>
      </c>
      <c r="AI38" s="227">
        <f>VLOOKUP(B38,'JUN25'!B:AJ,35,0)</f>
        <v>15</v>
      </c>
      <c r="AJ38" s="225">
        <f t="shared" si="2"/>
        <v>0</v>
      </c>
      <c r="AK38" s="230">
        <f t="shared" si="3"/>
        <v>15</v>
      </c>
      <c r="AM38" s="846"/>
    </row>
    <row r="39" spans="1:39" ht="18.75" customHeight="1">
      <c r="A39" s="602" t="s">
        <v>87</v>
      </c>
      <c r="B39" s="509" t="s">
        <v>88</v>
      </c>
      <c r="C39" s="28" t="s">
        <v>24</v>
      </c>
      <c r="D39" s="28" t="s">
        <v>24</v>
      </c>
      <c r="E39" s="28" t="s">
        <v>24</v>
      </c>
      <c r="F39" s="28" t="s">
        <v>24</v>
      </c>
      <c r="G39" s="29" t="s">
        <v>23</v>
      </c>
      <c r="H39" s="29" t="s">
        <v>23</v>
      </c>
      <c r="I39" s="6" t="s">
        <v>22</v>
      </c>
      <c r="J39" s="6" t="s">
        <v>22</v>
      </c>
      <c r="K39" s="6" t="s">
        <v>22</v>
      </c>
      <c r="L39" s="6" t="s">
        <v>22</v>
      </c>
      <c r="M39" s="29" t="s">
        <v>23</v>
      </c>
      <c r="N39" s="29" t="s">
        <v>23</v>
      </c>
      <c r="O39" s="85" t="s">
        <v>63</v>
      </c>
      <c r="P39" s="85" t="s">
        <v>63</v>
      </c>
      <c r="Q39" s="85" t="s">
        <v>63</v>
      </c>
      <c r="R39" s="85" t="s">
        <v>63</v>
      </c>
      <c r="S39" s="85" t="s">
        <v>63</v>
      </c>
      <c r="T39" s="29" t="s">
        <v>23</v>
      </c>
      <c r="U39" s="29" t="s">
        <v>23</v>
      </c>
      <c r="V39" s="29" t="s">
        <v>23</v>
      </c>
      <c r="W39" s="120" t="s">
        <v>184</v>
      </c>
      <c r="X39" s="120" t="s">
        <v>184</v>
      </c>
      <c r="Y39" s="120" t="s">
        <v>184</v>
      </c>
      <c r="Z39" s="120" t="s">
        <v>184</v>
      </c>
      <c r="AA39" s="120" t="s">
        <v>184</v>
      </c>
      <c r="AB39" s="29" t="s">
        <v>23</v>
      </c>
      <c r="AC39" s="29" t="s">
        <v>23</v>
      </c>
      <c r="AD39" s="120" t="s">
        <v>184</v>
      </c>
      <c r="AE39" s="120" t="s">
        <v>184</v>
      </c>
      <c r="AF39" s="120" t="s">
        <v>184</v>
      </c>
      <c r="AG39" s="381" t="s">
        <v>184</v>
      </c>
      <c r="AI39" s="227">
        <f>VLOOKUP(B39,'JUN25'!B:AJ,35,0)</f>
        <v>14</v>
      </c>
      <c r="AJ39" s="225">
        <f t="shared" si="2"/>
        <v>0</v>
      </c>
      <c r="AK39" s="230">
        <f t="shared" si="3"/>
        <v>14</v>
      </c>
      <c r="AM39" s="846"/>
    </row>
    <row r="40" spans="1:39" ht="18.75" customHeight="1">
      <c r="A40" s="680" t="s">
        <v>90</v>
      </c>
      <c r="B40" s="508" t="s">
        <v>91</v>
      </c>
      <c r="C40" s="844" t="s">
        <v>108</v>
      </c>
      <c r="D40" s="844" t="s">
        <v>108</v>
      </c>
      <c r="E40" s="844" t="s">
        <v>108</v>
      </c>
      <c r="F40" s="844" t="s">
        <v>108</v>
      </c>
      <c r="G40" s="844" t="s">
        <v>108</v>
      </c>
      <c r="H40" s="844" t="s">
        <v>108</v>
      </c>
      <c r="I40" s="844" t="s">
        <v>108</v>
      </c>
      <c r="J40" s="844" t="s">
        <v>108</v>
      </c>
      <c r="K40" s="844" t="s">
        <v>108</v>
      </c>
      <c r="L40" s="844" t="s">
        <v>108</v>
      </c>
      <c r="M40" s="844" t="s">
        <v>108</v>
      </c>
      <c r="N40" s="844" t="s">
        <v>108</v>
      </c>
      <c r="O40" s="844" t="s">
        <v>108</v>
      </c>
      <c r="P40" s="844" t="s">
        <v>108</v>
      </c>
      <c r="Q40" s="844" t="s">
        <v>108</v>
      </c>
      <c r="R40" s="844" t="s">
        <v>108</v>
      </c>
      <c r="S40" s="844" t="s">
        <v>108</v>
      </c>
      <c r="T40" s="844" t="s">
        <v>108</v>
      </c>
      <c r="U40" s="844" t="s">
        <v>108</v>
      </c>
      <c r="V40" s="844" t="s">
        <v>108</v>
      </c>
      <c r="W40" s="844" t="s">
        <v>108</v>
      </c>
      <c r="X40" s="844" t="s">
        <v>108</v>
      </c>
      <c r="Y40" s="844" t="s">
        <v>108</v>
      </c>
      <c r="Z40" s="844" t="s">
        <v>108</v>
      </c>
      <c r="AA40" s="844" t="s">
        <v>108</v>
      </c>
      <c r="AB40" s="844" t="s">
        <v>108</v>
      </c>
      <c r="AC40" s="844" t="s">
        <v>108</v>
      </c>
      <c r="AD40" s="844" t="s">
        <v>108</v>
      </c>
      <c r="AE40" s="844" t="s">
        <v>108</v>
      </c>
      <c r="AF40" s="844" t="s">
        <v>108</v>
      </c>
      <c r="AG40" s="397" t="s">
        <v>108</v>
      </c>
      <c r="AI40" s="241">
        <f>VLOOKUP(B40,'JUN25'!B:AJ,35,0)</f>
        <v>11</v>
      </c>
      <c r="AJ40" s="283">
        <f t="shared" si="2"/>
        <v>0</v>
      </c>
      <c r="AK40" s="288">
        <f t="shared" si="3"/>
        <v>11</v>
      </c>
      <c r="AM40" s="846"/>
    </row>
    <row r="41" spans="1:39" ht="20.100000000000001" customHeight="1">
      <c r="A41" s="848"/>
      <c r="B41" s="849"/>
      <c r="C41" s="850"/>
      <c r="D41" s="850"/>
      <c r="E41" s="850"/>
      <c r="F41" s="850"/>
      <c r="G41" s="850"/>
      <c r="H41" s="850"/>
      <c r="I41" s="851"/>
      <c r="J41" s="851"/>
      <c r="K41" s="851"/>
      <c r="L41" s="851"/>
      <c r="M41" s="850"/>
      <c r="N41" s="850"/>
      <c r="O41" s="851"/>
      <c r="P41" s="851"/>
      <c r="Q41" s="851"/>
      <c r="R41" s="851"/>
      <c r="S41" s="850"/>
      <c r="T41" s="850"/>
      <c r="U41" s="851"/>
      <c r="V41" s="851"/>
      <c r="W41" s="851"/>
      <c r="X41" s="851"/>
      <c r="Y41" s="850"/>
      <c r="Z41" s="850"/>
      <c r="AA41" s="850"/>
      <c r="AB41" s="850"/>
      <c r="AC41" s="850"/>
      <c r="AD41" s="850"/>
      <c r="AE41" s="850"/>
      <c r="AF41" s="850"/>
      <c r="AG41" s="851"/>
      <c r="AI41" s="247"/>
      <c r="AJ41" s="247"/>
      <c r="AK41" s="247"/>
      <c r="AM41" s="846"/>
    </row>
    <row r="42" spans="1:39" ht="24.95" customHeight="1">
      <c r="A42" s="581" t="s">
        <v>97</v>
      </c>
      <c r="B42" s="514"/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Y42" s="514"/>
      <c r="Z42" s="514"/>
      <c r="AA42" s="514"/>
      <c r="AB42" s="514"/>
      <c r="AC42" s="514"/>
      <c r="AD42" s="650"/>
      <c r="AE42" s="650"/>
      <c r="AF42" s="761"/>
      <c r="AG42" s="640"/>
      <c r="AI42" s="852"/>
      <c r="AJ42" s="247"/>
      <c r="AK42" s="247"/>
      <c r="AM42" s="846"/>
    </row>
    <row r="43" spans="1:39" ht="18.75" customHeight="1">
      <c r="A43" s="602" t="s">
        <v>98</v>
      </c>
      <c r="B43" s="509" t="s">
        <v>99</v>
      </c>
      <c r="C43" s="92" t="s">
        <v>34</v>
      </c>
      <c r="D43" s="29" t="s">
        <v>23</v>
      </c>
      <c r="E43" s="29" t="s">
        <v>23</v>
      </c>
      <c r="F43" s="92" t="s">
        <v>34</v>
      </c>
      <c r="G43" s="92" t="s">
        <v>34</v>
      </c>
      <c r="H43" s="92" t="s">
        <v>34</v>
      </c>
      <c r="I43" s="6" t="s">
        <v>22</v>
      </c>
      <c r="J43" s="29" t="s">
        <v>23</v>
      </c>
      <c r="K43" s="29" t="s">
        <v>23</v>
      </c>
      <c r="L43" s="28" t="s">
        <v>24</v>
      </c>
      <c r="M43" s="28" t="s">
        <v>24</v>
      </c>
      <c r="N43" s="28" t="s">
        <v>24</v>
      </c>
      <c r="O43" s="28" t="s">
        <v>24</v>
      </c>
      <c r="P43" s="29" t="s">
        <v>23</v>
      </c>
      <c r="Q43" s="29" t="s">
        <v>23</v>
      </c>
      <c r="R43" s="6" t="s">
        <v>22</v>
      </c>
      <c r="S43" s="6" t="s">
        <v>22</v>
      </c>
      <c r="T43" s="6" t="s">
        <v>22</v>
      </c>
      <c r="U43" s="6" t="s">
        <v>22</v>
      </c>
      <c r="V43" s="29" t="s">
        <v>23</v>
      </c>
      <c r="W43" s="29" t="s">
        <v>23</v>
      </c>
      <c r="X43" s="28" t="s">
        <v>24</v>
      </c>
      <c r="Y43" s="28" t="s">
        <v>24</v>
      </c>
      <c r="Z43" s="28" t="s">
        <v>24</v>
      </c>
      <c r="AA43" s="28" t="s">
        <v>24</v>
      </c>
      <c r="AB43" s="29" t="s">
        <v>23</v>
      </c>
      <c r="AC43" s="29" t="s">
        <v>23</v>
      </c>
      <c r="AD43" s="6" t="s">
        <v>22</v>
      </c>
      <c r="AE43" s="6" t="s">
        <v>22</v>
      </c>
      <c r="AF43" s="837" t="s">
        <v>181</v>
      </c>
      <c r="AG43" s="9" t="s">
        <v>22</v>
      </c>
      <c r="AI43" s="220">
        <f>VLOOKUP(B43,'JUN25'!B:AJ,35,0)</f>
        <v>15</v>
      </c>
      <c r="AJ43" s="218">
        <f>COUNTIF(C43:AG43,"U")</f>
        <v>4</v>
      </c>
      <c r="AK43" s="221">
        <f t="shared" si="3"/>
        <v>11</v>
      </c>
      <c r="AM43" s="846"/>
    </row>
    <row r="44" spans="1:39" ht="18.75" customHeight="1">
      <c r="A44" s="602" t="s">
        <v>123</v>
      </c>
      <c r="B44" s="509" t="s">
        <v>124</v>
      </c>
      <c r="C44" s="29" t="s">
        <v>23</v>
      </c>
      <c r="D44" s="28" t="s">
        <v>24</v>
      </c>
      <c r="E44" s="28" t="s">
        <v>24</v>
      </c>
      <c r="F44" s="28" t="s">
        <v>24</v>
      </c>
      <c r="G44" s="28" t="s">
        <v>24</v>
      </c>
      <c r="H44" s="29" t="s">
        <v>23</v>
      </c>
      <c r="I44" s="29" t="s">
        <v>23</v>
      </c>
      <c r="J44" s="6" t="s">
        <v>22</v>
      </c>
      <c r="K44" s="6" t="s">
        <v>22</v>
      </c>
      <c r="L44" s="6" t="s">
        <v>22</v>
      </c>
      <c r="M44" s="6" t="s">
        <v>22</v>
      </c>
      <c r="N44" s="29" t="s">
        <v>23</v>
      </c>
      <c r="O44" s="29" t="s">
        <v>23</v>
      </c>
      <c r="P44" s="28" t="s">
        <v>24</v>
      </c>
      <c r="Q44" s="28" t="s">
        <v>24</v>
      </c>
      <c r="R44" s="28" t="s">
        <v>24</v>
      </c>
      <c r="S44" s="28" t="s">
        <v>24</v>
      </c>
      <c r="T44" s="29" t="s">
        <v>23</v>
      </c>
      <c r="U44" s="29" t="s">
        <v>23</v>
      </c>
      <c r="V44" s="6" t="s">
        <v>22</v>
      </c>
      <c r="W44" s="6" t="s">
        <v>22</v>
      </c>
      <c r="X44" s="6" t="s">
        <v>22</v>
      </c>
      <c r="Y44" s="6" t="s">
        <v>22</v>
      </c>
      <c r="Z44" s="29" t="s">
        <v>23</v>
      </c>
      <c r="AA44" s="29" t="s">
        <v>23</v>
      </c>
      <c r="AB44" s="28" t="s">
        <v>24</v>
      </c>
      <c r="AC44" s="28" t="s">
        <v>24</v>
      </c>
      <c r="AD44" s="28" t="s">
        <v>24</v>
      </c>
      <c r="AE44" s="28" t="s">
        <v>24</v>
      </c>
      <c r="AF44" s="29" t="s">
        <v>23</v>
      </c>
      <c r="AG44" s="78" t="s">
        <v>23</v>
      </c>
      <c r="AI44" s="227">
        <f>VLOOKUP(B44,'JUN25'!B:AJ,35,0)</f>
        <v>15</v>
      </c>
      <c r="AJ44" s="225">
        <f>COUNTIF(C44:AG44,"U")</f>
        <v>0</v>
      </c>
      <c r="AK44" s="230">
        <f t="shared" si="3"/>
        <v>15</v>
      </c>
      <c r="AM44" s="846"/>
    </row>
    <row r="45" spans="1:39" ht="18.75" customHeight="1" thickBot="1">
      <c r="A45" s="680" t="s">
        <v>94</v>
      </c>
      <c r="B45" s="508" t="s">
        <v>95</v>
      </c>
      <c r="C45" s="393" t="s">
        <v>103</v>
      </c>
      <c r="D45" s="399" t="s">
        <v>34</v>
      </c>
      <c r="E45" s="15" t="s">
        <v>22</v>
      </c>
      <c r="F45" s="83" t="s">
        <v>23</v>
      </c>
      <c r="G45" s="83" t="s">
        <v>23</v>
      </c>
      <c r="H45" s="76" t="s">
        <v>24</v>
      </c>
      <c r="I45" s="76" t="s">
        <v>24</v>
      </c>
      <c r="J45" s="76" t="s">
        <v>24</v>
      </c>
      <c r="K45" s="76" t="s">
        <v>24</v>
      </c>
      <c r="L45" s="83" t="s">
        <v>23</v>
      </c>
      <c r="M45" s="83" t="s">
        <v>23</v>
      </c>
      <c r="N45" s="15" t="s">
        <v>22</v>
      </c>
      <c r="O45" s="15" t="s">
        <v>22</v>
      </c>
      <c r="P45" s="15" t="s">
        <v>22</v>
      </c>
      <c r="Q45" s="15" t="s">
        <v>22</v>
      </c>
      <c r="R45" s="83" t="s">
        <v>23</v>
      </c>
      <c r="S45" s="83" t="s">
        <v>23</v>
      </c>
      <c r="T45" s="76" t="s">
        <v>24</v>
      </c>
      <c r="U45" s="76" t="s">
        <v>24</v>
      </c>
      <c r="V45" s="76" t="s">
        <v>24</v>
      </c>
      <c r="W45" s="76" t="s">
        <v>24</v>
      </c>
      <c r="X45" s="83" t="s">
        <v>23</v>
      </c>
      <c r="Y45" s="83" t="s">
        <v>23</v>
      </c>
      <c r="Z45" s="15" t="s">
        <v>22</v>
      </c>
      <c r="AA45" s="15" t="s">
        <v>22</v>
      </c>
      <c r="AB45" s="15" t="s">
        <v>22</v>
      </c>
      <c r="AC45" s="15" t="s">
        <v>22</v>
      </c>
      <c r="AD45" s="83" t="s">
        <v>23</v>
      </c>
      <c r="AE45" s="83" t="s">
        <v>23</v>
      </c>
      <c r="AF45" s="76" t="s">
        <v>24</v>
      </c>
      <c r="AG45" s="75" t="s">
        <v>24</v>
      </c>
      <c r="AI45" s="241">
        <f>VLOOKUP(B45,'JUN25'!B:AJ,35,0)</f>
        <v>20</v>
      </c>
      <c r="AJ45" s="283">
        <f>COUNTIF(C45:AG45,"U")</f>
        <v>1</v>
      </c>
      <c r="AK45" s="288">
        <f>AI45-AJ45</f>
        <v>19</v>
      </c>
      <c r="AM45" s="846"/>
    </row>
    <row r="46" spans="1:39" ht="18.75" customHeight="1">
      <c r="A46" s="602" t="s">
        <v>111</v>
      </c>
      <c r="B46" s="509" t="s">
        <v>112</v>
      </c>
      <c r="C46" s="29" t="s">
        <v>23</v>
      </c>
      <c r="D46" s="6" t="s">
        <v>22</v>
      </c>
      <c r="E46" s="6" t="s">
        <v>22</v>
      </c>
      <c r="F46" s="6" t="s">
        <v>22</v>
      </c>
      <c r="G46" s="6" t="s">
        <v>22</v>
      </c>
      <c r="H46" s="29" t="s">
        <v>23</v>
      </c>
      <c r="I46" s="29" t="s">
        <v>23</v>
      </c>
      <c r="J46" s="382" t="s">
        <v>147</v>
      </c>
      <c r="K46" s="382" t="s">
        <v>147</v>
      </c>
      <c r="L46" s="382" t="s">
        <v>147</v>
      </c>
      <c r="M46" s="382" t="s">
        <v>147</v>
      </c>
      <c r="N46" s="29" t="s">
        <v>23</v>
      </c>
      <c r="O46" s="29" t="s">
        <v>23</v>
      </c>
      <c r="P46" s="85" t="s">
        <v>63</v>
      </c>
      <c r="Q46" s="85" t="s">
        <v>63</v>
      </c>
      <c r="R46" s="85" t="s">
        <v>63</v>
      </c>
      <c r="S46" s="85" t="s">
        <v>63</v>
      </c>
      <c r="T46" s="85" t="s">
        <v>63</v>
      </c>
      <c r="U46" s="29" t="s">
        <v>23</v>
      </c>
      <c r="V46" s="29" t="s">
        <v>23</v>
      </c>
      <c r="W46" s="120" t="s">
        <v>184</v>
      </c>
      <c r="X46" s="120" t="s">
        <v>184</v>
      </c>
      <c r="Y46" s="120" t="s">
        <v>184</v>
      </c>
      <c r="Z46" s="120" t="s">
        <v>184</v>
      </c>
      <c r="AA46" s="120" t="s">
        <v>184</v>
      </c>
      <c r="AB46" s="29" t="s">
        <v>23</v>
      </c>
      <c r="AC46" s="29" t="s">
        <v>23</v>
      </c>
      <c r="AD46" s="120" t="s">
        <v>184</v>
      </c>
      <c r="AE46" s="120" t="s">
        <v>184</v>
      </c>
      <c r="AF46" s="120" t="s">
        <v>184</v>
      </c>
      <c r="AG46" s="381" t="s">
        <v>184</v>
      </c>
      <c r="AI46" s="220">
        <f>VLOOKUP(B46,'JUN25'!B:AJ,35,0)</f>
        <v>17</v>
      </c>
      <c r="AJ46" s="218">
        <f>COUNTIF(C46:AG46,"U")</f>
        <v>0</v>
      </c>
      <c r="AK46" s="221">
        <f>AI46-AJ46</f>
        <v>17</v>
      </c>
      <c r="AM46" s="846"/>
    </row>
    <row r="47" spans="1:39" ht="18.75" customHeight="1">
      <c r="A47" s="602" t="s">
        <v>133</v>
      </c>
      <c r="B47" s="509" t="s">
        <v>134</v>
      </c>
      <c r="C47" s="28" t="s">
        <v>24</v>
      </c>
      <c r="D47" s="28" t="s">
        <v>24</v>
      </c>
      <c r="E47" s="28" t="s">
        <v>24</v>
      </c>
      <c r="F47" s="28" t="s">
        <v>24</v>
      </c>
      <c r="G47" s="29" t="s">
        <v>23</v>
      </c>
      <c r="H47" s="29" t="s">
        <v>23</v>
      </c>
      <c r="I47" s="120" t="s">
        <v>184</v>
      </c>
      <c r="J47" s="120" t="s">
        <v>184</v>
      </c>
      <c r="K47" s="120" t="s">
        <v>184</v>
      </c>
      <c r="L47" s="120" t="s">
        <v>184</v>
      </c>
      <c r="M47" s="120" t="s">
        <v>184</v>
      </c>
      <c r="N47" s="29" t="s">
        <v>23</v>
      </c>
      <c r="O47" s="29" t="s">
        <v>23</v>
      </c>
      <c r="P47" s="120" t="s">
        <v>184</v>
      </c>
      <c r="Q47" s="120" t="s">
        <v>184</v>
      </c>
      <c r="R47" s="120" t="s">
        <v>184</v>
      </c>
      <c r="S47" s="120" t="s">
        <v>184</v>
      </c>
      <c r="T47" s="120" t="s">
        <v>184</v>
      </c>
      <c r="U47" s="29" t="s">
        <v>23</v>
      </c>
      <c r="V47" s="28" t="s">
        <v>24</v>
      </c>
      <c r="W47" s="158" t="s">
        <v>19</v>
      </c>
      <c r="X47" s="158" t="s">
        <v>19</v>
      </c>
      <c r="Y47" s="29" t="s">
        <v>23</v>
      </c>
      <c r="Z47" s="28" t="s">
        <v>24</v>
      </c>
      <c r="AA47" s="28" t="s">
        <v>24</v>
      </c>
      <c r="AB47" s="28" t="s">
        <v>24</v>
      </c>
      <c r="AC47" s="28" t="s">
        <v>24</v>
      </c>
      <c r="AD47" s="29" t="s">
        <v>23</v>
      </c>
      <c r="AE47" s="29" t="s">
        <v>23</v>
      </c>
      <c r="AF47" s="6" t="s">
        <v>22</v>
      </c>
      <c r="AG47" s="9" t="s">
        <v>22</v>
      </c>
      <c r="AI47" s="227">
        <f>VLOOKUP(B47,'JUN25'!B:AJ,35,0)</f>
        <v>16</v>
      </c>
      <c r="AJ47" s="225">
        <f t="shared" ref="AJ47:AJ64" si="4">COUNTIF(C47:AG47,"U")</f>
        <v>0</v>
      </c>
      <c r="AK47" s="230">
        <f t="shared" ref="AK47:AK64" si="5">AI47-AJ47</f>
        <v>16</v>
      </c>
      <c r="AM47" s="846"/>
    </row>
    <row r="48" spans="1:39" ht="18.75" customHeight="1">
      <c r="A48" s="602" t="s">
        <v>140</v>
      </c>
      <c r="B48" s="509" t="s">
        <v>141</v>
      </c>
      <c r="C48" s="6" t="s">
        <v>22</v>
      </c>
      <c r="D48" s="29" t="s">
        <v>23</v>
      </c>
      <c r="E48" s="28" t="s">
        <v>24</v>
      </c>
      <c r="F48" s="28" t="s">
        <v>24</v>
      </c>
      <c r="G48" s="29" t="s">
        <v>23</v>
      </c>
      <c r="H48" s="29" t="s">
        <v>23</v>
      </c>
      <c r="I48" s="120" t="s">
        <v>184</v>
      </c>
      <c r="J48" s="120" t="s">
        <v>184</v>
      </c>
      <c r="K48" s="120" t="s">
        <v>184</v>
      </c>
      <c r="L48" s="120" t="s">
        <v>184</v>
      </c>
      <c r="M48" s="120" t="s">
        <v>184</v>
      </c>
      <c r="N48" s="29" t="s">
        <v>23</v>
      </c>
      <c r="O48" s="29" t="s">
        <v>23</v>
      </c>
      <c r="P48" s="120" t="s">
        <v>184</v>
      </c>
      <c r="Q48" s="120" t="s">
        <v>184</v>
      </c>
      <c r="R48" s="120" t="s">
        <v>184</v>
      </c>
      <c r="S48" s="120" t="s">
        <v>184</v>
      </c>
      <c r="T48" s="120" t="s">
        <v>184</v>
      </c>
      <c r="U48" s="29" t="s">
        <v>23</v>
      </c>
      <c r="V48" s="29" t="s">
        <v>23</v>
      </c>
      <c r="W48" s="85" t="s">
        <v>63</v>
      </c>
      <c r="X48" s="85" t="s">
        <v>63</v>
      </c>
      <c r="Y48" s="85" t="s">
        <v>63</v>
      </c>
      <c r="Z48" s="92" t="s">
        <v>34</v>
      </c>
      <c r="AA48" s="92" t="s">
        <v>34</v>
      </c>
      <c r="AB48" s="29" t="s">
        <v>23</v>
      </c>
      <c r="AC48" s="29" t="s">
        <v>23</v>
      </c>
      <c r="AD48" s="92" t="s">
        <v>34</v>
      </c>
      <c r="AE48" s="92" t="s">
        <v>34</v>
      </c>
      <c r="AF48" s="92" t="s">
        <v>34</v>
      </c>
      <c r="AG48" s="93" t="s">
        <v>34</v>
      </c>
      <c r="AI48" s="227">
        <f>VLOOKUP(B48,'JUN25'!B:AJ,35,0)</f>
        <v>21</v>
      </c>
      <c r="AJ48" s="225">
        <f t="shared" si="4"/>
        <v>6</v>
      </c>
      <c r="AK48" s="230">
        <f t="shared" si="5"/>
        <v>15</v>
      </c>
      <c r="AM48" s="846"/>
    </row>
    <row r="49" spans="1:39" ht="18.75" customHeight="1">
      <c r="A49" s="602" t="s">
        <v>151</v>
      </c>
      <c r="B49" s="509" t="s">
        <v>152</v>
      </c>
      <c r="C49" s="29" t="s">
        <v>23</v>
      </c>
      <c r="D49" s="92" t="s">
        <v>34</v>
      </c>
      <c r="E49" s="92" t="s">
        <v>34</v>
      </c>
      <c r="F49" s="92" t="s">
        <v>34</v>
      </c>
      <c r="G49" s="92" t="s">
        <v>34</v>
      </c>
      <c r="H49" s="29" t="s">
        <v>23</v>
      </c>
      <c r="I49" s="29" t="s">
        <v>23</v>
      </c>
      <c r="J49" s="8" t="s">
        <v>83</v>
      </c>
      <c r="K49" s="8" t="s">
        <v>83</v>
      </c>
      <c r="L49" s="8" t="s">
        <v>83</v>
      </c>
      <c r="M49" s="8" t="s">
        <v>83</v>
      </c>
      <c r="N49" s="29" t="s">
        <v>23</v>
      </c>
      <c r="O49" s="29" t="s">
        <v>23</v>
      </c>
      <c r="P49" s="6" t="s">
        <v>22</v>
      </c>
      <c r="Q49" s="6" t="s">
        <v>22</v>
      </c>
      <c r="R49" s="6" t="s">
        <v>22</v>
      </c>
      <c r="S49" s="6" t="s">
        <v>22</v>
      </c>
      <c r="T49" s="6" t="s">
        <v>22</v>
      </c>
      <c r="U49" s="29" t="s">
        <v>23</v>
      </c>
      <c r="V49" s="29" t="s">
        <v>23</v>
      </c>
      <c r="W49" s="120" t="s">
        <v>184</v>
      </c>
      <c r="X49" s="120" t="s">
        <v>184</v>
      </c>
      <c r="Y49" s="120" t="s">
        <v>184</v>
      </c>
      <c r="Z49" s="120" t="s">
        <v>184</v>
      </c>
      <c r="AA49" s="120" t="s">
        <v>184</v>
      </c>
      <c r="AB49" s="29" t="s">
        <v>23</v>
      </c>
      <c r="AC49" s="29" t="s">
        <v>23</v>
      </c>
      <c r="AD49" s="120" t="s">
        <v>184</v>
      </c>
      <c r="AE49" s="120" t="s">
        <v>184</v>
      </c>
      <c r="AF49" s="120" t="s">
        <v>184</v>
      </c>
      <c r="AG49" s="381" t="s">
        <v>184</v>
      </c>
      <c r="AI49" s="227">
        <f>VLOOKUP(B49,'JUN25'!B:AJ,35,0)</f>
        <v>8</v>
      </c>
      <c r="AJ49" s="225">
        <f t="shared" si="4"/>
        <v>4</v>
      </c>
      <c r="AK49" s="230">
        <f t="shared" si="5"/>
        <v>4</v>
      </c>
      <c r="AM49" s="846"/>
    </row>
    <row r="50" spans="1:39" ht="18.75" customHeight="1">
      <c r="A50" s="602" t="s">
        <v>113</v>
      </c>
      <c r="B50" s="509" t="s">
        <v>114</v>
      </c>
      <c r="C50" s="28" t="s">
        <v>24</v>
      </c>
      <c r="D50" s="28" t="s">
        <v>24</v>
      </c>
      <c r="E50" s="28" t="s">
        <v>24</v>
      </c>
      <c r="F50" s="28" t="s">
        <v>24</v>
      </c>
      <c r="G50" s="29" t="s">
        <v>23</v>
      </c>
      <c r="H50" s="29" t="s">
        <v>23</v>
      </c>
      <c r="I50" s="120" t="s">
        <v>184</v>
      </c>
      <c r="J50" s="120" t="s">
        <v>184</v>
      </c>
      <c r="K50" s="120" t="s">
        <v>184</v>
      </c>
      <c r="L50" s="120" t="s">
        <v>184</v>
      </c>
      <c r="M50" s="120" t="s">
        <v>184</v>
      </c>
      <c r="N50" s="29" t="s">
        <v>23</v>
      </c>
      <c r="O50" s="29" t="s">
        <v>23</v>
      </c>
      <c r="P50" s="158" t="s">
        <v>19</v>
      </c>
      <c r="Q50" s="157" t="s">
        <v>19</v>
      </c>
      <c r="R50" s="157" t="s">
        <v>19</v>
      </c>
      <c r="S50" s="120" t="s">
        <v>184</v>
      </c>
      <c r="T50" s="120" t="s">
        <v>184</v>
      </c>
      <c r="U50" s="29" t="s">
        <v>23</v>
      </c>
      <c r="V50" s="6" t="s">
        <v>22</v>
      </c>
      <c r="W50" s="6" t="s">
        <v>22</v>
      </c>
      <c r="X50" s="6" t="s">
        <v>22</v>
      </c>
      <c r="Y50" s="29" t="s">
        <v>23</v>
      </c>
      <c r="Z50" s="382" t="s">
        <v>147</v>
      </c>
      <c r="AA50" s="382" t="s">
        <v>147</v>
      </c>
      <c r="AB50" s="992" t="s">
        <v>19</v>
      </c>
      <c r="AC50" s="992" t="s">
        <v>19</v>
      </c>
      <c r="AD50" s="29" t="s">
        <v>23</v>
      </c>
      <c r="AE50" s="29" t="s">
        <v>23</v>
      </c>
      <c r="AF50" s="85" t="s">
        <v>63</v>
      </c>
      <c r="AG50" s="86" t="s">
        <v>63</v>
      </c>
      <c r="AI50" s="227">
        <f>VLOOKUP(B50,'JUN25'!B:AJ,35,0)</f>
        <v>3</v>
      </c>
      <c r="AJ50" s="225">
        <f t="shared" si="4"/>
        <v>0</v>
      </c>
      <c r="AK50" s="230">
        <f t="shared" si="5"/>
        <v>3</v>
      </c>
      <c r="AM50" s="846"/>
    </row>
    <row r="51" spans="1:39" ht="18.75" customHeight="1">
      <c r="A51" s="602" t="s">
        <v>117</v>
      </c>
      <c r="B51" s="509" t="s">
        <v>118</v>
      </c>
      <c r="C51" s="29" t="s">
        <v>23</v>
      </c>
      <c r="D51" s="85" t="s">
        <v>63</v>
      </c>
      <c r="E51" s="85" t="s">
        <v>63</v>
      </c>
      <c r="F51" s="85" t="s">
        <v>63</v>
      </c>
      <c r="G51" s="92" t="s">
        <v>34</v>
      </c>
      <c r="H51" s="29" t="s">
        <v>23</v>
      </c>
      <c r="I51" s="29" t="s">
        <v>23</v>
      </c>
      <c r="J51" s="92" t="s">
        <v>34</v>
      </c>
      <c r="K51" s="92" t="s">
        <v>34</v>
      </c>
      <c r="L51" s="92" t="s">
        <v>34</v>
      </c>
      <c r="M51" s="92" t="s">
        <v>34</v>
      </c>
      <c r="N51" s="29" t="s">
        <v>23</v>
      </c>
      <c r="O51" s="29" t="s">
        <v>23</v>
      </c>
      <c r="P51" s="92" t="s">
        <v>34</v>
      </c>
      <c r="Q51" s="92" t="s">
        <v>34</v>
      </c>
      <c r="R51" s="92" t="s">
        <v>34</v>
      </c>
      <c r="S51" s="92" t="s">
        <v>34</v>
      </c>
      <c r="T51" s="92" t="s">
        <v>34</v>
      </c>
      <c r="U51" s="29" t="s">
        <v>23</v>
      </c>
      <c r="V51" s="29" t="s">
        <v>23</v>
      </c>
      <c r="W51" s="120" t="s">
        <v>184</v>
      </c>
      <c r="X51" s="120" t="s">
        <v>184</v>
      </c>
      <c r="Y51" s="120" t="s">
        <v>184</v>
      </c>
      <c r="Z51" s="120" t="s">
        <v>184</v>
      </c>
      <c r="AA51" s="120" t="s">
        <v>184</v>
      </c>
      <c r="AB51" s="29" t="s">
        <v>23</v>
      </c>
      <c r="AC51" s="29" t="s">
        <v>23</v>
      </c>
      <c r="AD51" s="120" t="s">
        <v>184</v>
      </c>
      <c r="AE51" s="120" t="s">
        <v>184</v>
      </c>
      <c r="AF51" s="120" t="s">
        <v>184</v>
      </c>
      <c r="AG51" s="381" t="s">
        <v>184</v>
      </c>
      <c r="AI51" s="227">
        <f>VLOOKUP(B51,'JUN25'!B:AJ,35,0)</f>
        <v>10</v>
      </c>
      <c r="AJ51" s="225">
        <f t="shared" si="4"/>
        <v>10</v>
      </c>
      <c r="AK51" s="230">
        <f t="shared" si="5"/>
        <v>0</v>
      </c>
      <c r="AM51" s="846"/>
    </row>
    <row r="52" spans="1:39" ht="18.75" customHeight="1" thickBot="1">
      <c r="A52" s="680" t="s">
        <v>119</v>
      </c>
      <c r="B52" s="508" t="s">
        <v>120</v>
      </c>
      <c r="C52" s="393" t="s">
        <v>147</v>
      </c>
      <c r="D52" s="393" t="s">
        <v>147</v>
      </c>
      <c r="E52" s="393" t="s">
        <v>147</v>
      </c>
      <c r="F52" s="83" t="s">
        <v>23</v>
      </c>
      <c r="G52" s="83" t="s">
        <v>23</v>
      </c>
      <c r="H52" s="399" t="s">
        <v>34</v>
      </c>
      <c r="I52" s="383" t="s">
        <v>63</v>
      </c>
      <c r="J52" s="383" t="s">
        <v>63</v>
      </c>
      <c r="K52" s="383" t="s">
        <v>63</v>
      </c>
      <c r="L52" s="83" t="s">
        <v>23</v>
      </c>
      <c r="M52" s="83" t="s">
        <v>23</v>
      </c>
      <c r="N52" s="76" t="s">
        <v>24</v>
      </c>
      <c r="O52" s="76" t="s">
        <v>24</v>
      </c>
      <c r="P52" s="76" t="s">
        <v>24</v>
      </c>
      <c r="Q52" s="76" t="s">
        <v>24</v>
      </c>
      <c r="R52" s="83" t="s">
        <v>23</v>
      </c>
      <c r="S52" s="83" t="s">
        <v>23</v>
      </c>
      <c r="T52" s="15" t="s">
        <v>22</v>
      </c>
      <c r="U52" s="15" t="s">
        <v>22</v>
      </c>
      <c r="V52" s="15" t="s">
        <v>22</v>
      </c>
      <c r="W52" s="15" t="s">
        <v>22</v>
      </c>
      <c r="X52" s="83" t="s">
        <v>23</v>
      </c>
      <c r="Y52" s="83" t="s">
        <v>23</v>
      </c>
      <c r="Z52" s="76" t="s">
        <v>24</v>
      </c>
      <c r="AA52" s="76" t="s">
        <v>24</v>
      </c>
      <c r="AB52" s="76" t="s">
        <v>24</v>
      </c>
      <c r="AC52" s="76" t="s">
        <v>24</v>
      </c>
      <c r="AD52" s="83" t="s">
        <v>23</v>
      </c>
      <c r="AE52" s="83" t="s">
        <v>23</v>
      </c>
      <c r="AF52" s="845" t="s">
        <v>194</v>
      </c>
      <c r="AG52" s="39" t="s">
        <v>22</v>
      </c>
      <c r="AI52" s="241">
        <f>VLOOKUP(B52,'JUN25'!B:AJ,35,0)</f>
        <v>19</v>
      </c>
      <c r="AJ52" s="283">
        <f t="shared" si="4"/>
        <v>1</v>
      </c>
      <c r="AK52" s="288">
        <f t="shared" si="5"/>
        <v>18</v>
      </c>
      <c r="AM52" s="846"/>
    </row>
    <row r="53" spans="1:39" ht="9.9499999999999993" customHeight="1" thickBot="1">
      <c r="A53" s="848"/>
      <c r="B53" s="849"/>
      <c r="C53" s="853"/>
      <c r="D53" s="853"/>
      <c r="E53" s="853"/>
      <c r="F53" s="850"/>
      <c r="G53" s="850"/>
      <c r="H53" s="854"/>
      <c r="I53" s="855"/>
      <c r="J53" s="855"/>
      <c r="K53" s="855"/>
      <c r="L53" s="850"/>
      <c r="M53" s="850"/>
      <c r="N53" s="850"/>
      <c r="O53" s="850"/>
      <c r="P53" s="850"/>
      <c r="Q53" s="850"/>
      <c r="R53" s="850"/>
      <c r="S53" s="850"/>
      <c r="T53" s="850"/>
      <c r="U53" s="850"/>
      <c r="V53" s="850"/>
      <c r="W53" s="850"/>
      <c r="X53" s="850"/>
      <c r="Y53" s="850"/>
      <c r="Z53" s="850"/>
      <c r="AA53" s="850"/>
      <c r="AB53" s="850"/>
      <c r="AC53" s="850"/>
      <c r="AD53" s="850"/>
      <c r="AE53" s="850"/>
      <c r="AF53" s="856"/>
      <c r="AG53" s="850"/>
      <c r="AI53" s="247"/>
      <c r="AJ53" s="247"/>
      <c r="AK53" s="247"/>
      <c r="AM53" s="846"/>
    </row>
    <row r="54" spans="1:39" ht="17.100000000000001" customHeight="1">
      <c r="A54" s="801" t="s">
        <v>22</v>
      </c>
      <c r="B54" s="801"/>
      <c r="C54" s="817">
        <f t="shared" ref="C54" si="6">COUNTIF(C5:C52,$A$54)</f>
        <v>8</v>
      </c>
      <c r="D54" s="218">
        <f t="shared" ref="D54" si="7">COUNTIF(D5:D52,$A$54)</f>
        <v>8</v>
      </c>
      <c r="E54" s="218">
        <f t="shared" ref="E54:AG54" si="8">COUNTIF(E5:E52,$A$54)</f>
        <v>10</v>
      </c>
      <c r="F54" s="218">
        <f t="shared" si="8"/>
        <v>9</v>
      </c>
      <c r="G54" s="218">
        <f t="shared" si="8"/>
        <v>8</v>
      </c>
      <c r="H54" s="218">
        <f t="shared" si="8"/>
        <v>7</v>
      </c>
      <c r="I54" s="218">
        <f t="shared" si="8"/>
        <v>8</v>
      </c>
      <c r="J54" s="218">
        <f t="shared" si="8"/>
        <v>8</v>
      </c>
      <c r="K54" s="218">
        <f t="shared" si="8"/>
        <v>7</v>
      </c>
      <c r="L54" s="218">
        <f t="shared" si="8"/>
        <v>7</v>
      </c>
      <c r="M54" s="218">
        <f t="shared" si="8"/>
        <v>8</v>
      </c>
      <c r="N54" s="218">
        <f t="shared" si="8"/>
        <v>7</v>
      </c>
      <c r="O54" s="218">
        <f t="shared" si="8"/>
        <v>7</v>
      </c>
      <c r="P54" s="218">
        <f t="shared" si="8"/>
        <v>8</v>
      </c>
      <c r="Q54" s="218">
        <f t="shared" si="8"/>
        <v>8</v>
      </c>
      <c r="R54" s="218">
        <f t="shared" si="8"/>
        <v>8</v>
      </c>
      <c r="S54" s="218">
        <f t="shared" si="8"/>
        <v>9</v>
      </c>
      <c r="T54" s="218">
        <f t="shared" si="8"/>
        <v>10</v>
      </c>
      <c r="U54" s="218">
        <f t="shared" si="8"/>
        <v>6</v>
      </c>
      <c r="V54" s="218">
        <f t="shared" si="8"/>
        <v>8</v>
      </c>
      <c r="W54" s="218">
        <f t="shared" si="8"/>
        <v>8</v>
      </c>
      <c r="X54" s="218">
        <f t="shared" si="8"/>
        <v>7</v>
      </c>
      <c r="Y54" s="218">
        <f t="shared" si="8"/>
        <v>6</v>
      </c>
      <c r="Z54" s="218">
        <f t="shared" si="8"/>
        <v>6</v>
      </c>
      <c r="AA54" s="218">
        <f t="shared" si="8"/>
        <v>5</v>
      </c>
      <c r="AB54" s="218">
        <f t="shared" si="8"/>
        <v>6</v>
      </c>
      <c r="AC54" s="218">
        <f t="shared" si="8"/>
        <v>7</v>
      </c>
      <c r="AD54" s="218">
        <f t="shared" si="8"/>
        <v>7</v>
      </c>
      <c r="AE54" s="218">
        <f t="shared" si="8"/>
        <v>7</v>
      </c>
      <c r="AF54" s="218">
        <f t="shared" si="8"/>
        <v>8</v>
      </c>
      <c r="AG54" s="221">
        <f t="shared" si="8"/>
        <v>9</v>
      </c>
      <c r="AI54" s="247"/>
      <c r="AJ54" s="247"/>
      <c r="AK54" s="247"/>
      <c r="AM54" s="846"/>
    </row>
    <row r="55" spans="1:39" ht="17.100000000000001" customHeight="1">
      <c r="A55" s="802" t="s">
        <v>147</v>
      </c>
      <c r="B55" s="802"/>
      <c r="C55" s="358">
        <f>COUNTIF(C5:C52,$A$55)</f>
        <v>1</v>
      </c>
      <c r="D55" s="225">
        <f>COUNTIF(D5:D52,$A$55)</f>
        <v>1</v>
      </c>
      <c r="E55" s="225">
        <f t="shared" ref="E55:AG55" si="9">COUNTIF(E5:E52,$A$55)</f>
        <v>1</v>
      </c>
      <c r="F55" s="225">
        <f t="shared" si="9"/>
        <v>0</v>
      </c>
      <c r="G55" s="225">
        <f t="shared" si="9"/>
        <v>0</v>
      </c>
      <c r="H55" s="225">
        <f t="shared" si="9"/>
        <v>0</v>
      </c>
      <c r="I55" s="225">
        <f t="shared" si="9"/>
        <v>0</v>
      </c>
      <c r="J55" s="225">
        <f t="shared" si="9"/>
        <v>1</v>
      </c>
      <c r="K55" s="225">
        <f t="shared" si="9"/>
        <v>1</v>
      </c>
      <c r="L55" s="225">
        <f t="shared" si="9"/>
        <v>1</v>
      </c>
      <c r="M55" s="225">
        <f t="shared" si="9"/>
        <v>1</v>
      </c>
      <c r="N55" s="225">
        <f t="shared" si="9"/>
        <v>0</v>
      </c>
      <c r="O55" s="225">
        <f t="shared" si="9"/>
        <v>0</v>
      </c>
      <c r="P55" s="225">
        <f t="shared" si="9"/>
        <v>0</v>
      </c>
      <c r="Q55" s="225">
        <f t="shared" si="9"/>
        <v>0</v>
      </c>
      <c r="R55" s="225">
        <f t="shared" si="9"/>
        <v>0</v>
      </c>
      <c r="S55" s="225">
        <f t="shared" si="9"/>
        <v>0</v>
      </c>
      <c r="T55" s="225">
        <f t="shared" si="9"/>
        <v>0</v>
      </c>
      <c r="U55" s="225">
        <f t="shared" si="9"/>
        <v>0</v>
      </c>
      <c r="V55" s="225">
        <f t="shared" si="9"/>
        <v>0</v>
      </c>
      <c r="W55" s="225">
        <f t="shared" si="9"/>
        <v>0</v>
      </c>
      <c r="X55" s="225">
        <f t="shared" si="9"/>
        <v>0</v>
      </c>
      <c r="Y55" s="225">
        <f t="shared" si="9"/>
        <v>0</v>
      </c>
      <c r="Z55" s="225">
        <f t="shared" si="9"/>
        <v>1</v>
      </c>
      <c r="AA55" s="225">
        <f t="shared" si="9"/>
        <v>2</v>
      </c>
      <c r="AB55" s="225">
        <f t="shared" si="9"/>
        <v>0</v>
      </c>
      <c r="AC55" s="225">
        <f t="shared" si="9"/>
        <v>0</v>
      </c>
      <c r="AD55" s="225">
        <f t="shared" si="9"/>
        <v>0</v>
      </c>
      <c r="AE55" s="225">
        <f t="shared" si="9"/>
        <v>0</v>
      </c>
      <c r="AF55" s="225">
        <f t="shared" si="9"/>
        <v>0</v>
      </c>
      <c r="AG55" s="230">
        <f t="shared" si="9"/>
        <v>0</v>
      </c>
      <c r="AI55" s="247"/>
      <c r="AJ55" s="247"/>
      <c r="AK55" s="247"/>
      <c r="AM55" s="846"/>
    </row>
    <row r="56" spans="1:39" ht="17.100000000000001" customHeight="1">
      <c r="A56" s="725" t="s">
        <v>24</v>
      </c>
      <c r="B56" s="725"/>
      <c r="C56" s="358">
        <f t="shared" ref="C56" si="10">COUNTIF(C5:C52,"P14")+COUNTIF(C5:C52,"P14EW")</f>
        <v>9</v>
      </c>
      <c r="D56" s="225">
        <f t="shared" ref="D56" si="11">COUNTIF(D5:D52,"P14")+COUNTIF(D5:D52,"P14EW")</f>
        <v>9</v>
      </c>
      <c r="E56" s="225">
        <f t="shared" ref="E56:AG56" si="12">COUNTIF(E5:E52,"P14")+COUNTIF(E5:E52,"P14EW")</f>
        <v>11</v>
      </c>
      <c r="F56" s="225">
        <f t="shared" si="12"/>
        <v>10</v>
      </c>
      <c r="G56" s="225">
        <f t="shared" si="12"/>
        <v>6</v>
      </c>
      <c r="H56" s="225">
        <f t="shared" si="12"/>
        <v>6</v>
      </c>
      <c r="I56" s="225">
        <f t="shared" si="12"/>
        <v>5</v>
      </c>
      <c r="J56" s="225">
        <f t="shared" si="12"/>
        <v>5</v>
      </c>
      <c r="K56" s="225">
        <f t="shared" si="12"/>
        <v>9</v>
      </c>
      <c r="L56" s="225">
        <f t="shared" si="12"/>
        <v>9</v>
      </c>
      <c r="M56" s="225">
        <f t="shared" si="12"/>
        <v>7</v>
      </c>
      <c r="N56" s="225">
        <f t="shared" si="12"/>
        <v>8</v>
      </c>
      <c r="O56" s="225">
        <f t="shared" si="12"/>
        <v>7</v>
      </c>
      <c r="P56" s="225">
        <f t="shared" si="12"/>
        <v>7</v>
      </c>
      <c r="Q56" s="225">
        <f t="shared" si="12"/>
        <v>9</v>
      </c>
      <c r="R56" s="225">
        <f t="shared" si="12"/>
        <v>8</v>
      </c>
      <c r="S56" s="225">
        <f t="shared" si="12"/>
        <v>7</v>
      </c>
      <c r="T56" s="225">
        <f t="shared" si="12"/>
        <v>7</v>
      </c>
      <c r="U56" s="225">
        <f t="shared" si="12"/>
        <v>5</v>
      </c>
      <c r="V56" s="225">
        <f t="shared" si="12"/>
        <v>6</v>
      </c>
      <c r="W56" s="225">
        <f t="shared" si="12"/>
        <v>7</v>
      </c>
      <c r="X56" s="225">
        <f t="shared" si="12"/>
        <v>6</v>
      </c>
      <c r="Y56" s="225">
        <f t="shared" si="12"/>
        <v>8</v>
      </c>
      <c r="Z56" s="225">
        <f t="shared" si="12"/>
        <v>8</v>
      </c>
      <c r="AA56" s="225">
        <f t="shared" si="12"/>
        <v>9</v>
      </c>
      <c r="AB56" s="225">
        <f t="shared" si="12"/>
        <v>9</v>
      </c>
      <c r="AC56" s="225">
        <f t="shared" si="12"/>
        <v>9</v>
      </c>
      <c r="AD56" s="225">
        <f t="shared" si="12"/>
        <v>7</v>
      </c>
      <c r="AE56" s="225">
        <f t="shared" si="12"/>
        <v>7</v>
      </c>
      <c r="AF56" s="225">
        <f t="shared" si="12"/>
        <v>8</v>
      </c>
      <c r="AG56" s="230">
        <f t="shared" si="12"/>
        <v>7</v>
      </c>
      <c r="AI56" s="247"/>
      <c r="AJ56" s="247"/>
      <c r="AK56" s="247"/>
      <c r="AM56" s="846"/>
    </row>
    <row r="57" spans="1:39" ht="17.100000000000001" customHeight="1" thickBot="1">
      <c r="A57" s="727" t="s">
        <v>63</v>
      </c>
      <c r="B57" s="727"/>
      <c r="C57" s="293">
        <f>COUNTIF(C5:C52,$A$57)</f>
        <v>1</v>
      </c>
      <c r="D57" s="283">
        <f>COUNTIF(D5:D52,$A$57)</f>
        <v>2</v>
      </c>
      <c r="E57" s="283">
        <f t="shared" ref="E57:AG57" si="13">COUNTIF(E5:E52,$A$57)</f>
        <v>2</v>
      </c>
      <c r="F57" s="283">
        <f t="shared" si="13"/>
        <v>2</v>
      </c>
      <c r="G57" s="283">
        <f t="shared" si="13"/>
        <v>2</v>
      </c>
      <c r="H57" s="283">
        <f t="shared" si="13"/>
        <v>2</v>
      </c>
      <c r="I57" s="283">
        <f t="shared" si="13"/>
        <v>3</v>
      </c>
      <c r="J57" s="283">
        <f t="shared" si="13"/>
        <v>3</v>
      </c>
      <c r="K57" s="283">
        <f t="shared" si="13"/>
        <v>3</v>
      </c>
      <c r="L57" s="283">
        <f t="shared" si="13"/>
        <v>2</v>
      </c>
      <c r="M57" s="283">
        <f t="shared" si="13"/>
        <v>2</v>
      </c>
      <c r="N57" s="283">
        <f t="shared" si="13"/>
        <v>2</v>
      </c>
      <c r="O57" s="283">
        <f t="shared" si="13"/>
        <v>2</v>
      </c>
      <c r="P57" s="283">
        <f t="shared" si="13"/>
        <v>3</v>
      </c>
      <c r="Q57" s="283">
        <f t="shared" si="13"/>
        <v>3</v>
      </c>
      <c r="R57" s="283">
        <f t="shared" si="13"/>
        <v>3</v>
      </c>
      <c r="S57" s="283">
        <f t="shared" si="13"/>
        <v>4</v>
      </c>
      <c r="T57" s="283">
        <f t="shared" si="13"/>
        <v>3</v>
      </c>
      <c r="U57" s="283">
        <f t="shared" si="13"/>
        <v>2</v>
      </c>
      <c r="V57" s="283">
        <f t="shared" si="13"/>
        <v>2</v>
      </c>
      <c r="W57" s="283">
        <f t="shared" si="13"/>
        <v>3</v>
      </c>
      <c r="X57" s="283">
        <f t="shared" si="13"/>
        <v>3</v>
      </c>
      <c r="Y57" s="283">
        <f t="shared" si="13"/>
        <v>3</v>
      </c>
      <c r="Z57" s="283">
        <f t="shared" si="13"/>
        <v>2</v>
      </c>
      <c r="AA57" s="283">
        <f t="shared" si="13"/>
        <v>2</v>
      </c>
      <c r="AB57" s="283">
        <f t="shared" si="13"/>
        <v>1</v>
      </c>
      <c r="AC57" s="283">
        <f t="shared" si="13"/>
        <v>1</v>
      </c>
      <c r="AD57" s="283">
        <f t="shared" si="13"/>
        <v>1</v>
      </c>
      <c r="AE57" s="283">
        <f t="shared" si="13"/>
        <v>1</v>
      </c>
      <c r="AF57" s="283">
        <f t="shared" si="13"/>
        <v>2</v>
      </c>
      <c r="AG57" s="288">
        <f t="shared" si="13"/>
        <v>2</v>
      </c>
      <c r="AI57" s="247"/>
      <c r="AJ57" s="247"/>
      <c r="AK57" s="247"/>
      <c r="AM57" s="846"/>
    </row>
    <row r="58" spans="1:39" ht="20.100000000000001" customHeight="1" thickBot="1">
      <c r="A58" s="848"/>
      <c r="B58" s="849"/>
      <c r="C58" s="850"/>
      <c r="D58" s="850"/>
      <c r="E58" s="850"/>
      <c r="F58" s="850"/>
      <c r="G58" s="850"/>
      <c r="H58" s="850"/>
      <c r="I58" s="851"/>
      <c r="J58" s="851"/>
      <c r="K58" s="851"/>
      <c r="L58" s="851"/>
      <c r="M58" s="850"/>
      <c r="N58" s="850"/>
      <c r="O58" s="851"/>
      <c r="P58" s="851"/>
      <c r="Q58" s="851"/>
      <c r="R58" s="851"/>
      <c r="S58" s="850"/>
      <c r="T58" s="850"/>
      <c r="U58" s="851"/>
      <c r="V58" s="851"/>
      <c r="W58" s="851"/>
      <c r="X58" s="851"/>
      <c r="Y58" s="850"/>
      <c r="Z58" s="850"/>
      <c r="AA58" s="850"/>
      <c r="AB58" s="850"/>
      <c r="AC58" s="850"/>
      <c r="AD58" s="850"/>
      <c r="AE58" s="850"/>
      <c r="AF58" s="850"/>
      <c r="AG58" s="851"/>
      <c r="AI58" s="247"/>
      <c r="AJ58" s="247"/>
      <c r="AK58" s="247"/>
      <c r="AM58" s="846"/>
    </row>
    <row r="59" spans="1:39" ht="24.95" customHeight="1" thickBot="1">
      <c r="A59" s="581" t="s">
        <v>126</v>
      </c>
      <c r="B59" s="514"/>
      <c r="C59" s="514"/>
      <c r="D59" s="514"/>
      <c r="E59" s="514"/>
      <c r="F59" s="514"/>
      <c r="G59" s="514"/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4"/>
      <c r="AB59" s="514"/>
      <c r="AC59" s="514"/>
      <c r="AD59" s="650"/>
      <c r="AE59" s="650"/>
      <c r="AF59" s="761"/>
      <c r="AG59" s="640"/>
      <c r="AI59" s="852"/>
      <c r="AJ59" s="247"/>
      <c r="AK59" s="247"/>
      <c r="AM59" s="846"/>
    </row>
    <row r="60" spans="1:39" ht="18.75" customHeight="1">
      <c r="A60" s="602" t="s">
        <v>127</v>
      </c>
      <c r="B60" s="509" t="s">
        <v>128</v>
      </c>
      <c r="C60" s="284" t="s">
        <v>83</v>
      </c>
      <c r="D60" s="284" t="s">
        <v>83</v>
      </c>
      <c r="E60" s="284" t="s">
        <v>83</v>
      </c>
      <c r="F60" s="269" t="s">
        <v>23</v>
      </c>
      <c r="G60" s="269" t="s">
        <v>23</v>
      </c>
      <c r="H60" s="276" t="s">
        <v>125</v>
      </c>
      <c r="I60" s="276" t="s">
        <v>125</v>
      </c>
      <c r="J60" s="276" t="s">
        <v>125</v>
      </c>
      <c r="K60" s="276" t="s">
        <v>125</v>
      </c>
      <c r="L60" s="269" t="s">
        <v>23</v>
      </c>
      <c r="M60" s="269" t="s">
        <v>23</v>
      </c>
      <c r="N60" s="284" t="s">
        <v>83</v>
      </c>
      <c r="O60" s="284" t="s">
        <v>83</v>
      </c>
      <c r="P60" s="284" t="s">
        <v>83</v>
      </c>
      <c r="Q60" s="284" t="s">
        <v>83</v>
      </c>
      <c r="R60" s="269" t="s">
        <v>23</v>
      </c>
      <c r="S60" s="269" t="s">
        <v>23</v>
      </c>
      <c r="T60" s="276" t="s">
        <v>125</v>
      </c>
      <c r="U60" s="276" t="s">
        <v>125</v>
      </c>
      <c r="V60" s="276" t="s">
        <v>125</v>
      </c>
      <c r="W60" s="276" t="s">
        <v>125</v>
      </c>
      <c r="X60" s="269" t="s">
        <v>23</v>
      </c>
      <c r="Y60" s="269" t="s">
        <v>23</v>
      </c>
      <c r="Z60" s="284" t="s">
        <v>83</v>
      </c>
      <c r="AA60" s="284" t="s">
        <v>83</v>
      </c>
      <c r="AB60" s="284" t="s">
        <v>83</v>
      </c>
      <c r="AC60" s="284" t="s">
        <v>83</v>
      </c>
      <c r="AD60" s="269" t="s">
        <v>23</v>
      </c>
      <c r="AE60" s="269" t="s">
        <v>23</v>
      </c>
      <c r="AF60" s="276" t="s">
        <v>125</v>
      </c>
      <c r="AG60" s="277" t="s">
        <v>125</v>
      </c>
      <c r="AI60" s="220">
        <f>VLOOKUP(B60,'JUN25'!B:AJ,35,0)</f>
        <v>13</v>
      </c>
      <c r="AJ60" s="218">
        <f t="shared" si="4"/>
        <v>0</v>
      </c>
      <c r="AK60" s="221">
        <f t="shared" si="5"/>
        <v>13</v>
      </c>
      <c r="AM60" s="846"/>
    </row>
    <row r="61" spans="1:39" ht="19.5" customHeight="1">
      <c r="A61" s="602" t="s">
        <v>129</v>
      </c>
      <c r="B61" s="509" t="s">
        <v>130</v>
      </c>
      <c r="C61" s="269" t="s">
        <v>23</v>
      </c>
      <c r="D61" s="276" t="s">
        <v>125</v>
      </c>
      <c r="E61" s="276" t="s">
        <v>125</v>
      </c>
      <c r="F61" s="276" t="s">
        <v>125</v>
      </c>
      <c r="G61" s="276" t="s">
        <v>125</v>
      </c>
      <c r="H61" s="269" t="s">
        <v>23</v>
      </c>
      <c r="I61" s="269" t="s">
        <v>23</v>
      </c>
      <c r="J61" s="278" t="s">
        <v>34</v>
      </c>
      <c r="K61" s="278" t="s">
        <v>34</v>
      </c>
      <c r="L61" s="87" t="s">
        <v>53</v>
      </c>
      <c r="M61" s="278" t="s">
        <v>34</v>
      </c>
      <c r="N61" s="269" t="s">
        <v>23</v>
      </c>
      <c r="O61" s="269" t="s">
        <v>23</v>
      </c>
      <c r="P61" s="276" t="s">
        <v>125</v>
      </c>
      <c r="Q61" s="276" t="s">
        <v>125</v>
      </c>
      <c r="R61" s="276" t="s">
        <v>125</v>
      </c>
      <c r="S61" s="276" t="s">
        <v>125</v>
      </c>
      <c r="T61" s="269" t="s">
        <v>23</v>
      </c>
      <c r="U61" s="269" t="s">
        <v>23</v>
      </c>
      <c r="V61" s="284" t="s">
        <v>83</v>
      </c>
      <c r="W61" s="284" t="s">
        <v>83</v>
      </c>
      <c r="X61" s="284" t="s">
        <v>83</v>
      </c>
      <c r="Y61" s="284" t="s">
        <v>83</v>
      </c>
      <c r="Z61" s="269" t="s">
        <v>23</v>
      </c>
      <c r="AA61" s="269" t="s">
        <v>23</v>
      </c>
      <c r="AB61" s="276" t="s">
        <v>125</v>
      </c>
      <c r="AC61" s="276" t="s">
        <v>125</v>
      </c>
      <c r="AD61" s="276" t="s">
        <v>125</v>
      </c>
      <c r="AE61" s="276" t="s">
        <v>125</v>
      </c>
      <c r="AF61" s="269" t="s">
        <v>23</v>
      </c>
      <c r="AG61" s="271" t="s">
        <v>23</v>
      </c>
      <c r="AI61" s="227">
        <f>VLOOKUP(B61,'JUN25'!B:AJ,35,0)</f>
        <v>12</v>
      </c>
      <c r="AJ61" s="225">
        <f t="shared" si="4"/>
        <v>3</v>
      </c>
      <c r="AK61" s="230">
        <f t="shared" si="5"/>
        <v>9</v>
      </c>
      <c r="AM61" s="846"/>
    </row>
    <row r="62" spans="1:39" ht="19.5" customHeight="1">
      <c r="A62" s="602" t="s">
        <v>187</v>
      </c>
      <c r="B62" s="509" t="s">
        <v>188</v>
      </c>
      <c r="C62" s="276" t="s">
        <v>103</v>
      </c>
      <c r="D62" s="269" t="s">
        <v>23</v>
      </c>
      <c r="E62" s="269" t="s">
        <v>23</v>
      </c>
      <c r="F62" s="284" t="s">
        <v>83</v>
      </c>
      <c r="G62" s="284" t="s">
        <v>83</v>
      </c>
      <c r="H62" s="284" t="s">
        <v>83</v>
      </c>
      <c r="I62" s="284" t="s">
        <v>83</v>
      </c>
      <c r="J62" s="269" t="s">
        <v>23</v>
      </c>
      <c r="K62" s="269" t="s">
        <v>23</v>
      </c>
      <c r="L62" s="276" t="s">
        <v>103</v>
      </c>
      <c r="M62" s="276" t="s">
        <v>103</v>
      </c>
      <c r="N62" s="276" t="s">
        <v>103</v>
      </c>
      <c r="O62" s="276" t="s">
        <v>103</v>
      </c>
      <c r="P62" s="269" t="s">
        <v>23</v>
      </c>
      <c r="Q62" s="269" t="s">
        <v>23</v>
      </c>
      <c r="R62" s="284" t="s">
        <v>83</v>
      </c>
      <c r="S62" s="284" t="s">
        <v>83</v>
      </c>
      <c r="T62" s="284" t="s">
        <v>83</v>
      </c>
      <c r="U62" s="284" t="s">
        <v>83</v>
      </c>
      <c r="V62" s="269" t="s">
        <v>23</v>
      </c>
      <c r="W62" s="269" t="s">
        <v>23</v>
      </c>
      <c r="X62" s="276" t="s">
        <v>103</v>
      </c>
      <c r="Y62" s="276" t="s">
        <v>103</v>
      </c>
      <c r="Z62" s="276" t="s">
        <v>103</v>
      </c>
      <c r="AA62" s="276" t="s">
        <v>103</v>
      </c>
      <c r="AB62" s="269" t="s">
        <v>23</v>
      </c>
      <c r="AC62" s="269" t="s">
        <v>23</v>
      </c>
      <c r="AD62" s="284" t="s">
        <v>83</v>
      </c>
      <c r="AE62" s="284" t="s">
        <v>83</v>
      </c>
      <c r="AF62" s="284" t="s">
        <v>83</v>
      </c>
      <c r="AG62" s="285" t="s">
        <v>83</v>
      </c>
      <c r="AI62" s="227">
        <f>VLOOKUP(B62,'JUN25'!B:AJ,35,0)</f>
        <v>17</v>
      </c>
      <c r="AJ62" s="225">
        <f t="shared" si="4"/>
        <v>0</v>
      </c>
      <c r="AK62" s="230">
        <f t="shared" si="5"/>
        <v>17</v>
      </c>
      <c r="AM62" s="846"/>
    </row>
    <row r="63" spans="1:39" ht="19.5" customHeight="1">
      <c r="A63" s="602" t="s">
        <v>121</v>
      </c>
      <c r="B63" s="509" t="s">
        <v>122</v>
      </c>
      <c r="C63" s="336" t="s">
        <v>19</v>
      </c>
      <c r="D63" s="336" t="s">
        <v>19</v>
      </c>
      <c r="E63" s="336" t="s">
        <v>19</v>
      </c>
      <c r="F63" s="336" t="s">
        <v>19</v>
      </c>
      <c r="G63" s="336" t="s">
        <v>19</v>
      </c>
      <c r="H63" s="336" t="s">
        <v>19</v>
      </c>
      <c r="I63" s="336" t="s">
        <v>19</v>
      </c>
      <c r="J63" s="336" t="s">
        <v>19</v>
      </c>
      <c r="K63" s="336" t="s">
        <v>19</v>
      </c>
      <c r="L63" s="336" t="s">
        <v>19</v>
      </c>
      <c r="M63" s="336" t="s">
        <v>19</v>
      </c>
      <c r="N63" s="336" t="s">
        <v>19</v>
      </c>
      <c r="O63" s="336" t="s">
        <v>19</v>
      </c>
      <c r="P63" s="336" t="s">
        <v>19</v>
      </c>
      <c r="Q63" s="336" t="s">
        <v>19</v>
      </c>
      <c r="R63" s="336" t="s">
        <v>19</v>
      </c>
      <c r="S63" s="336" t="s">
        <v>19</v>
      </c>
      <c r="T63" s="336" t="s">
        <v>19</v>
      </c>
      <c r="U63" s="336" t="s">
        <v>19</v>
      </c>
      <c r="V63" s="336" t="s">
        <v>19</v>
      </c>
      <c r="W63" s="336" t="s">
        <v>19</v>
      </c>
      <c r="X63" s="336" t="s">
        <v>19</v>
      </c>
      <c r="Y63" s="336" t="s">
        <v>19</v>
      </c>
      <c r="Z63" s="336" t="s">
        <v>19</v>
      </c>
      <c r="AA63" s="336" t="s">
        <v>19</v>
      </c>
      <c r="AB63" s="336" t="s">
        <v>19</v>
      </c>
      <c r="AC63" s="336" t="s">
        <v>19</v>
      </c>
      <c r="AD63" s="336" t="s">
        <v>19</v>
      </c>
      <c r="AE63" s="336" t="s">
        <v>19</v>
      </c>
      <c r="AF63" s="336" t="s">
        <v>19</v>
      </c>
      <c r="AG63" s="351" t="s">
        <v>19</v>
      </c>
      <c r="AI63" s="227">
        <f>VLOOKUP(B63,'JUN25'!B:AJ,35,0)</f>
        <v>0</v>
      </c>
      <c r="AJ63" s="225"/>
      <c r="AK63" s="230"/>
      <c r="AM63" s="846"/>
    </row>
    <row r="64" spans="1:39" ht="19.5" customHeight="1" thickBot="1">
      <c r="A64" s="680" t="s">
        <v>131</v>
      </c>
      <c r="B64" s="508" t="s">
        <v>132</v>
      </c>
      <c r="C64" s="342" t="s">
        <v>108</v>
      </c>
      <c r="D64" s="342" t="s">
        <v>108</v>
      </c>
      <c r="E64" s="342" t="s">
        <v>108</v>
      </c>
      <c r="F64" s="342" t="s">
        <v>108</v>
      </c>
      <c r="G64" s="342" t="s">
        <v>108</v>
      </c>
      <c r="H64" s="342" t="s">
        <v>108</v>
      </c>
      <c r="I64" s="342" t="s">
        <v>108</v>
      </c>
      <c r="J64" s="342" t="s">
        <v>108</v>
      </c>
      <c r="K64" s="342" t="s">
        <v>108</v>
      </c>
      <c r="L64" s="342" t="s">
        <v>108</v>
      </c>
      <c r="M64" s="342" t="s">
        <v>108</v>
      </c>
      <c r="N64" s="342" t="s">
        <v>108</v>
      </c>
      <c r="O64" s="342" t="s">
        <v>108</v>
      </c>
      <c r="P64" s="342" t="s">
        <v>108</v>
      </c>
      <c r="Q64" s="342" t="s">
        <v>108</v>
      </c>
      <c r="R64" s="342" t="s">
        <v>108</v>
      </c>
      <c r="S64" s="342" t="s">
        <v>108</v>
      </c>
      <c r="T64" s="342" t="s">
        <v>108</v>
      </c>
      <c r="U64" s="342" t="s">
        <v>108</v>
      </c>
      <c r="V64" s="342" t="s">
        <v>108</v>
      </c>
      <c r="W64" s="342" t="s">
        <v>108</v>
      </c>
      <c r="X64" s="342" t="s">
        <v>108</v>
      </c>
      <c r="Y64" s="342" t="s">
        <v>108</v>
      </c>
      <c r="Z64" s="342" t="s">
        <v>108</v>
      </c>
      <c r="AA64" s="342" t="s">
        <v>108</v>
      </c>
      <c r="AB64" s="342" t="s">
        <v>108</v>
      </c>
      <c r="AC64" s="342" t="s">
        <v>108</v>
      </c>
      <c r="AD64" s="342" t="s">
        <v>108</v>
      </c>
      <c r="AE64" s="342" t="s">
        <v>108</v>
      </c>
      <c r="AF64" s="342" t="s">
        <v>108</v>
      </c>
      <c r="AG64" s="343" t="s">
        <v>108</v>
      </c>
      <c r="AI64" s="241">
        <f>VLOOKUP(B64,'JUN25'!B:AJ,35,0)</f>
        <v>22</v>
      </c>
      <c r="AJ64" s="283">
        <f t="shared" si="4"/>
        <v>0</v>
      </c>
      <c r="AK64" s="288">
        <f t="shared" si="5"/>
        <v>22</v>
      </c>
      <c r="AM64" s="846"/>
    </row>
    <row r="65" spans="1:37" ht="9.9499999999999993" customHeight="1" thickBot="1">
      <c r="A65" s="1"/>
      <c r="B65" s="1"/>
      <c r="AI65" s="247"/>
      <c r="AJ65" s="247"/>
      <c r="AK65" s="247"/>
    </row>
    <row r="66" spans="1:37" ht="18">
      <c r="A66" s="719" t="s">
        <v>125</v>
      </c>
      <c r="B66" s="720"/>
      <c r="C66" s="220">
        <f t="shared" ref="C66" si="14">COUNTIF(C60:C64,$A$68)+COUNTIF(C46:C52,$A$68)</f>
        <v>0</v>
      </c>
      <c r="D66" s="218">
        <f>COUNTIF(D60:D64,$A$66)+COUNTIF(D46:D52,$A$66)</f>
        <v>1</v>
      </c>
      <c r="E66" s="218">
        <f t="shared" ref="E66:AG66" si="15">COUNTIF(E60:E64,$A$66)+COUNTIF(E46:E52,$A$66)</f>
        <v>1</v>
      </c>
      <c r="F66" s="218">
        <f t="shared" si="15"/>
        <v>1</v>
      </c>
      <c r="G66" s="218">
        <f t="shared" si="15"/>
        <v>1</v>
      </c>
      <c r="H66" s="218">
        <f t="shared" si="15"/>
        <v>1</v>
      </c>
      <c r="I66" s="218">
        <f t="shared" si="15"/>
        <v>1</v>
      </c>
      <c r="J66" s="218">
        <f t="shared" si="15"/>
        <v>1</v>
      </c>
      <c r="K66" s="218">
        <f t="shared" si="15"/>
        <v>1</v>
      </c>
      <c r="L66" s="218">
        <f t="shared" si="15"/>
        <v>0</v>
      </c>
      <c r="M66" s="218">
        <f t="shared" si="15"/>
        <v>0</v>
      </c>
      <c r="N66" s="218">
        <f t="shared" si="15"/>
        <v>0</v>
      </c>
      <c r="O66" s="218">
        <f t="shared" si="15"/>
        <v>0</v>
      </c>
      <c r="P66" s="218">
        <f t="shared" si="15"/>
        <v>1</v>
      </c>
      <c r="Q66" s="218">
        <f t="shared" si="15"/>
        <v>1</v>
      </c>
      <c r="R66" s="218">
        <f t="shared" si="15"/>
        <v>1</v>
      </c>
      <c r="S66" s="218">
        <f t="shared" si="15"/>
        <v>1</v>
      </c>
      <c r="T66" s="218">
        <f t="shared" si="15"/>
        <v>1</v>
      </c>
      <c r="U66" s="218">
        <f t="shared" si="15"/>
        <v>1</v>
      </c>
      <c r="V66" s="218">
        <f t="shared" si="15"/>
        <v>1</v>
      </c>
      <c r="W66" s="218">
        <f t="shared" si="15"/>
        <v>1</v>
      </c>
      <c r="X66" s="218">
        <f t="shared" si="15"/>
        <v>0</v>
      </c>
      <c r="Y66" s="218">
        <f t="shared" si="15"/>
        <v>0</v>
      </c>
      <c r="Z66" s="218">
        <f t="shared" si="15"/>
        <v>0</v>
      </c>
      <c r="AA66" s="218">
        <f t="shared" si="15"/>
        <v>0</v>
      </c>
      <c r="AB66" s="218">
        <f t="shared" si="15"/>
        <v>1</v>
      </c>
      <c r="AC66" s="218">
        <f t="shared" si="15"/>
        <v>1</v>
      </c>
      <c r="AD66" s="218">
        <f t="shared" si="15"/>
        <v>1</v>
      </c>
      <c r="AE66" s="218">
        <f t="shared" si="15"/>
        <v>1</v>
      </c>
      <c r="AF66" s="218">
        <f t="shared" si="15"/>
        <v>1</v>
      </c>
      <c r="AG66" s="221">
        <f t="shared" si="15"/>
        <v>1</v>
      </c>
      <c r="AI66" s="247"/>
      <c r="AJ66" s="247"/>
      <c r="AK66" s="247"/>
    </row>
    <row r="67" spans="1:37" ht="18.75" thickBot="1">
      <c r="A67" s="733" t="s">
        <v>83</v>
      </c>
      <c r="B67" s="734"/>
      <c r="C67" s="241">
        <f t="shared" ref="C67" si="16">COUNTIF(C60:C64,$A$69)+COUNTIF(C46:C52,$A$69)</f>
        <v>0</v>
      </c>
      <c r="D67" s="283">
        <f>COUNTIF(D60:D64,$A$67)+COUNTIF(D46:D52,$A$67)</f>
        <v>1</v>
      </c>
      <c r="E67" s="283">
        <f t="shared" ref="E67:AG67" si="17">COUNTIF(E60:E64,$A$67)+COUNTIF(E46:E52,$A$67)</f>
        <v>1</v>
      </c>
      <c r="F67" s="283">
        <f t="shared" si="17"/>
        <v>1</v>
      </c>
      <c r="G67" s="283">
        <f t="shared" si="17"/>
        <v>1</v>
      </c>
      <c r="H67" s="283">
        <f t="shared" si="17"/>
        <v>1</v>
      </c>
      <c r="I67" s="283">
        <f t="shared" si="17"/>
        <v>1</v>
      </c>
      <c r="J67" s="283">
        <f t="shared" si="17"/>
        <v>1</v>
      </c>
      <c r="K67" s="283">
        <f t="shared" si="17"/>
        <v>1</v>
      </c>
      <c r="L67" s="283">
        <f t="shared" si="17"/>
        <v>1</v>
      </c>
      <c r="M67" s="283">
        <f t="shared" si="17"/>
        <v>1</v>
      </c>
      <c r="N67" s="283">
        <f t="shared" si="17"/>
        <v>1</v>
      </c>
      <c r="O67" s="283">
        <f t="shared" si="17"/>
        <v>1</v>
      </c>
      <c r="P67" s="283">
        <f t="shared" si="17"/>
        <v>1</v>
      </c>
      <c r="Q67" s="283">
        <f t="shared" si="17"/>
        <v>1</v>
      </c>
      <c r="R67" s="283">
        <f t="shared" si="17"/>
        <v>1</v>
      </c>
      <c r="S67" s="283">
        <f t="shared" si="17"/>
        <v>1</v>
      </c>
      <c r="T67" s="283">
        <f t="shared" si="17"/>
        <v>1</v>
      </c>
      <c r="U67" s="283">
        <f t="shared" si="17"/>
        <v>1</v>
      </c>
      <c r="V67" s="283">
        <f t="shared" si="17"/>
        <v>1</v>
      </c>
      <c r="W67" s="283">
        <f t="shared" si="17"/>
        <v>1</v>
      </c>
      <c r="X67" s="283">
        <f t="shared" si="17"/>
        <v>1</v>
      </c>
      <c r="Y67" s="283">
        <f t="shared" si="17"/>
        <v>1</v>
      </c>
      <c r="Z67" s="283">
        <f t="shared" si="17"/>
        <v>1</v>
      </c>
      <c r="AA67" s="283">
        <f t="shared" si="17"/>
        <v>1</v>
      </c>
      <c r="AB67" s="283">
        <f t="shared" si="17"/>
        <v>1</v>
      </c>
      <c r="AC67" s="283">
        <f t="shared" si="17"/>
        <v>1</v>
      </c>
      <c r="AD67" s="283">
        <f t="shared" si="17"/>
        <v>1</v>
      </c>
      <c r="AE67" s="283">
        <f t="shared" si="17"/>
        <v>1</v>
      </c>
      <c r="AF67" s="283">
        <f t="shared" si="17"/>
        <v>1</v>
      </c>
      <c r="AG67" s="288">
        <f t="shared" si="17"/>
        <v>1</v>
      </c>
      <c r="AI67" s="247"/>
      <c r="AJ67" s="247"/>
      <c r="AK67" s="247"/>
    </row>
    <row r="68" spans="1:37">
      <c r="AI68" s="247"/>
      <c r="AJ68" s="247"/>
      <c r="AK68" s="247"/>
    </row>
    <row r="69" spans="1:37">
      <c r="AI69" s="247"/>
      <c r="AJ69" s="247"/>
      <c r="AK69" s="247"/>
    </row>
    <row r="70" spans="1:37">
      <c r="B70" s="922"/>
      <c r="C70" s="922"/>
      <c r="D70" s="922"/>
      <c r="E70" s="922"/>
      <c r="F70" s="922"/>
      <c r="G70" s="922"/>
      <c r="H70" s="922"/>
      <c r="I70" s="922"/>
      <c r="J70" s="922"/>
      <c r="K70" s="922"/>
      <c r="L70" s="922"/>
      <c r="M70" s="922"/>
      <c r="N70" s="922"/>
      <c r="O70" s="922"/>
      <c r="P70" s="922"/>
      <c r="Q70" s="922"/>
      <c r="R70" s="922"/>
      <c r="S70" s="922"/>
      <c r="T70" s="922"/>
      <c r="U70" s="922"/>
      <c r="V70" s="922"/>
      <c r="W70" s="922"/>
      <c r="X70" s="922"/>
      <c r="Y70" s="922"/>
      <c r="Z70" s="922"/>
      <c r="AA70" s="922"/>
      <c r="AB70" s="922"/>
      <c r="AC70" s="922"/>
      <c r="AD70" s="922"/>
      <c r="AE70" s="922"/>
      <c r="AF70" s="922"/>
      <c r="AG70" s="922"/>
      <c r="AH70" s="922"/>
      <c r="AI70" s="922"/>
      <c r="AJ70" s="922"/>
      <c r="AK70" s="922"/>
    </row>
  </sheetData>
  <mergeCells count="3">
    <mergeCell ref="AI3:AI4"/>
    <mergeCell ref="AJ3:AJ4"/>
    <mergeCell ref="AK3:AK4"/>
  </mergeCells>
  <conditionalFormatting sqref="C57:AG57">
    <cfRule type="cellIs" dxfId="24" priority="1" operator="lessThan">
      <formula>1.5</formula>
    </cfRule>
    <cfRule type="cellIs" dxfId="23" priority="2" operator="lessThan">
      <formula>2.5</formula>
    </cfRule>
  </conditionalFormatting>
  <conditionalFormatting sqref="C66:AG67">
    <cfRule type="cellIs" dxfId="22" priority="3" operator="lessThan">
      <formula>0.5</formula>
    </cfRule>
  </conditionalFormatting>
  <conditionalFormatting sqref="AH21:AH26">
    <cfRule type="cellIs" dxfId="21" priority="4" operator="equal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14CC-5AB8-4874-8937-8BD3A2849A27}">
  <dimension ref="A1:AL69"/>
  <sheetViews>
    <sheetView showGridLines="0" zoomScale="70" zoomScaleNormal="70" workbookViewId="0">
      <pane xSplit="2" ySplit="4" topLeftCell="C5" activePane="bottomRight" state="frozen"/>
      <selection pane="bottomRight" activeCell="A20" sqref="A20:XFD24"/>
      <selection pane="bottomLeft" activeCell="A20" activeCellId="2" sqref="A5:XFD12 A14:XFD18 A20:XFD24"/>
      <selection pane="topRight" activeCell="A20" activeCellId="2" sqref="A5:XFD12 A14:XFD18 A20:XFD24"/>
    </sheetView>
  </sheetViews>
  <sheetFormatPr defaultColWidth="9.140625" defaultRowHeight="15"/>
  <cols>
    <col min="1" max="1" width="42.5703125" customWidth="1"/>
    <col min="2" max="2" width="42.5703125" hidden="1" customWidth="1"/>
    <col min="3" max="33" width="9.140625" customWidth="1"/>
  </cols>
  <sheetData>
    <row r="1" spans="1:38" ht="20.100000000000001" customHeight="1" thickBot="1">
      <c r="A1" s="906"/>
      <c r="B1" s="584" t="s">
        <v>0</v>
      </c>
      <c r="C1" s="829" t="s">
        <v>1</v>
      </c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  <c r="U1" s="830"/>
      <c r="V1" s="830"/>
      <c r="W1" s="830"/>
      <c r="X1" s="830"/>
      <c r="Y1" s="830"/>
      <c r="Z1" s="830"/>
      <c r="AA1" s="830"/>
      <c r="AB1" s="830"/>
      <c r="AC1" s="830"/>
      <c r="AD1" s="830"/>
      <c r="AE1" s="830"/>
      <c r="AF1" s="830"/>
      <c r="AG1" s="831"/>
    </row>
    <row r="2" spans="1:38" ht="30" customHeight="1" thickBot="1">
      <c r="A2" s="588" t="s">
        <v>2</v>
      </c>
      <c r="B2" s="552"/>
      <c r="C2" s="574" t="s">
        <v>195</v>
      </c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  <c r="O2" s="857"/>
      <c r="P2" s="857"/>
      <c r="Q2" s="857"/>
      <c r="R2" s="857"/>
      <c r="S2" s="857"/>
      <c r="T2" s="857"/>
      <c r="U2" s="857"/>
      <c r="V2" s="857"/>
      <c r="W2" s="857"/>
      <c r="X2" s="857"/>
      <c r="Y2" s="857"/>
      <c r="Z2" s="857"/>
      <c r="AA2" s="857"/>
      <c r="AB2" s="857"/>
      <c r="AC2" s="857"/>
      <c r="AD2" s="857"/>
      <c r="AE2" s="857"/>
      <c r="AF2" s="857"/>
      <c r="AG2" s="866"/>
      <c r="AI2" s="618" t="s">
        <v>5</v>
      </c>
      <c r="AJ2" s="619"/>
      <c r="AK2" s="620"/>
    </row>
    <row r="3" spans="1:38" ht="24.95" customHeight="1">
      <c r="A3" s="590" t="s">
        <v>0</v>
      </c>
      <c r="B3" s="464" t="s">
        <v>0</v>
      </c>
      <c r="C3" s="630" t="s">
        <v>8</v>
      </c>
      <c r="D3" s="705" t="s">
        <v>9</v>
      </c>
      <c r="E3" s="705" t="s">
        <v>10</v>
      </c>
      <c r="F3" s="630" t="s">
        <v>11</v>
      </c>
      <c r="G3" s="630" t="s">
        <v>12</v>
      </c>
      <c r="H3" s="630" t="s">
        <v>6</v>
      </c>
      <c r="I3" s="630" t="s">
        <v>7</v>
      </c>
      <c r="J3" s="630" t="s">
        <v>8</v>
      </c>
      <c r="K3" s="705" t="s">
        <v>9</v>
      </c>
      <c r="L3" s="705" t="s">
        <v>10</v>
      </c>
      <c r="M3" s="630" t="s">
        <v>11</v>
      </c>
      <c r="N3" s="630" t="s">
        <v>12</v>
      </c>
      <c r="O3" s="630" t="s">
        <v>6</v>
      </c>
      <c r="P3" s="630" t="s">
        <v>7</v>
      </c>
      <c r="Q3" s="707" t="s">
        <v>8</v>
      </c>
      <c r="R3" s="705" t="s">
        <v>9</v>
      </c>
      <c r="S3" s="705" t="s">
        <v>10</v>
      </c>
      <c r="T3" s="630" t="s">
        <v>11</v>
      </c>
      <c r="U3" s="630" t="s">
        <v>12</v>
      </c>
      <c r="V3" s="630" t="s">
        <v>6</v>
      </c>
      <c r="W3" s="630" t="s">
        <v>7</v>
      </c>
      <c r="X3" s="630" t="s">
        <v>8</v>
      </c>
      <c r="Y3" s="705" t="s">
        <v>9</v>
      </c>
      <c r="Z3" s="705" t="s">
        <v>10</v>
      </c>
      <c r="AA3" s="630" t="s">
        <v>11</v>
      </c>
      <c r="AB3" s="630" t="s">
        <v>12</v>
      </c>
      <c r="AC3" s="630" t="s">
        <v>6</v>
      </c>
      <c r="AD3" s="630" t="s">
        <v>7</v>
      </c>
      <c r="AE3" s="630" t="s">
        <v>8</v>
      </c>
      <c r="AF3" s="705" t="s">
        <v>9</v>
      </c>
      <c r="AG3" s="867" t="s">
        <v>10</v>
      </c>
      <c r="AI3" s="1393">
        <v>2025</v>
      </c>
      <c r="AJ3" s="1389" t="s">
        <v>13</v>
      </c>
      <c r="AK3" s="1391" t="s">
        <v>14</v>
      </c>
    </row>
    <row r="4" spans="1:38" ht="24.95" customHeight="1" thickBot="1">
      <c r="A4" s="591" t="s">
        <v>15</v>
      </c>
      <c r="B4" s="466" t="s">
        <v>16</v>
      </c>
      <c r="C4" s="630">
        <v>1</v>
      </c>
      <c r="D4" s="705">
        <v>2</v>
      </c>
      <c r="E4" s="705">
        <v>3</v>
      </c>
      <c r="F4" s="630">
        <v>4</v>
      </c>
      <c r="G4" s="630">
        <v>5</v>
      </c>
      <c r="H4" s="630">
        <v>6</v>
      </c>
      <c r="I4" s="630">
        <v>7</v>
      </c>
      <c r="J4" s="630">
        <v>8</v>
      </c>
      <c r="K4" s="705">
        <v>9</v>
      </c>
      <c r="L4" s="705">
        <v>10</v>
      </c>
      <c r="M4" s="630">
        <v>11</v>
      </c>
      <c r="N4" s="630">
        <v>12</v>
      </c>
      <c r="O4" s="630">
        <v>13</v>
      </c>
      <c r="P4" s="630">
        <v>14</v>
      </c>
      <c r="Q4" s="707">
        <v>15</v>
      </c>
      <c r="R4" s="705">
        <v>16</v>
      </c>
      <c r="S4" s="705">
        <v>17</v>
      </c>
      <c r="T4" s="630">
        <v>18</v>
      </c>
      <c r="U4" s="630">
        <v>19</v>
      </c>
      <c r="V4" s="630">
        <v>20</v>
      </c>
      <c r="W4" s="630">
        <v>21</v>
      </c>
      <c r="X4" s="630">
        <v>22</v>
      </c>
      <c r="Y4" s="705">
        <v>23</v>
      </c>
      <c r="Z4" s="705">
        <v>24</v>
      </c>
      <c r="AA4" s="630">
        <v>25</v>
      </c>
      <c r="AB4" s="630">
        <v>26</v>
      </c>
      <c r="AC4" s="630">
        <v>27</v>
      </c>
      <c r="AD4" s="630">
        <v>28</v>
      </c>
      <c r="AE4" s="630">
        <v>29</v>
      </c>
      <c r="AF4" s="705">
        <v>30</v>
      </c>
      <c r="AG4" s="867">
        <v>31</v>
      </c>
      <c r="AI4" s="1394"/>
      <c r="AJ4" s="1390"/>
      <c r="AK4" s="1392"/>
    </row>
    <row r="5" spans="1:38" ht="18.75" customHeight="1">
      <c r="A5" s="986" t="s">
        <v>17</v>
      </c>
      <c r="B5" s="695" t="s">
        <v>18</v>
      </c>
      <c r="C5" s="157" t="s">
        <v>191</v>
      </c>
      <c r="D5" s="157" t="s">
        <v>191</v>
      </c>
      <c r="E5" s="157" t="s">
        <v>191</v>
      </c>
      <c r="F5" s="157" t="s">
        <v>191</v>
      </c>
      <c r="G5" s="157" t="s">
        <v>191</v>
      </c>
      <c r="H5" s="157" t="s">
        <v>191</v>
      </c>
      <c r="I5" s="157" t="s">
        <v>191</v>
      </c>
      <c r="J5" s="157" t="s">
        <v>191</v>
      </c>
      <c r="K5" s="157" t="s">
        <v>191</v>
      </c>
      <c r="L5" s="157" t="s">
        <v>191</v>
      </c>
      <c r="M5" s="157" t="s">
        <v>191</v>
      </c>
      <c r="N5" s="157" t="s">
        <v>191</v>
      </c>
      <c r="O5" s="157" t="s">
        <v>191</v>
      </c>
      <c r="P5" s="157" t="s">
        <v>191</v>
      </c>
      <c r="Q5" s="157" t="s">
        <v>191</v>
      </c>
      <c r="R5" s="157" t="s">
        <v>191</v>
      </c>
      <c r="S5" s="157" t="s">
        <v>191</v>
      </c>
      <c r="T5" s="157" t="s">
        <v>191</v>
      </c>
      <c r="U5" s="157" t="s">
        <v>191</v>
      </c>
      <c r="V5" s="157" t="s">
        <v>191</v>
      </c>
      <c r="W5" s="157" t="s">
        <v>191</v>
      </c>
      <c r="X5" s="157" t="s">
        <v>191</v>
      </c>
      <c r="Y5" s="157" t="s">
        <v>191</v>
      </c>
      <c r="Z5" s="157" t="s">
        <v>191</v>
      </c>
      <c r="AA5" s="157" t="s">
        <v>191</v>
      </c>
      <c r="AB5" s="157" t="s">
        <v>191</v>
      </c>
      <c r="AC5" s="157" t="s">
        <v>191</v>
      </c>
      <c r="AD5" s="157" t="s">
        <v>191</v>
      </c>
      <c r="AE5" s="157" t="s">
        <v>191</v>
      </c>
      <c r="AF5" s="157" t="s">
        <v>191</v>
      </c>
      <c r="AG5" s="135" t="s">
        <v>191</v>
      </c>
      <c r="AI5" s="4">
        <f>VLOOKUP(B5,'JUL25'!$B:$AK,36,0)</f>
        <v>22</v>
      </c>
      <c r="AJ5" s="56">
        <f>COUNTIF(C5:AG5,"U")</f>
        <v>0</v>
      </c>
      <c r="AK5" s="57">
        <f>AI5-AJ5</f>
        <v>22</v>
      </c>
    </row>
    <row r="6" spans="1:38" ht="19.5" customHeight="1">
      <c r="A6" s="986" t="s">
        <v>20</v>
      </c>
      <c r="B6" s="695" t="s">
        <v>21</v>
      </c>
      <c r="C6" s="270" t="s">
        <v>23</v>
      </c>
      <c r="D6" s="232" t="s">
        <v>22</v>
      </c>
      <c r="E6" s="232" t="s">
        <v>22</v>
      </c>
      <c r="F6" s="232" t="s">
        <v>22</v>
      </c>
      <c r="G6" s="232" t="s">
        <v>22</v>
      </c>
      <c r="H6" s="270" t="s">
        <v>23</v>
      </c>
      <c r="I6" s="270" t="s">
        <v>23</v>
      </c>
      <c r="J6" s="232" t="s">
        <v>22</v>
      </c>
      <c r="K6" s="232" t="s">
        <v>22</v>
      </c>
      <c r="L6" s="232" t="s">
        <v>22</v>
      </c>
      <c r="M6" s="232" t="s">
        <v>22</v>
      </c>
      <c r="N6" s="270" t="s">
        <v>23</v>
      </c>
      <c r="O6" s="270" t="s">
        <v>23</v>
      </c>
      <c r="P6" s="267" t="s">
        <v>34</v>
      </c>
      <c r="Q6" s="110" t="s">
        <v>30</v>
      </c>
      <c r="R6" s="267" t="s">
        <v>34</v>
      </c>
      <c r="S6" s="267" t="s">
        <v>34</v>
      </c>
      <c r="T6" s="270" t="s">
        <v>23</v>
      </c>
      <c r="U6" s="270" t="s">
        <v>23</v>
      </c>
      <c r="V6" s="267" t="s">
        <v>34</v>
      </c>
      <c r="W6" s="267" t="s">
        <v>34</v>
      </c>
      <c r="X6" s="267" t="s">
        <v>34</v>
      </c>
      <c r="Y6" s="267" t="s">
        <v>34</v>
      </c>
      <c r="Z6" s="270" t="s">
        <v>23</v>
      </c>
      <c r="AA6" s="270" t="s">
        <v>23</v>
      </c>
      <c r="AB6" s="267" t="s">
        <v>34</v>
      </c>
      <c r="AC6" s="267" t="s">
        <v>34</v>
      </c>
      <c r="AD6" s="87" t="s">
        <v>53</v>
      </c>
      <c r="AE6" s="267" t="s">
        <v>34</v>
      </c>
      <c r="AF6" s="270" t="s">
        <v>23</v>
      </c>
      <c r="AG6" s="868" t="s">
        <v>23</v>
      </c>
      <c r="AI6" s="37">
        <f>VLOOKUP(B6,'JUL25'!$B:$AK,36,0)</f>
        <v>13</v>
      </c>
      <c r="AJ6" s="35">
        <f>COUNTIF(C6:AG6,"U")</f>
        <v>10</v>
      </c>
      <c r="AK6" s="38">
        <f>AI6-AJ6</f>
        <v>3</v>
      </c>
    </row>
    <row r="7" spans="1:38" ht="18.75" customHeight="1">
      <c r="A7" s="987" t="s">
        <v>26</v>
      </c>
      <c r="B7" s="509" t="s">
        <v>27</v>
      </c>
      <c r="C7" s="233" t="s">
        <v>24</v>
      </c>
      <c r="D7" s="231" t="s">
        <v>23</v>
      </c>
      <c r="E7" s="231" t="s">
        <v>23</v>
      </c>
      <c r="F7" s="408" t="s">
        <v>24</v>
      </c>
      <c r="G7" s="408" t="s">
        <v>24</v>
      </c>
      <c r="H7" s="408" t="s">
        <v>24</v>
      </c>
      <c r="I7" s="408" t="s">
        <v>24</v>
      </c>
      <c r="J7" s="231" t="s">
        <v>23</v>
      </c>
      <c r="K7" s="231" t="s">
        <v>23</v>
      </c>
      <c r="L7" s="406" t="s">
        <v>22</v>
      </c>
      <c r="M7" s="406" t="s">
        <v>22</v>
      </c>
      <c r="N7" s="232" t="s">
        <v>22</v>
      </c>
      <c r="O7" s="232" t="s">
        <v>22</v>
      </c>
      <c r="P7" s="231" t="s">
        <v>23</v>
      </c>
      <c r="Q7" s="231" t="s">
        <v>23</v>
      </c>
      <c r="R7" s="231" t="s">
        <v>23</v>
      </c>
      <c r="S7" s="408" t="s">
        <v>24</v>
      </c>
      <c r="T7" s="408" t="s">
        <v>24</v>
      </c>
      <c r="U7" s="408" t="s">
        <v>24</v>
      </c>
      <c r="V7" s="231" t="s">
        <v>23</v>
      </c>
      <c r="W7" s="406" t="s">
        <v>22</v>
      </c>
      <c r="X7" s="232" t="s">
        <v>22</v>
      </c>
      <c r="Y7" s="232" t="s">
        <v>22</v>
      </c>
      <c r="Z7" s="232" t="s">
        <v>22</v>
      </c>
      <c r="AA7" s="232" t="s">
        <v>22</v>
      </c>
      <c r="AB7" s="231" t="s">
        <v>23</v>
      </c>
      <c r="AC7" s="231" t="s">
        <v>23</v>
      </c>
      <c r="AD7" s="233" t="s">
        <v>24</v>
      </c>
      <c r="AE7" s="233" t="s">
        <v>24</v>
      </c>
      <c r="AF7" s="233" t="s">
        <v>24</v>
      </c>
      <c r="AG7" s="236" t="s">
        <v>24</v>
      </c>
      <c r="AI7" s="37">
        <f>VLOOKUP(B7,'JUL25'!$B:$AK,36,0)</f>
        <v>6</v>
      </c>
      <c r="AJ7" s="35">
        <f>COUNTIF(C7:AG7,"U")</f>
        <v>0</v>
      </c>
      <c r="AK7" s="38">
        <f>AI7-AJ7</f>
        <v>6</v>
      </c>
    </row>
    <row r="8" spans="1:38" ht="18.75" customHeight="1">
      <c r="A8" s="987" t="s">
        <v>28</v>
      </c>
      <c r="B8" s="509" t="s">
        <v>29</v>
      </c>
      <c r="C8" s="231" t="s">
        <v>23</v>
      </c>
      <c r="D8" s="232" t="s">
        <v>22</v>
      </c>
      <c r="E8" s="232" t="s">
        <v>22</v>
      </c>
      <c r="F8" s="406" t="s">
        <v>22</v>
      </c>
      <c r="G8" s="406" t="s">
        <v>22</v>
      </c>
      <c r="H8" s="231" t="s">
        <v>23</v>
      </c>
      <c r="I8" s="231" t="s">
        <v>23</v>
      </c>
      <c r="J8" s="233" t="s">
        <v>24</v>
      </c>
      <c r="K8" s="233" t="s">
        <v>24</v>
      </c>
      <c r="L8" s="233" t="s">
        <v>24</v>
      </c>
      <c r="M8" s="233" t="s">
        <v>24</v>
      </c>
      <c r="N8" s="231" t="s">
        <v>23</v>
      </c>
      <c r="O8" s="231" t="s">
        <v>23</v>
      </c>
      <c r="P8" s="232" t="s">
        <v>22</v>
      </c>
      <c r="Q8" s="232" t="s">
        <v>22</v>
      </c>
      <c r="R8" s="232" t="s">
        <v>22</v>
      </c>
      <c r="S8" s="232" t="s">
        <v>22</v>
      </c>
      <c r="T8" s="231" t="s">
        <v>23</v>
      </c>
      <c r="U8" s="231" t="s">
        <v>23</v>
      </c>
      <c r="V8" s="396" t="s">
        <v>146</v>
      </c>
      <c r="W8" s="408" t="s">
        <v>24</v>
      </c>
      <c r="X8" s="408" t="s">
        <v>24</v>
      </c>
      <c r="Y8" s="408" t="s">
        <v>24</v>
      </c>
      <c r="Z8" s="231" t="s">
        <v>23</v>
      </c>
      <c r="AA8" s="231" t="s">
        <v>23</v>
      </c>
      <c r="AB8" s="266" t="s">
        <v>63</v>
      </c>
      <c r="AC8" s="266" t="s">
        <v>63</v>
      </c>
      <c r="AD8" s="266" t="s">
        <v>63</v>
      </c>
      <c r="AE8" s="266" t="s">
        <v>63</v>
      </c>
      <c r="AF8" s="231" t="s">
        <v>23</v>
      </c>
      <c r="AG8" s="234" t="s">
        <v>23</v>
      </c>
      <c r="AI8" s="37">
        <f>VLOOKUP(B8,'JUL25'!$B:$AK,36,0)</f>
        <v>15</v>
      </c>
      <c r="AJ8" s="35">
        <f t="shared" ref="AJ8:AJ9" si="0">COUNTIF(C8:AG8,"U")</f>
        <v>0</v>
      </c>
      <c r="AK8" s="38">
        <f t="shared" ref="AK8:AK9" si="1">AI8-AJ8</f>
        <v>15</v>
      </c>
    </row>
    <row r="9" spans="1:38" ht="18.75" customHeight="1">
      <c r="A9" s="987" t="s">
        <v>32</v>
      </c>
      <c r="B9" s="509" t="s">
        <v>33</v>
      </c>
      <c r="C9" s="6" t="s">
        <v>22</v>
      </c>
      <c r="D9" s="6" t="s">
        <v>22</v>
      </c>
      <c r="E9" s="6" t="s">
        <v>22</v>
      </c>
      <c r="F9" s="231" t="s">
        <v>23</v>
      </c>
      <c r="G9" s="231" t="s">
        <v>23</v>
      </c>
      <c r="H9" s="232" t="s">
        <v>22</v>
      </c>
      <c r="I9" s="232" t="s">
        <v>22</v>
      </c>
      <c r="J9" s="232" t="s">
        <v>22</v>
      </c>
      <c r="K9" s="232" t="s">
        <v>22</v>
      </c>
      <c r="L9" s="231" t="s">
        <v>23</v>
      </c>
      <c r="M9" s="231" t="s">
        <v>23</v>
      </c>
      <c r="N9" s="408" t="s">
        <v>24</v>
      </c>
      <c r="O9" s="408" t="s">
        <v>24</v>
      </c>
      <c r="P9" s="408" t="s">
        <v>24</v>
      </c>
      <c r="Q9" s="408" t="s">
        <v>24</v>
      </c>
      <c r="R9" s="231" t="s">
        <v>23</v>
      </c>
      <c r="S9" s="231" t="s">
        <v>23</v>
      </c>
      <c r="T9" s="232" t="s">
        <v>22</v>
      </c>
      <c r="U9" s="232" t="s">
        <v>22</v>
      </c>
      <c r="V9" s="232" t="s">
        <v>22</v>
      </c>
      <c r="W9" s="232" t="s">
        <v>22</v>
      </c>
      <c r="X9" s="231" t="s">
        <v>23</v>
      </c>
      <c r="Y9" s="231" t="s">
        <v>23</v>
      </c>
      <c r="Z9" s="408" t="s">
        <v>24</v>
      </c>
      <c r="AA9" s="408" t="s">
        <v>24</v>
      </c>
      <c r="AB9" s="408" t="s">
        <v>24</v>
      </c>
      <c r="AC9" s="408" t="s">
        <v>24</v>
      </c>
      <c r="AD9" s="231" t="s">
        <v>23</v>
      </c>
      <c r="AE9" s="231" t="s">
        <v>23</v>
      </c>
      <c r="AF9" s="232" t="s">
        <v>22</v>
      </c>
      <c r="AG9" s="235" t="s">
        <v>22</v>
      </c>
      <c r="AI9" s="37">
        <f>VLOOKUP(B9,'JUL25'!$B:$AK,36,0)</f>
        <v>10</v>
      </c>
      <c r="AJ9" s="35">
        <f t="shared" si="0"/>
        <v>0</v>
      </c>
      <c r="AK9" s="38">
        <f t="shared" si="1"/>
        <v>10</v>
      </c>
    </row>
    <row r="10" spans="1:38" ht="18.75" customHeight="1">
      <c r="A10" s="987" t="s">
        <v>35</v>
      </c>
      <c r="B10" s="509" t="s">
        <v>36</v>
      </c>
      <c r="C10" s="267" t="s">
        <v>34</v>
      </c>
      <c r="D10" s="231" t="s">
        <v>23</v>
      </c>
      <c r="E10" s="231" t="s">
        <v>23</v>
      </c>
      <c r="F10" s="267" t="s">
        <v>34</v>
      </c>
      <c r="G10" s="267" t="s">
        <v>34</v>
      </c>
      <c r="H10" s="267" t="s">
        <v>34</v>
      </c>
      <c r="I10" s="267" t="s">
        <v>34</v>
      </c>
      <c r="J10" s="231" t="s">
        <v>23</v>
      </c>
      <c r="K10" s="231" t="s">
        <v>23</v>
      </c>
      <c r="L10" s="92" t="s">
        <v>34</v>
      </c>
      <c r="M10" s="92" t="s">
        <v>34</v>
      </c>
      <c r="N10" s="92" t="s">
        <v>34</v>
      </c>
      <c r="O10" s="92" t="s">
        <v>34</v>
      </c>
      <c r="P10" s="231" t="s">
        <v>23</v>
      </c>
      <c r="Q10" s="231" t="s">
        <v>23</v>
      </c>
      <c r="R10" s="233" t="s">
        <v>24</v>
      </c>
      <c r="S10" s="233" t="s">
        <v>24</v>
      </c>
      <c r="T10" s="233" t="s">
        <v>24</v>
      </c>
      <c r="U10" s="233" t="s">
        <v>24</v>
      </c>
      <c r="V10" s="231" t="s">
        <v>23</v>
      </c>
      <c r="W10" s="231" t="s">
        <v>23</v>
      </c>
      <c r="X10" s="406" t="s">
        <v>22</v>
      </c>
      <c r="Y10" s="406" t="s">
        <v>22</v>
      </c>
      <c r="Z10" s="406" t="s">
        <v>22</v>
      </c>
      <c r="AA10" s="406" t="s">
        <v>22</v>
      </c>
      <c r="AB10" s="231" t="s">
        <v>23</v>
      </c>
      <c r="AC10" s="231" t="s">
        <v>23</v>
      </c>
      <c r="AD10" s="408" t="s">
        <v>24</v>
      </c>
      <c r="AE10" s="408" t="s">
        <v>24</v>
      </c>
      <c r="AF10" s="408" t="s">
        <v>24</v>
      </c>
      <c r="AG10" s="407" t="s">
        <v>24</v>
      </c>
      <c r="AI10" s="37">
        <f>VLOOKUP(B10,'JUL25'!$B:$AK,36,0)</f>
        <v>13</v>
      </c>
      <c r="AJ10" s="35">
        <f>COUNTIF(C10:AG10,"U")</f>
        <v>9</v>
      </c>
      <c r="AK10" s="38">
        <f>AI10-AJ10</f>
        <v>4</v>
      </c>
    </row>
    <row r="11" spans="1:38" ht="18.75" customHeight="1">
      <c r="A11" s="987" t="s">
        <v>37</v>
      </c>
      <c r="B11" s="509" t="s">
        <v>38</v>
      </c>
      <c r="C11" s="231" t="s">
        <v>23</v>
      </c>
      <c r="D11" s="233" t="s">
        <v>24</v>
      </c>
      <c r="E11" s="233" t="s">
        <v>24</v>
      </c>
      <c r="F11" s="233" t="s">
        <v>24</v>
      </c>
      <c r="G11" s="233" t="s">
        <v>24</v>
      </c>
      <c r="H11" s="231" t="s">
        <v>23</v>
      </c>
      <c r="I11" s="231" t="s">
        <v>23</v>
      </c>
      <c r="J11" s="408" t="s">
        <v>24</v>
      </c>
      <c r="K11" s="408" t="s">
        <v>24</v>
      </c>
      <c r="L11" s="408" t="s">
        <v>24</v>
      </c>
      <c r="M11" s="408" t="s">
        <v>24</v>
      </c>
      <c r="N11" s="231" t="s">
        <v>23</v>
      </c>
      <c r="O11" s="231" t="s">
        <v>23</v>
      </c>
      <c r="P11" s="267" t="s">
        <v>34</v>
      </c>
      <c r="Q11" s="110" t="s">
        <v>30</v>
      </c>
      <c r="R11" s="267" t="s">
        <v>34</v>
      </c>
      <c r="S11" s="267" t="s">
        <v>34</v>
      </c>
      <c r="T11" s="231" t="s">
        <v>23</v>
      </c>
      <c r="U11" s="231" t="s">
        <v>23</v>
      </c>
      <c r="V11" s="233" t="s">
        <v>24</v>
      </c>
      <c r="W11" s="233" t="s">
        <v>24</v>
      </c>
      <c r="X11" s="233" t="s">
        <v>24</v>
      </c>
      <c r="Y11" s="233" t="s">
        <v>24</v>
      </c>
      <c r="Z11" s="231" t="s">
        <v>23</v>
      </c>
      <c r="AA11" s="231" t="s">
        <v>23</v>
      </c>
      <c r="AB11" s="232" t="s">
        <v>22</v>
      </c>
      <c r="AC11" s="232" t="s">
        <v>22</v>
      </c>
      <c r="AD11" s="232" t="s">
        <v>22</v>
      </c>
      <c r="AE11" s="232" t="s">
        <v>22</v>
      </c>
      <c r="AF11" s="231" t="s">
        <v>23</v>
      </c>
      <c r="AG11" s="234" t="s">
        <v>23</v>
      </c>
      <c r="AI11" s="37">
        <f>VLOOKUP(B11,'JUL25'!$B:$AK,36,0)</f>
        <v>17</v>
      </c>
      <c r="AJ11" s="35">
        <f>COUNTIF(C11:AG11,"U")</f>
        <v>3</v>
      </c>
      <c r="AK11" s="38">
        <f>AI11-AJ11</f>
        <v>14</v>
      </c>
    </row>
    <row r="12" spans="1:38" ht="19.5" customHeight="1" thickBot="1">
      <c r="A12" s="988" t="s">
        <v>43</v>
      </c>
      <c r="B12" s="508" t="s">
        <v>44</v>
      </c>
      <c r="C12" s="237" t="s">
        <v>24</v>
      </c>
      <c r="D12" s="237" t="s">
        <v>24</v>
      </c>
      <c r="E12" s="237" t="s">
        <v>24</v>
      </c>
      <c r="F12" s="238" t="s">
        <v>23</v>
      </c>
      <c r="G12" s="238" t="s">
        <v>23</v>
      </c>
      <c r="H12" s="409" t="s">
        <v>22</v>
      </c>
      <c r="I12" s="409" t="s">
        <v>22</v>
      </c>
      <c r="J12" s="409" t="s">
        <v>22</v>
      </c>
      <c r="K12" s="409" t="s">
        <v>22</v>
      </c>
      <c r="L12" s="238" t="s">
        <v>23</v>
      </c>
      <c r="M12" s="238" t="s">
        <v>23</v>
      </c>
      <c r="N12" s="237" t="s">
        <v>24</v>
      </c>
      <c r="O12" s="237" t="s">
        <v>24</v>
      </c>
      <c r="P12" s="237" t="s">
        <v>24</v>
      </c>
      <c r="Q12" s="237" t="s">
        <v>24</v>
      </c>
      <c r="R12" s="877" t="s">
        <v>24</v>
      </c>
      <c r="S12" s="238" t="s">
        <v>23</v>
      </c>
      <c r="T12" s="223" t="s">
        <v>22</v>
      </c>
      <c r="U12" s="223" t="s">
        <v>22</v>
      </c>
      <c r="V12" s="765" t="s">
        <v>144</v>
      </c>
      <c r="W12" s="238" t="s">
        <v>23</v>
      </c>
      <c r="X12" s="238" t="s">
        <v>23</v>
      </c>
      <c r="Y12" s="238" t="s">
        <v>23</v>
      </c>
      <c r="Z12" s="237" t="s">
        <v>24</v>
      </c>
      <c r="AA12" s="237" t="s">
        <v>24</v>
      </c>
      <c r="AB12" s="330" t="s">
        <v>34</v>
      </c>
      <c r="AC12" s="330" t="s">
        <v>34</v>
      </c>
      <c r="AD12" s="238" t="s">
        <v>23</v>
      </c>
      <c r="AE12" s="238" t="s">
        <v>23</v>
      </c>
      <c r="AF12" s="330" t="s">
        <v>34</v>
      </c>
      <c r="AG12" s="222" t="s">
        <v>22</v>
      </c>
      <c r="AI12" s="46">
        <f>VLOOKUP(B12,'JUL25'!$B:$AK,36,0)</f>
        <v>7</v>
      </c>
      <c r="AJ12" s="16">
        <f>COUNTIF(C12:AG12,"U")</f>
        <v>3</v>
      </c>
      <c r="AK12" s="52">
        <f>AI12-AJ12</f>
        <v>4</v>
      </c>
    </row>
    <row r="13" spans="1:38" ht="20.100000000000001" customHeight="1" thickBot="1">
      <c r="A13" s="869"/>
      <c r="B13" s="870"/>
      <c r="C13" s="871"/>
      <c r="D13" s="871"/>
      <c r="E13" s="871"/>
      <c r="F13" s="862"/>
      <c r="G13" s="862"/>
      <c r="H13" s="862"/>
      <c r="I13" s="862"/>
      <c r="J13" s="862"/>
      <c r="K13" s="862"/>
      <c r="L13" s="862"/>
      <c r="M13" s="862"/>
      <c r="N13" s="871"/>
      <c r="O13" s="871"/>
      <c r="P13" s="871"/>
      <c r="Q13" s="871"/>
      <c r="R13" s="862"/>
      <c r="S13" s="862"/>
      <c r="T13" s="862"/>
      <c r="U13" s="862"/>
      <c r="V13" s="862"/>
      <c r="W13" s="862"/>
      <c r="X13" s="862"/>
      <c r="Y13" s="862"/>
      <c r="Z13" s="871"/>
      <c r="AA13" s="871"/>
      <c r="AB13" s="872"/>
      <c r="AC13" s="872"/>
      <c r="AD13" s="862"/>
      <c r="AE13" s="862"/>
      <c r="AF13" s="872"/>
      <c r="AG13" s="862"/>
      <c r="AI13" s="247"/>
      <c r="AJ13" s="247"/>
      <c r="AK13" s="247"/>
    </row>
    <row r="14" spans="1:38" ht="24.95" customHeight="1" thickBot="1">
      <c r="A14" s="581" t="s">
        <v>196</v>
      </c>
      <c r="B14" s="514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650"/>
      <c r="AE14" s="650"/>
      <c r="AF14" s="761"/>
      <c r="AG14" s="640"/>
      <c r="AI14" s="247"/>
      <c r="AJ14" s="247"/>
      <c r="AK14" s="247"/>
    </row>
    <row r="15" spans="1:38" ht="18.75" customHeight="1">
      <c r="A15" s="987" t="s">
        <v>192</v>
      </c>
      <c r="B15" s="509" t="s">
        <v>193</v>
      </c>
      <c r="C15" s="92" t="s">
        <v>34</v>
      </c>
      <c r="D15" s="29" t="s">
        <v>23</v>
      </c>
      <c r="E15" s="29" t="s">
        <v>23</v>
      </c>
      <c r="F15" s="367" t="s">
        <v>165</v>
      </c>
      <c r="G15" s="367" t="s">
        <v>165</v>
      </c>
      <c r="H15" s="367" t="s">
        <v>165</v>
      </c>
      <c r="I15" s="367" t="s">
        <v>165</v>
      </c>
      <c r="J15" s="367" t="s">
        <v>165</v>
      </c>
      <c r="K15" s="29" t="s">
        <v>23</v>
      </c>
      <c r="L15" s="29" t="s">
        <v>23</v>
      </c>
      <c r="M15" s="367" t="s">
        <v>165</v>
      </c>
      <c r="N15" s="367" t="s">
        <v>165</v>
      </c>
      <c r="O15" s="367" t="s">
        <v>165</v>
      </c>
      <c r="P15" s="367" t="s">
        <v>165</v>
      </c>
      <c r="Q15" s="367" t="s">
        <v>165</v>
      </c>
      <c r="R15" s="29" t="s">
        <v>23</v>
      </c>
      <c r="S15" s="29" t="s">
        <v>23</v>
      </c>
      <c r="T15" s="367" t="s">
        <v>165</v>
      </c>
      <c r="U15" s="367" t="s">
        <v>165</v>
      </c>
      <c r="V15" s="367" t="s">
        <v>165</v>
      </c>
      <c r="W15" s="367" t="s">
        <v>165</v>
      </c>
      <c r="X15" s="367" t="s">
        <v>165</v>
      </c>
      <c r="Y15" s="29" t="s">
        <v>23</v>
      </c>
      <c r="Z15" s="29" t="s">
        <v>23</v>
      </c>
      <c r="AA15" s="367" t="s">
        <v>165</v>
      </c>
      <c r="AB15" s="367" t="s">
        <v>165</v>
      </c>
      <c r="AC15" s="367" t="s">
        <v>165</v>
      </c>
      <c r="AD15" s="367" t="s">
        <v>165</v>
      </c>
      <c r="AE15" s="367" t="s">
        <v>165</v>
      </c>
      <c r="AF15" s="29" t="s">
        <v>23</v>
      </c>
      <c r="AG15" s="78" t="s">
        <v>23</v>
      </c>
      <c r="AH15" s="248"/>
      <c r="AI15" s="4">
        <f>VLOOKUP(B15,'JUL25'!$B:$AK,36,0)</f>
        <v>-3</v>
      </c>
      <c r="AJ15" s="56">
        <f t="shared" ref="AJ15:AJ23" si="2">COUNTIF(C15:AG15,"U")</f>
        <v>1</v>
      </c>
      <c r="AK15" s="57">
        <f>AI15-AJ15</f>
        <v>-4</v>
      </c>
      <c r="AL15" s="247"/>
    </row>
    <row r="16" spans="1:38" ht="18.75" customHeight="1">
      <c r="A16" s="989" t="s">
        <v>51</v>
      </c>
      <c r="B16" s="861" t="s">
        <v>52</v>
      </c>
      <c r="C16" s="28" t="s">
        <v>24</v>
      </c>
      <c r="D16" s="28" t="s">
        <v>24</v>
      </c>
      <c r="E16" s="400" t="s">
        <v>23</v>
      </c>
      <c r="F16" s="400" t="s">
        <v>23</v>
      </c>
      <c r="G16" s="232" t="s">
        <v>22</v>
      </c>
      <c r="H16" s="232" t="s">
        <v>22</v>
      </c>
      <c r="I16" s="28" t="s">
        <v>24</v>
      </c>
      <c r="J16" s="28" t="s">
        <v>24</v>
      </c>
      <c r="K16" s="400" t="s">
        <v>23</v>
      </c>
      <c r="L16" s="400" t="s">
        <v>23</v>
      </c>
      <c r="M16" s="28" t="s">
        <v>24</v>
      </c>
      <c r="N16" s="28" t="s">
        <v>24</v>
      </c>
      <c r="O16" s="28" t="s">
        <v>24</v>
      </c>
      <c r="P16" s="28" t="s">
        <v>24</v>
      </c>
      <c r="Q16" s="400" t="s">
        <v>23</v>
      </c>
      <c r="R16" s="400" t="s">
        <v>23</v>
      </c>
      <c r="S16" s="232" t="s">
        <v>22</v>
      </c>
      <c r="T16" s="232" t="s">
        <v>22</v>
      </c>
      <c r="U16" s="232" t="s">
        <v>22</v>
      </c>
      <c r="V16" s="232" t="s">
        <v>22</v>
      </c>
      <c r="W16" s="400" t="s">
        <v>23</v>
      </c>
      <c r="X16" s="400" t="s">
        <v>23</v>
      </c>
      <c r="Y16" s="28" t="s">
        <v>24</v>
      </c>
      <c r="Z16" s="28" t="s">
        <v>24</v>
      </c>
      <c r="AA16" s="28" t="s">
        <v>24</v>
      </c>
      <c r="AB16" s="28" t="s">
        <v>24</v>
      </c>
      <c r="AC16" s="400" t="s">
        <v>23</v>
      </c>
      <c r="AD16" s="400" t="s">
        <v>23</v>
      </c>
      <c r="AE16" s="232" t="s">
        <v>22</v>
      </c>
      <c r="AF16" s="232" t="s">
        <v>22</v>
      </c>
      <c r="AG16" s="235" t="s">
        <v>22</v>
      </c>
      <c r="AH16" s="248"/>
      <c r="AI16" s="37">
        <f>VLOOKUP(B16,'JUL25'!$B:$AK,36,0)</f>
        <v>10</v>
      </c>
      <c r="AJ16" s="35">
        <f t="shared" si="2"/>
        <v>0</v>
      </c>
      <c r="AK16" s="38">
        <f t="shared" ref="AK16:AK23" si="3">AI16-AJ16</f>
        <v>10</v>
      </c>
      <c r="AL16" s="247"/>
    </row>
    <row r="17" spans="1:38" ht="18.75" customHeight="1">
      <c r="A17" s="989" t="s">
        <v>54</v>
      </c>
      <c r="B17" s="861" t="s">
        <v>55</v>
      </c>
      <c r="C17" s="232" t="s">
        <v>22</v>
      </c>
      <c r="D17" s="232" t="s">
        <v>22</v>
      </c>
      <c r="E17" s="232" t="s">
        <v>22</v>
      </c>
      <c r="F17" s="232" t="s">
        <v>22</v>
      </c>
      <c r="G17" s="400" t="s">
        <v>23</v>
      </c>
      <c r="H17" s="400" t="s">
        <v>23</v>
      </c>
      <c r="I17" s="232" t="s">
        <v>22</v>
      </c>
      <c r="J17" s="232" t="s">
        <v>22</v>
      </c>
      <c r="K17" s="28" t="s">
        <v>24</v>
      </c>
      <c r="L17" s="28" t="s">
        <v>24</v>
      </c>
      <c r="M17" s="400" t="s">
        <v>23</v>
      </c>
      <c r="N17" s="400" t="s">
        <v>23</v>
      </c>
      <c r="O17" s="232" t="s">
        <v>22</v>
      </c>
      <c r="P17" s="232" t="s">
        <v>22</v>
      </c>
      <c r="Q17" s="232" t="s">
        <v>22</v>
      </c>
      <c r="R17" s="232" t="s">
        <v>22</v>
      </c>
      <c r="S17" s="400" t="s">
        <v>23</v>
      </c>
      <c r="T17" s="400" t="s">
        <v>23</v>
      </c>
      <c r="U17" s="28" t="s">
        <v>24</v>
      </c>
      <c r="V17" s="28" t="s">
        <v>24</v>
      </c>
      <c r="W17" s="28" t="s">
        <v>24</v>
      </c>
      <c r="X17" s="28" t="s">
        <v>24</v>
      </c>
      <c r="Y17" s="400" t="s">
        <v>23</v>
      </c>
      <c r="Z17" s="400" t="s">
        <v>23</v>
      </c>
      <c r="AA17" s="348" t="s">
        <v>144</v>
      </c>
      <c r="AB17" s="232" t="s">
        <v>22</v>
      </c>
      <c r="AC17" s="232" t="s">
        <v>22</v>
      </c>
      <c r="AD17" s="232" t="s">
        <v>22</v>
      </c>
      <c r="AE17" s="400" t="s">
        <v>23</v>
      </c>
      <c r="AF17" s="400" t="s">
        <v>23</v>
      </c>
      <c r="AG17" s="109" t="s">
        <v>108</v>
      </c>
      <c r="AH17" s="248"/>
      <c r="AI17" s="37">
        <f>VLOOKUP(B17,'JUL25'!$B:$AK,36,0)</f>
        <v>7</v>
      </c>
      <c r="AJ17" s="35">
        <f t="shared" si="2"/>
        <v>0</v>
      </c>
      <c r="AK17" s="38">
        <f t="shared" si="3"/>
        <v>7</v>
      </c>
      <c r="AL17" s="247"/>
    </row>
    <row r="18" spans="1:38" ht="18.75" customHeight="1">
      <c r="A18" s="989" t="s">
        <v>157</v>
      </c>
      <c r="B18" s="861" t="s">
        <v>158</v>
      </c>
      <c r="C18" s="231" t="s">
        <v>23</v>
      </c>
      <c r="D18" s="232" t="s">
        <v>22</v>
      </c>
      <c r="E18" s="267" t="s">
        <v>34</v>
      </c>
      <c r="F18" s="232" t="s">
        <v>22</v>
      </c>
      <c r="G18" s="400" t="s">
        <v>23</v>
      </c>
      <c r="H18" s="400" t="s">
        <v>23</v>
      </c>
      <c r="I18" s="28" t="s">
        <v>24</v>
      </c>
      <c r="J18" s="28" t="s">
        <v>24</v>
      </c>
      <c r="K18" s="28" t="s">
        <v>24</v>
      </c>
      <c r="L18" s="28" t="s">
        <v>24</v>
      </c>
      <c r="M18" s="400" t="s">
        <v>23</v>
      </c>
      <c r="N18" s="400" t="s">
        <v>23</v>
      </c>
      <c r="O18" s="232" t="s">
        <v>22</v>
      </c>
      <c r="P18" s="232" t="s">
        <v>22</v>
      </c>
      <c r="Q18" s="232" t="s">
        <v>22</v>
      </c>
      <c r="R18" s="232" t="s">
        <v>22</v>
      </c>
      <c r="S18" s="400" t="s">
        <v>23</v>
      </c>
      <c r="T18" s="400" t="s">
        <v>23</v>
      </c>
      <c r="U18" s="28" t="s">
        <v>24</v>
      </c>
      <c r="V18" s="28" t="s">
        <v>24</v>
      </c>
      <c r="W18" s="28" t="s">
        <v>24</v>
      </c>
      <c r="X18" s="28" t="s">
        <v>24</v>
      </c>
      <c r="Y18" s="400" t="s">
        <v>23</v>
      </c>
      <c r="Z18" s="400" t="s">
        <v>23</v>
      </c>
      <c r="AA18" s="232" t="s">
        <v>22</v>
      </c>
      <c r="AB18" s="232" t="s">
        <v>22</v>
      </c>
      <c r="AC18" s="28" t="s">
        <v>24</v>
      </c>
      <c r="AD18" s="28" t="s">
        <v>24</v>
      </c>
      <c r="AE18" s="400" t="s">
        <v>23</v>
      </c>
      <c r="AF18" s="400" t="s">
        <v>23</v>
      </c>
      <c r="AG18" s="80" t="s">
        <v>24</v>
      </c>
      <c r="AH18" s="248"/>
      <c r="AI18" s="37">
        <f>VLOOKUP(B18,'JUL25'!$B:$AK,36,0)</f>
        <v>12</v>
      </c>
      <c r="AJ18" s="35">
        <f t="shared" si="2"/>
        <v>1</v>
      </c>
      <c r="AK18" s="38">
        <f t="shared" si="3"/>
        <v>11</v>
      </c>
      <c r="AL18" s="247"/>
    </row>
    <row r="19" spans="1:38" ht="19.5" customHeight="1">
      <c r="A19" s="989" t="s">
        <v>166</v>
      </c>
      <c r="B19" s="861" t="s">
        <v>167</v>
      </c>
      <c r="C19" s="400" t="s">
        <v>23</v>
      </c>
      <c r="D19" s="400" t="s">
        <v>23</v>
      </c>
      <c r="E19" s="28" t="s">
        <v>24</v>
      </c>
      <c r="F19" s="28" t="s">
        <v>24</v>
      </c>
      <c r="G19" s="28" t="s">
        <v>24</v>
      </c>
      <c r="H19" s="28" t="s">
        <v>24</v>
      </c>
      <c r="I19" s="400" t="s">
        <v>23</v>
      </c>
      <c r="J19" s="400" t="s">
        <v>23</v>
      </c>
      <c r="K19" s="232" t="s">
        <v>22</v>
      </c>
      <c r="L19" s="232" t="s">
        <v>22</v>
      </c>
      <c r="M19" s="232" t="s">
        <v>22</v>
      </c>
      <c r="N19" s="232" t="s">
        <v>22</v>
      </c>
      <c r="O19" s="400" t="s">
        <v>23</v>
      </c>
      <c r="P19" s="400" t="s">
        <v>23</v>
      </c>
      <c r="Q19" s="28" t="s">
        <v>24</v>
      </c>
      <c r="R19" s="92" t="s">
        <v>34</v>
      </c>
      <c r="S19" s="92" t="s">
        <v>34</v>
      </c>
      <c r="T19" s="92" t="s">
        <v>34</v>
      </c>
      <c r="U19" s="400" t="s">
        <v>23</v>
      </c>
      <c r="V19" s="400" t="s">
        <v>23</v>
      </c>
      <c r="W19" s="92" t="s">
        <v>34</v>
      </c>
      <c r="X19" s="92" t="s">
        <v>34</v>
      </c>
      <c r="Y19" s="92" t="s">
        <v>34</v>
      </c>
      <c r="Z19" s="92" t="s">
        <v>34</v>
      </c>
      <c r="AA19" s="400" t="s">
        <v>23</v>
      </c>
      <c r="AB19" s="400" t="s">
        <v>23</v>
      </c>
      <c r="AC19" s="92" t="s">
        <v>34</v>
      </c>
      <c r="AD19" s="92" t="s">
        <v>34</v>
      </c>
      <c r="AE19" s="92" t="s">
        <v>34</v>
      </c>
      <c r="AF19" s="92" t="s">
        <v>34</v>
      </c>
      <c r="AG19" s="401" t="s">
        <v>23</v>
      </c>
      <c r="AH19" s="248"/>
      <c r="AI19" s="37">
        <f>VLOOKUP(B19,'JUL25'!$B:$AK,36,0)</f>
        <v>16</v>
      </c>
      <c r="AJ19" s="35">
        <f t="shared" si="2"/>
        <v>11</v>
      </c>
      <c r="AK19" s="38">
        <f t="shared" si="3"/>
        <v>5</v>
      </c>
      <c r="AL19" s="247"/>
    </row>
    <row r="20" spans="1:38" ht="19.5" customHeight="1">
      <c r="A20" s="989" t="s">
        <v>155</v>
      </c>
      <c r="B20" s="861" t="s">
        <v>156</v>
      </c>
      <c r="C20" s="28" t="s">
        <v>24</v>
      </c>
      <c r="D20" s="28" t="s">
        <v>24</v>
      </c>
      <c r="E20" s="400" t="s">
        <v>23</v>
      </c>
      <c r="F20" s="400" t="s">
        <v>23</v>
      </c>
      <c r="G20" s="232" t="s">
        <v>22</v>
      </c>
      <c r="H20" s="232" t="s">
        <v>22</v>
      </c>
      <c r="I20" s="232" t="s">
        <v>22</v>
      </c>
      <c r="J20" s="232" t="s">
        <v>22</v>
      </c>
      <c r="K20" s="400" t="s">
        <v>23</v>
      </c>
      <c r="L20" s="400" t="s">
        <v>23</v>
      </c>
      <c r="M20" s="28" t="s">
        <v>24</v>
      </c>
      <c r="N20" s="28" t="s">
        <v>24</v>
      </c>
      <c r="O20" s="28" t="s">
        <v>24</v>
      </c>
      <c r="P20" s="28" t="s">
        <v>24</v>
      </c>
      <c r="Q20" s="400" t="s">
        <v>23</v>
      </c>
      <c r="R20" s="400" t="s">
        <v>23</v>
      </c>
      <c r="S20" s="232" t="s">
        <v>22</v>
      </c>
      <c r="T20" s="232" t="s">
        <v>22</v>
      </c>
      <c r="U20" s="232" t="s">
        <v>22</v>
      </c>
      <c r="V20" s="232" t="s">
        <v>22</v>
      </c>
      <c r="W20" s="400" t="s">
        <v>23</v>
      </c>
      <c r="X20" s="400" t="s">
        <v>23</v>
      </c>
      <c r="Y20" s="157" t="s">
        <v>68</v>
      </c>
      <c r="Z20" s="28" t="s">
        <v>24</v>
      </c>
      <c r="AA20" s="28" t="s">
        <v>24</v>
      </c>
      <c r="AB20" s="28" t="s">
        <v>24</v>
      </c>
      <c r="AC20" s="400" t="s">
        <v>23</v>
      </c>
      <c r="AD20" s="400" t="s">
        <v>23</v>
      </c>
      <c r="AE20" s="232" t="s">
        <v>22</v>
      </c>
      <c r="AF20" s="232" t="s">
        <v>22</v>
      </c>
      <c r="AG20" s="235" t="s">
        <v>22</v>
      </c>
      <c r="AH20" s="248"/>
      <c r="AI20" s="37">
        <f>VLOOKUP(B20,'JUL25'!$B:$AK,36,0)</f>
        <v>8</v>
      </c>
      <c r="AJ20" s="35">
        <f t="shared" si="2"/>
        <v>0</v>
      </c>
      <c r="AK20" s="38">
        <f t="shared" si="3"/>
        <v>8</v>
      </c>
      <c r="AL20" s="247"/>
    </row>
    <row r="21" spans="1:38" ht="19.5" customHeight="1">
      <c r="A21" s="989" t="s">
        <v>159</v>
      </c>
      <c r="B21" s="861" t="s">
        <v>160</v>
      </c>
      <c r="C21" s="6" t="s">
        <v>22</v>
      </c>
      <c r="D21" s="400" t="s">
        <v>23</v>
      </c>
      <c r="E21" s="400" t="s">
        <v>23</v>
      </c>
      <c r="F21" s="92" t="s">
        <v>34</v>
      </c>
      <c r="G21" s="28" t="s">
        <v>24</v>
      </c>
      <c r="H21" s="28" t="s">
        <v>24</v>
      </c>
      <c r="I21" s="400" t="s">
        <v>23</v>
      </c>
      <c r="J21" s="400" t="s">
        <v>23</v>
      </c>
      <c r="K21" s="232" t="s">
        <v>22</v>
      </c>
      <c r="L21" s="232" t="s">
        <v>22</v>
      </c>
      <c r="M21" s="232" t="s">
        <v>22</v>
      </c>
      <c r="N21" s="232" t="s">
        <v>22</v>
      </c>
      <c r="O21" s="400" t="s">
        <v>23</v>
      </c>
      <c r="P21" s="400" t="s">
        <v>23</v>
      </c>
      <c r="Q21" s="28" t="s">
        <v>24</v>
      </c>
      <c r="R21" s="28" t="s">
        <v>24</v>
      </c>
      <c r="S21" s="28" t="s">
        <v>24</v>
      </c>
      <c r="T21" s="28" t="s">
        <v>24</v>
      </c>
      <c r="U21" s="400" t="s">
        <v>23</v>
      </c>
      <c r="V21" s="400" t="s">
        <v>23</v>
      </c>
      <c r="W21" s="232" t="s">
        <v>22</v>
      </c>
      <c r="X21" s="232" t="s">
        <v>22</v>
      </c>
      <c r="Y21" s="232" t="s">
        <v>22</v>
      </c>
      <c r="Z21" s="232" t="s">
        <v>22</v>
      </c>
      <c r="AA21" s="400" t="s">
        <v>23</v>
      </c>
      <c r="AB21" s="400" t="s">
        <v>23</v>
      </c>
      <c r="AC21" s="28" t="s">
        <v>24</v>
      </c>
      <c r="AD21" s="28" t="s">
        <v>24</v>
      </c>
      <c r="AE21" s="28" t="s">
        <v>24</v>
      </c>
      <c r="AF21" s="28" t="s">
        <v>24</v>
      </c>
      <c r="AG21" s="401" t="s">
        <v>23</v>
      </c>
      <c r="AH21" s="248"/>
      <c r="AI21" s="37">
        <f>VLOOKUP(B21,'JUL25'!$B:$AK,36,0)</f>
        <v>13</v>
      </c>
      <c r="AJ21" s="35">
        <f t="shared" si="2"/>
        <v>1</v>
      </c>
      <c r="AK21" s="38">
        <f t="shared" si="3"/>
        <v>12</v>
      </c>
      <c r="AL21" s="247"/>
    </row>
    <row r="22" spans="1:38" ht="19.5" customHeight="1">
      <c r="A22" s="986" t="s">
        <v>46</v>
      </c>
      <c r="B22" s="695" t="s">
        <v>47</v>
      </c>
      <c r="C22" s="158" t="s">
        <v>186</v>
      </c>
      <c r="D22" s="158" t="s">
        <v>186</v>
      </c>
      <c r="E22" s="158" t="s">
        <v>186</v>
      </c>
      <c r="F22" s="158" t="s">
        <v>186</v>
      </c>
      <c r="G22" s="158" t="s">
        <v>186</v>
      </c>
      <c r="H22" s="158" t="s">
        <v>186</v>
      </c>
      <c r="I22" s="158" t="s">
        <v>186</v>
      </c>
      <c r="J22" s="158" t="s">
        <v>186</v>
      </c>
      <c r="K22" s="158" t="s">
        <v>186</v>
      </c>
      <c r="L22" s="158" t="s">
        <v>186</v>
      </c>
      <c r="M22" s="158" t="s">
        <v>186</v>
      </c>
      <c r="N22" s="158" t="s">
        <v>186</v>
      </c>
      <c r="O22" s="158" t="s">
        <v>186</v>
      </c>
      <c r="P22" s="158" t="s">
        <v>186</v>
      </c>
      <c r="Q22" s="158" t="s">
        <v>186</v>
      </c>
      <c r="R22" s="158" t="s">
        <v>186</v>
      </c>
      <c r="S22" s="158" t="s">
        <v>186</v>
      </c>
      <c r="T22" s="158" t="s">
        <v>186</v>
      </c>
      <c r="U22" s="158" t="s">
        <v>186</v>
      </c>
      <c r="V22" s="158" t="s">
        <v>186</v>
      </c>
      <c r="W22" s="158" t="s">
        <v>186</v>
      </c>
      <c r="X22" s="158" t="s">
        <v>186</v>
      </c>
      <c r="Y22" s="158" t="s">
        <v>186</v>
      </c>
      <c r="Z22" s="158" t="s">
        <v>186</v>
      </c>
      <c r="AA22" s="158" t="s">
        <v>186</v>
      </c>
      <c r="AB22" s="158" t="s">
        <v>186</v>
      </c>
      <c r="AC22" s="158" t="s">
        <v>186</v>
      </c>
      <c r="AD22" s="158" t="s">
        <v>186</v>
      </c>
      <c r="AE22" s="158" t="s">
        <v>186</v>
      </c>
      <c r="AF22" s="158" t="s">
        <v>186</v>
      </c>
      <c r="AG22" s="136" t="s">
        <v>186</v>
      </c>
      <c r="AH22" s="248"/>
      <c r="AI22" s="37">
        <f>VLOOKUP(B22,'JUL25'!$B:$AK,36,0)</f>
        <v>15</v>
      </c>
      <c r="AJ22" s="35">
        <f t="shared" si="2"/>
        <v>0</v>
      </c>
      <c r="AK22" s="38">
        <f t="shared" si="3"/>
        <v>15</v>
      </c>
      <c r="AL22" s="247"/>
    </row>
    <row r="23" spans="1:38" ht="19.5" customHeight="1" thickBot="1">
      <c r="A23" s="988" t="s">
        <v>56</v>
      </c>
      <c r="B23" s="508" t="s">
        <v>57</v>
      </c>
      <c r="C23" s="398" t="s">
        <v>165</v>
      </c>
      <c r="D23" s="840" t="s">
        <v>23</v>
      </c>
      <c r="E23" s="840" t="s">
        <v>23</v>
      </c>
      <c r="F23" s="398" t="s">
        <v>165</v>
      </c>
      <c r="G23" s="398" t="s">
        <v>165</v>
      </c>
      <c r="H23" s="398" t="s">
        <v>165</v>
      </c>
      <c r="I23" s="398" t="s">
        <v>165</v>
      </c>
      <c r="J23" s="808" t="s">
        <v>68</v>
      </c>
      <c r="K23" s="840" t="s">
        <v>23</v>
      </c>
      <c r="L23" s="840" t="s">
        <v>23</v>
      </c>
      <c r="M23" s="808" t="s">
        <v>68</v>
      </c>
      <c r="N23" s="398" t="s">
        <v>165</v>
      </c>
      <c r="O23" s="398" t="s">
        <v>165</v>
      </c>
      <c r="P23" s="808" t="s">
        <v>68</v>
      </c>
      <c r="Q23" s="610" t="s">
        <v>191</v>
      </c>
      <c r="R23" s="840" t="s">
        <v>23</v>
      </c>
      <c r="S23" s="840" t="s">
        <v>23</v>
      </c>
      <c r="T23" s="398" t="s">
        <v>165</v>
      </c>
      <c r="U23" s="398" t="s">
        <v>165</v>
      </c>
      <c r="V23" s="398" t="s">
        <v>165</v>
      </c>
      <c r="W23" s="398" t="s">
        <v>165</v>
      </c>
      <c r="X23" s="398" t="s">
        <v>165</v>
      </c>
      <c r="Y23" s="840" t="s">
        <v>23</v>
      </c>
      <c r="Z23" s="840" t="s">
        <v>23</v>
      </c>
      <c r="AA23" s="399" t="s">
        <v>34</v>
      </c>
      <c r="AB23" s="399" t="s">
        <v>34</v>
      </c>
      <c r="AC23" s="399" t="s">
        <v>34</v>
      </c>
      <c r="AD23" s="399" t="s">
        <v>34</v>
      </c>
      <c r="AE23" s="399" t="s">
        <v>34</v>
      </c>
      <c r="AF23" s="83" t="s">
        <v>23</v>
      </c>
      <c r="AG23" s="84" t="s">
        <v>23</v>
      </c>
      <c r="AH23" s="248"/>
      <c r="AI23" s="46">
        <f>VLOOKUP(B23,'JUL25'!$B:$AK,36,0)</f>
        <v>6</v>
      </c>
      <c r="AJ23" s="16">
        <f t="shared" si="2"/>
        <v>5</v>
      </c>
      <c r="AK23" s="52">
        <f t="shared" si="3"/>
        <v>1</v>
      </c>
      <c r="AL23" s="247"/>
    </row>
    <row r="24" spans="1:38" ht="20.100000000000001" customHeight="1" thickBot="1">
      <c r="A24" s="244"/>
      <c r="B24" s="242"/>
      <c r="C24" s="262"/>
      <c r="D24" s="262"/>
      <c r="E24" s="262"/>
      <c r="F24" s="262"/>
      <c r="G24" s="243"/>
      <c r="H24" s="243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48"/>
      <c r="AI24" s="48"/>
      <c r="AJ24" s="247"/>
      <c r="AK24" s="247"/>
      <c r="AL24" s="247"/>
    </row>
    <row r="25" spans="1:38" ht="24.95" customHeight="1" thickBot="1">
      <c r="A25" s="581" t="s">
        <v>60</v>
      </c>
      <c r="B25" s="514"/>
      <c r="C25" s="514"/>
      <c r="D25" s="514"/>
      <c r="E25" s="514"/>
      <c r="F25" s="514"/>
      <c r="G25" s="514"/>
      <c r="H25" s="514"/>
      <c r="I25" s="514"/>
      <c r="J25" s="514"/>
      <c r="K25" s="514"/>
      <c r="L25" s="514"/>
      <c r="M25" s="514"/>
      <c r="N25" s="514"/>
      <c r="O25" s="514"/>
      <c r="P25" s="514"/>
      <c r="Q25" s="514"/>
      <c r="R25" s="514"/>
      <c r="S25" s="514"/>
      <c r="T25" s="514"/>
      <c r="U25" s="514"/>
      <c r="V25" s="514"/>
      <c r="W25" s="514"/>
      <c r="X25" s="514"/>
      <c r="Y25" s="514"/>
      <c r="Z25" s="514"/>
      <c r="AA25" s="514"/>
      <c r="AB25" s="514"/>
      <c r="AC25" s="514"/>
      <c r="AD25" s="650"/>
      <c r="AE25" s="650"/>
      <c r="AF25" s="761"/>
      <c r="AG25" s="640"/>
      <c r="AH25" s="248"/>
      <c r="AI25" s="48"/>
      <c r="AJ25" s="247"/>
      <c r="AK25" s="247"/>
      <c r="AL25" s="247"/>
    </row>
    <row r="26" spans="1:38" ht="18.75" customHeight="1">
      <c r="A26" s="987" t="s">
        <v>64</v>
      </c>
      <c r="B26" s="509" t="s">
        <v>65</v>
      </c>
      <c r="C26" s="231" t="s">
        <v>23</v>
      </c>
      <c r="D26" s="266" t="s">
        <v>63</v>
      </c>
      <c r="E26" s="266" t="s">
        <v>63</v>
      </c>
      <c r="F26" s="266" t="s">
        <v>63</v>
      </c>
      <c r="G26" s="266" t="s">
        <v>63</v>
      </c>
      <c r="H26" s="231" t="s">
        <v>23</v>
      </c>
      <c r="I26" s="231" t="s">
        <v>23</v>
      </c>
      <c r="J26" s="264" t="s">
        <v>24</v>
      </c>
      <c r="K26" s="264" t="s">
        <v>24</v>
      </c>
      <c r="L26" s="264" t="s">
        <v>24</v>
      </c>
      <c r="M26" s="264" t="s">
        <v>24</v>
      </c>
      <c r="N26" s="231" t="s">
        <v>23</v>
      </c>
      <c r="O26" s="231" t="s">
        <v>23</v>
      </c>
      <c r="P26" s="232" t="s">
        <v>22</v>
      </c>
      <c r="Q26" s="232" t="s">
        <v>22</v>
      </c>
      <c r="R26" s="406" t="s">
        <v>22</v>
      </c>
      <c r="S26" s="406" t="s">
        <v>22</v>
      </c>
      <c r="T26" s="231" t="s">
        <v>23</v>
      </c>
      <c r="U26" s="231" t="s">
        <v>23</v>
      </c>
      <c r="V26" s="332" t="s">
        <v>19</v>
      </c>
      <c r="W26" s="232" t="s">
        <v>22</v>
      </c>
      <c r="X26" s="232" t="s">
        <v>22</v>
      </c>
      <c r="Y26" s="232" t="s">
        <v>22</v>
      </c>
      <c r="Z26" s="231" t="s">
        <v>23</v>
      </c>
      <c r="AA26" s="231" t="s">
        <v>23</v>
      </c>
      <c r="AB26" s="264" t="s">
        <v>24</v>
      </c>
      <c r="AC26" s="264" t="s">
        <v>24</v>
      </c>
      <c r="AD26" s="264" t="s">
        <v>24</v>
      </c>
      <c r="AE26" s="264" t="s">
        <v>24</v>
      </c>
      <c r="AF26" s="231" t="s">
        <v>23</v>
      </c>
      <c r="AG26" s="234" t="s">
        <v>23</v>
      </c>
      <c r="AI26" s="4">
        <f>VLOOKUP(B26,'JUL25'!$B:$AK,36,0)</f>
        <v>16</v>
      </c>
      <c r="AJ26" s="56">
        <f t="shared" ref="AJ26:AJ36" si="4">COUNTIF(C26:AG26,"U")</f>
        <v>0</v>
      </c>
      <c r="AK26" s="57">
        <f t="shared" ref="AK26:AK41" si="5">AI26-AJ26</f>
        <v>16</v>
      </c>
    </row>
    <row r="27" spans="1:38" ht="18.75" customHeight="1">
      <c r="A27" s="987" t="s">
        <v>66</v>
      </c>
      <c r="B27" s="509" t="s">
        <v>67</v>
      </c>
      <c r="C27" s="264" t="s">
        <v>24</v>
      </c>
      <c r="D27" s="264" t="s">
        <v>24</v>
      </c>
      <c r="E27" s="264" t="s">
        <v>24</v>
      </c>
      <c r="F27" s="231" t="s">
        <v>23</v>
      </c>
      <c r="G27" s="231" t="s">
        <v>23</v>
      </c>
      <c r="H27" s="266" t="s">
        <v>63</v>
      </c>
      <c r="I27" s="266" t="s">
        <v>63</v>
      </c>
      <c r="J27" s="266" t="s">
        <v>63</v>
      </c>
      <c r="K27" s="266" t="s">
        <v>63</v>
      </c>
      <c r="L27" s="231" t="s">
        <v>23</v>
      </c>
      <c r="M27" s="231" t="s">
        <v>23</v>
      </c>
      <c r="N27" s="264" t="s">
        <v>24</v>
      </c>
      <c r="O27" s="264" t="s">
        <v>24</v>
      </c>
      <c r="P27" s="264" t="s">
        <v>24</v>
      </c>
      <c r="Q27" s="264" t="s">
        <v>24</v>
      </c>
      <c r="R27" s="231" t="s">
        <v>23</v>
      </c>
      <c r="S27" s="231" t="s">
        <v>23</v>
      </c>
      <c r="T27" s="232" t="s">
        <v>22</v>
      </c>
      <c r="U27" s="232" t="s">
        <v>22</v>
      </c>
      <c r="V27" s="348" t="s">
        <v>144</v>
      </c>
      <c r="W27" s="232" t="s">
        <v>22</v>
      </c>
      <c r="X27" s="231" t="s">
        <v>23</v>
      </c>
      <c r="Y27" s="231" t="s">
        <v>23</v>
      </c>
      <c r="Z27" s="264" t="s">
        <v>24</v>
      </c>
      <c r="AA27" s="264" t="s">
        <v>24</v>
      </c>
      <c r="AB27" s="264" t="s">
        <v>24</v>
      </c>
      <c r="AC27" s="264" t="s">
        <v>24</v>
      </c>
      <c r="AD27" s="231" t="s">
        <v>23</v>
      </c>
      <c r="AE27" s="231" t="s">
        <v>23</v>
      </c>
      <c r="AF27" s="232" t="s">
        <v>22</v>
      </c>
      <c r="AG27" s="235" t="s">
        <v>22</v>
      </c>
      <c r="AI27" s="37">
        <f>VLOOKUP(B27,'JUL25'!$B:$AK,36,0)</f>
        <v>10</v>
      </c>
      <c r="AJ27" s="35">
        <f t="shared" si="4"/>
        <v>0</v>
      </c>
      <c r="AK27" s="38">
        <f t="shared" si="5"/>
        <v>10</v>
      </c>
    </row>
    <row r="28" spans="1:38" ht="18.75" customHeight="1">
      <c r="A28" s="987" t="s">
        <v>69</v>
      </c>
      <c r="B28" s="509" t="s">
        <v>70</v>
      </c>
      <c r="C28" s="264" t="s">
        <v>24</v>
      </c>
      <c r="D28" s="231" t="s">
        <v>23</v>
      </c>
      <c r="E28" s="231" t="s">
        <v>23</v>
      </c>
      <c r="F28" s="267" t="s">
        <v>34</v>
      </c>
      <c r="G28" s="267" t="s">
        <v>34</v>
      </c>
      <c r="H28" s="267" t="s">
        <v>34</v>
      </c>
      <c r="I28" s="267" t="s">
        <v>34</v>
      </c>
      <c r="J28" s="231" t="s">
        <v>23</v>
      </c>
      <c r="K28" s="231" t="s">
        <v>23</v>
      </c>
      <c r="L28" s="267" t="s">
        <v>34</v>
      </c>
      <c r="M28" s="267" t="s">
        <v>34</v>
      </c>
      <c r="N28" s="267" t="s">
        <v>34</v>
      </c>
      <c r="O28" s="267" t="s">
        <v>34</v>
      </c>
      <c r="P28" s="231" t="s">
        <v>23</v>
      </c>
      <c r="Q28" s="231" t="s">
        <v>23</v>
      </c>
      <c r="R28" s="267" t="s">
        <v>34</v>
      </c>
      <c r="S28" s="267" t="s">
        <v>34</v>
      </c>
      <c r="T28" s="264" t="s">
        <v>24</v>
      </c>
      <c r="U28" s="264" t="s">
        <v>24</v>
      </c>
      <c r="V28" s="231" t="s">
        <v>23</v>
      </c>
      <c r="W28" s="231" t="s">
        <v>23</v>
      </c>
      <c r="X28" s="266" t="s">
        <v>63</v>
      </c>
      <c r="Y28" s="266" t="s">
        <v>63</v>
      </c>
      <c r="Z28" s="266" t="s">
        <v>63</v>
      </c>
      <c r="AA28" s="266" t="s">
        <v>63</v>
      </c>
      <c r="AB28" s="231" t="s">
        <v>23</v>
      </c>
      <c r="AC28" s="87" t="s">
        <v>53</v>
      </c>
      <c r="AD28" s="87" t="s">
        <v>148</v>
      </c>
      <c r="AE28" s="264" t="s">
        <v>24</v>
      </c>
      <c r="AF28" s="264" t="s">
        <v>24</v>
      </c>
      <c r="AG28" s="265" t="s">
        <v>24</v>
      </c>
      <c r="AI28" s="37">
        <f>VLOOKUP(B28,'JUL25'!$B:$AK,36,0)</f>
        <v>11</v>
      </c>
      <c r="AJ28" s="35">
        <f t="shared" si="4"/>
        <v>10</v>
      </c>
      <c r="AK28" s="38">
        <f t="shared" si="5"/>
        <v>1</v>
      </c>
    </row>
    <row r="29" spans="1:38" ht="18.75" customHeight="1">
      <c r="A29" s="987" t="s">
        <v>71</v>
      </c>
      <c r="B29" s="509" t="s">
        <v>72</v>
      </c>
      <c r="C29" s="231" t="s">
        <v>23</v>
      </c>
      <c r="D29" s="267" t="s">
        <v>34</v>
      </c>
      <c r="E29" s="267" t="s">
        <v>34</v>
      </c>
      <c r="F29" s="264" t="s">
        <v>24</v>
      </c>
      <c r="G29" s="264" t="s">
        <v>24</v>
      </c>
      <c r="H29" s="231" t="s">
        <v>23</v>
      </c>
      <c r="I29" s="231" t="s">
        <v>23</v>
      </c>
      <c r="J29" s="266" t="s">
        <v>63</v>
      </c>
      <c r="K29" s="266" t="s">
        <v>63</v>
      </c>
      <c r="L29" s="266" t="s">
        <v>63</v>
      </c>
      <c r="M29" s="266" t="s">
        <v>63</v>
      </c>
      <c r="N29" s="231" t="s">
        <v>23</v>
      </c>
      <c r="O29" s="231" t="s">
        <v>23</v>
      </c>
      <c r="P29" s="264" t="s">
        <v>24</v>
      </c>
      <c r="Q29" s="264" t="s">
        <v>24</v>
      </c>
      <c r="R29" s="264" t="s">
        <v>24</v>
      </c>
      <c r="S29" s="264" t="s">
        <v>24</v>
      </c>
      <c r="T29" s="231" t="s">
        <v>23</v>
      </c>
      <c r="U29" s="231" t="s">
        <v>23</v>
      </c>
      <c r="V29" s="264" t="s">
        <v>24</v>
      </c>
      <c r="W29" s="264" t="s">
        <v>24</v>
      </c>
      <c r="X29" s="264" t="s">
        <v>24</v>
      </c>
      <c r="Y29" s="264" t="s">
        <v>24</v>
      </c>
      <c r="Z29" s="231" t="s">
        <v>23</v>
      </c>
      <c r="AA29" s="231" t="s">
        <v>23</v>
      </c>
      <c r="AB29" s="406" t="s">
        <v>22</v>
      </c>
      <c r="AC29" s="406" t="s">
        <v>22</v>
      </c>
      <c r="AD29" s="406" t="s">
        <v>22</v>
      </c>
      <c r="AE29" s="406" t="s">
        <v>22</v>
      </c>
      <c r="AF29" s="231" t="s">
        <v>23</v>
      </c>
      <c r="AG29" s="234" t="s">
        <v>23</v>
      </c>
      <c r="AI29" s="37">
        <f>VLOOKUP(B29,'JUL25'!$B:$AK,36,0)</f>
        <v>0</v>
      </c>
      <c r="AJ29" s="35">
        <f t="shared" si="4"/>
        <v>2</v>
      </c>
      <c r="AK29" s="38">
        <f t="shared" si="5"/>
        <v>-2</v>
      </c>
    </row>
    <row r="30" spans="1:38" ht="18.75" customHeight="1">
      <c r="A30" s="987" t="s">
        <v>73</v>
      </c>
      <c r="B30" s="509" t="s">
        <v>74</v>
      </c>
      <c r="C30" s="232" t="s">
        <v>22</v>
      </c>
      <c r="D30" s="232" t="s">
        <v>22</v>
      </c>
      <c r="E30" s="232" t="s">
        <v>22</v>
      </c>
      <c r="F30" s="231" t="s">
        <v>23</v>
      </c>
      <c r="G30" s="231" t="s">
        <v>23</v>
      </c>
      <c r="H30" s="264" t="s">
        <v>24</v>
      </c>
      <c r="I30" s="87" t="s">
        <v>53</v>
      </c>
      <c r="J30" s="264" t="s">
        <v>24</v>
      </c>
      <c r="K30" s="264" t="s">
        <v>24</v>
      </c>
      <c r="L30" s="231" t="s">
        <v>23</v>
      </c>
      <c r="M30" s="231" t="s">
        <v>23</v>
      </c>
      <c r="N30" s="406" t="s">
        <v>22</v>
      </c>
      <c r="O30" s="406" t="s">
        <v>22</v>
      </c>
      <c r="P30" s="406" t="s">
        <v>22</v>
      </c>
      <c r="Q30" s="406" t="s">
        <v>22</v>
      </c>
      <c r="R30" s="231" t="s">
        <v>23</v>
      </c>
      <c r="S30" s="231" t="s">
        <v>23</v>
      </c>
      <c r="T30" s="266" t="s">
        <v>63</v>
      </c>
      <c r="U30" s="266" t="s">
        <v>63</v>
      </c>
      <c r="V30" s="266" t="s">
        <v>63</v>
      </c>
      <c r="W30" s="266" t="s">
        <v>63</v>
      </c>
      <c r="X30" s="231" t="s">
        <v>23</v>
      </c>
      <c r="Y30" s="231" t="s">
        <v>23</v>
      </c>
      <c r="Z30" s="264" t="s">
        <v>24</v>
      </c>
      <c r="AA30" s="264" t="s">
        <v>24</v>
      </c>
      <c r="AB30" s="264" t="s">
        <v>24</v>
      </c>
      <c r="AC30" s="264" t="s">
        <v>24</v>
      </c>
      <c r="AD30" s="231" t="s">
        <v>23</v>
      </c>
      <c r="AE30" s="231" t="s">
        <v>23</v>
      </c>
      <c r="AF30" s="406" t="s">
        <v>22</v>
      </c>
      <c r="AG30" s="337" t="s">
        <v>68</v>
      </c>
      <c r="AI30" s="37">
        <f>VLOOKUP(B30,'JUL25'!$B:$AK,36,0)</f>
        <v>5</v>
      </c>
      <c r="AJ30" s="35">
        <f t="shared" si="4"/>
        <v>0</v>
      </c>
      <c r="AK30" s="38">
        <f t="shared" si="5"/>
        <v>5</v>
      </c>
    </row>
    <row r="31" spans="1:38" ht="18.75" customHeight="1">
      <c r="A31" s="987" t="s">
        <v>75</v>
      </c>
      <c r="B31" s="509" t="s">
        <v>76</v>
      </c>
      <c r="C31" s="264" t="s">
        <v>24</v>
      </c>
      <c r="D31" s="231" t="s">
        <v>23</v>
      </c>
      <c r="E31" s="231" t="s">
        <v>23</v>
      </c>
      <c r="F31" s="232" t="s">
        <v>22</v>
      </c>
      <c r="G31" s="232" t="s">
        <v>22</v>
      </c>
      <c r="H31" s="232" t="s">
        <v>22</v>
      </c>
      <c r="I31" s="232" t="s">
        <v>22</v>
      </c>
      <c r="J31" s="231" t="s">
        <v>23</v>
      </c>
      <c r="K31" s="231" t="s">
        <v>23</v>
      </c>
      <c r="L31" s="264" t="s">
        <v>24</v>
      </c>
      <c r="M31" s="264" t="s">
        <v>24</v>
      </c>
      <c r="N31" s="264" t="s">
        <v>24</v>
      </c>
      <c r="O31" s="264" t="s">
        <v>24</v>
      </c>
      <c r="P31" s="231" t="s">
        <v>23</v>
      </c>
      <c r="Q31" s="231" t="s">
        <v>23</v>
      </c>
      <c r="R31" s="232" t="s">
        <v>22</v>
      </c>
      <c r="S31" s="232" t="s">
        <v>22</v>
      </c>
      <c r="T31" s="92" t="s">
        <v>34</v>
      </c>
      <c r="U31" s="92" t="s">
        <v>34</v>
      </c>
      <c r="V31" s="231" t="s">
        <v>23</v>
      </c>
      <c r="W31" s="231" t="s">
        <v>23</v>
      </c>
      <c r="X31" s="92" t="s">
        <v>34</v>
      </c>
      <c r="Y31" s="92" t="s">
        <v>34</v>
      </c>
      <c r="Z31" s="92" t="s">
        <v>34</v>
      </c>
      <c r="AA31" s="92" t="s">
        <v>34</v>
      </c>
      <c r="AB31" s="231" t="s">
        <v>23</v>
      </c>
      <c r="AC31" s="231" t="s">
        <v>23</v>
      </c>
      <c r="AD31" s="92" t="s">
        <v>34</v>
      </c>
      <c r="AE31" s="92" t="s">
        <v>34</v>
      </c>
      <c r="AF31" s="92" t="s">
        <v>34</v>
      </c>
      <c r="AG31" s="93" t="s">
        <v>34</v>
      </c>
      <c r="AI31" s="37">
        <f>VLOOKUP(B31,'JUL25'!$B:$AK,36,0)</f>
        <v>21</v>
      </c>
      <c r="AJ31" s="35">
        <f t="shared" si="4"/>
        <v>10</v>
      </c>
      <c r="AK31" s="38">
        <f t="shared" si="5"/>
        <v>11</v>
      </c>
    </row>
    <row r="32" spans="1:38" ht="18.75" customHeight="1">
      <c r="A32" s="987" t="s">
        <v>77</v>
      </c>
      <c r="B32" s="509" t="s">
        <v>78</v>
      </c>
      <c r="C32" s="286" t="s">
        <v>108</v>
      </c>
      <c r="D32" s="286" t="s">
        <v>108</v>
      </c>
      <c r="E32" s="286" t="s">
        <v>108</v>
      </c>
      <c r="F32" s="286" t="s">
        <v>108</v>
      </c>
      <c r="G32" s="286" t="s">
        <v>108</v>
      </c>
      <c r="H32" s="286" t="s">
        <v>108</v>
      </c>
      <c r="I32" s="286" t="s">
        <v>108</v>
      </c>
      <c r="J32" s="286" t="s">
        <v>108</v>
      </c>
      <c r="K32" s="286" t="s">
        <v>108</v>
      </c>
      <c r="L32" s="286" t="s">
        <v>108</v>
      </c>
      <c r="M32" s="286" t="s">
        <v>108</v>
      </c>
      <c r="N32" s="286" t="s">
        <v>108</v>
      </c>
      <c r="O32" s="286" t="s">
        <v>108</v>
      </c>
      <c r="P32" s="286" t="s">
        <v>108</v>
      </c>
      <c r="Q32" s="286" t="s">
        <v>108</v>
      </c>
      <c r="R32" s="286" t="s">
        <v>108</v>
      </c>
      <c r="S32" s="286" t="s">
        <v>108</v>
      </c>
      <c r="T32" s="286" t="s">
        <v>108</v>
      </c>
      <c r="U32" s="286" t="s">
        <v>108</v>
      </c>
      <c r="V32" s="286" t="s">
        <v>108</v>
      </c>
      <c r="W32" s="286" t="s">
        <v>108</v>
      </c>
      <c r="X32" s="286" t="s">
        <v>108</v>
      </c>
      <c r="Y32" s="286" t="s">
        <v>108</v>
      </c>
      <c r="Z32" s="286" t="s">
        <v>108</v>
      </c>
      <c r="AA32" s="286" t="s">
        <v>108</v>
      </c>
      <c r="AB32" s="286" t="s">
        <v>108</v>
      </c>
      <c r="AC32" s="286" t="s">
        <v>108</v>
      </c>
      <c r="AD32" s="286" t="s">
        <v>108</v>
      </c>
      <c r="AE32" s="286" t="s">
        <v>108</v>
      </c>
      <c r="AF32" s="231" t="s">
        <v>23</v>
      </c>
      <c r="AG32" s="234" t="s">
        <v>23</v>
      </c>
      <c r="AI32" s="37">
        <f>VLOOKUP(B32,'JUL25'!$B:$AK,36,0)</f>
        <v>18</v>
      </c>
      <c r="AJ32" s="35">
        <f t="shared" si="4"/>
        <v>0</v>
      </c>
      <c r="AK32" s="38">
        <f t="shared" si="5"/>
        <v>18</v>
      </c>
    </row>
    <row r="33" spans="1:37" ht="18.75" customHeight="1">
      <c r="A33" s="987" t="s">
        <v>79</v>
      </c>
      <c r="B33" s="509" t="s">
        <v>80</v>
      </c>
      <c r="C33" s="266" t="s">
        <v>63</v>
      </c>
      <c r="D33" s="266" t="s">
        <v>63</v>
      </c>
      <c r="E33" s="266" t="s">
        <v>63</v>
      </c>
      <c r="F33" s="231" t="s">
        <v>23</v>
      </c>
      <c r="G33" s="231" t="s">
        <v>23</v>
      </c>
      <c r="H33" s="264" t="s">
        <v>24</v>
      </c>
      <c r="I33" s="264" t="s">
        <v>24</v>
      </c>
      <c r="J33" s="264" t="s">
        <v>24</v>
      </c>
      <c r="K33" s="264" t="s">
        <v>24</v>
      </c>
      <c r="L33" s="231" t="s">
        <v>23</v>
      </c>
      <c r="M33" s="231" t="s">
        <v>23</v>
      </c>
      <c r="N33" s="232" t="s">
        <v>22</v>
      </c>
      <c r="O33" s="232" t="s">
        <v>22</v>
      </c>
      <c r="P33" s="232" t="s">
        <v>22</v>
      </c>
      <c r="Q33" s="708" t="s">
        <v>30</v>
      </c>
      <c r="R33" s="231" t="s">
        <v>23</v>
      </c>
      <c r="S33" s="231" t="s">
        <v>23</v>
      </c>
      <c r="T33" s="232" t="s">
        <v>22</v>
      </c>
      <c r="U33" s="232" t="s">
        <v>22</v>
      </c>
      <c r="V33" s="332" t="s">
        <v>68</v>
      </c>
      <c r="W33" s="232" t="s">
        <v>22</v>
      </c>
      <c r="X33" s="231" t="s">
        <v>23</v>
      </c>
      <c r="Y33" s="231" t="s">
        <v>23</v>
      </c>
      <c r="Z33" s="232" t="s">
        <v>22</v>
      </c>
      <c r="AA33" s="232" t="s">
        <v>22</v>
      </c>
      <c r="AB33" s="348" t="s">
        <v>144</v>
      </c>
      <c r="AC33" s="232" t="s">
        <v>22</v>
      </c>
      <c r="AD33" s="231" t="s">
        <v>23</v>
      </c>
      <c r="AE33" s="231" t="s">
        <v>23</v>
      </c>
      <c r="AF33" s="266" t="s">
        <v>63</v>
      </c>
      <c r="AG33" s="263" t="s">
        <v>63</v>
      </c>
      <c r="AI33" s="37">
        <f>VLOOKUP(B33,'JUL25'!$B:$AK,36,0)</f>
        <v>10</v>
      </c>
      <c r="AJ33" s="35">
        <f t="shared" si="4"/>
        <v>0</v>
      </c>
      <c r="AK33" s="38">
        <f t="shared" si="5"/>
        <v>10</v>
      </c>
    </row>
    <row r="34" spans="1:37" ht="18.75" customHeight="1">
      <c r="A34" s="987" t="s">
        <v>81</v>
      </c>
      <c r="B34" s="509" t="s">
        <v>82</v>
      </c>
      <c r="C34" s="232" t="s">
        <v>22</v>
      </c>
      <c r="D34" s="231" t="s">
        <v>23</v>
      </c>
      <c r="E34" s="231" t="s">
        <v>23</v>
      </c>
      <c r="F34" s="286" t="s">
        <v>108</v>
      </c>
      <c r="G34" s="286" t="s">
        <v>108</v>
      </c>
      <c r="H34" s="286" t="s">
        <v>108</v>
      </c>
      <c r="I34" s="286" t="s">
        <v>108</v>
      </c>
      <c r="J34" s="286" t="s">
        <v>108</v>
      </c>
      <c r="K34" s="286" t="s">
        <v>108</v>
      </c>
      <c r="L34" s="286" t="s">
        <v>108</v>
      </c>
      <c r="M34" s="286" t="s">
        <v>108</v>
      </c>
      <c r="N34" s="286" t="s">
        <v>108</v>
      </c>
      <c r="O34" s="286" t="s">
        <v>108</v>
      </c>
      <c r="P34" s="286" t="s">
        <v>108</v>
      </c>
      <c r="Q34" s="286" t="s">
        <v>108</v>
      </c>
      <c r="R34" s="286" t="s">
        <v>108</v>
      </c>
      <c r="S34" s="286" t="s">
        <v>108</v>
      </c>
      <c r="T34" s="286" t="s">
        <v>108</v>
      </c>
      <c r="U34" s="286" t="s">
        <v>108</v>
      </c>
      <c r="V34" s="286" t="s">
        <v>108</v>
      </c>
      <c r="W34" s="286" t="s">
        <v>108</v>
      </c>
      <c r="X34" s="286" t="s">
        <v>108</v>
      </c>
      <c r="Y34" s="286" t="s">
        <v>108</v>
      </c>
      <c r="Z34" s="286" t="s">
        <v>108</v>
      </c>
      <c r="AA34" s="286" t="s">
        <v>108</v>
      </c>
      <c r="AB34" s="286" t="s">
        <v>108</v>
      </c>
      <c r="AC34" s="286" t="s">
        <v>108</v>
      </c>
      <c r="AD34" s="286" t="s">
        <v>108</v>
      </c>
      <c r="AE34" s="286" t="s">
        <v>108</v>
      </c>
      <c r="AF34" s="286" t="s">
        <v>108</v>
      </c>
      <c r="AG34" s="318" t="s">
        <v>108</v>
      </c>
      <c r="AI34" s="37">
        <f>VLOOKUP(B34,'JUL25'!$B:$AK,36,0)</f>
        <v>10</v>
      </c>
      <c r="AJ34" s="35">
        <f t="shared" si="4"/>
        <v>0</v>
      </c>
      <c r="AK34" s="38">
        <f t="shared" si="5"/>
        <v>10</v>
      </c>
    </row>
    <row r="35" spans="1:37" ht="18.75" customHeight="1">
      <c r="A35" s="987" t="s">
        <v>85</v>
      </c>
      <c r="B35" s="509" t="s">
        <v>86</v>
      </c>
      <c r="C35" s="231" t="s">
        <v>23</v>
      </c>
      <c r="D35" s="267" t="s">
        <v>34</v>
      </c>
      <c r="E35" s="267" t="s">
        <v>34</v>
      </c>
      <c r="F35" s="87" t="s">
        <v>53</v>
      </c>
      <c r="G35" s="267" t="s">
        <v>34</v>
      </c>
      <c r="H35" s="231" t="s">
        <v>23</v>
      </c>
      <c r="I35" s="231" t="s">
        <v>23</v>
      </c>
      <c r="J35" s="232" t="s">
        <v>22</v>
      </c>
      <c r="K35" s="232" t="s">
        <v>22</v>
      </c>
      <c r="L35" s="232" t="s">
        <v>22</v>
      </c>
      <c r="M35" s="232" t="s">
        <v>22</v>
      </c>
      <c r="N35" s="231" t="s">
        <v>23</v>
      </c>
      <c r="O35" s="231" t="s">
        <v>23</v>
      </c>
      <c r="P35" s="266" t="s">
        <v>63</v>
      </c>
      <c r="Q35" s="266" t="s">
        <v>63</v>
      </c>
      <c r="R35" s="266" t="s">
        <v>63</v>
      </c>
      <c r="S35" s="266" t="s">
        <v>63</v>
      </c>
      <c r="T35" s="231" t="s">
        <v>23</v>
      </c>
      <c r="U35" s="231" t="s">
        <v>23</v>
      </c>
      <c r="V35" s="264" t="s">
        <v>24</v>
      </c>
      <c r="W35" s="264" t="s">
        <v>24</v>
      </c>
      <c r="X35" s="264" t="s">
        <v>24</v>
      </c>
      <c r="Y35" s="264" t="s">
        <v>24</v>
      </c>
      <c r="Z35" s="231" t="s">
        <v>23</v>
      </c>
      <c r="AA35" s="231" t="s">
        <v>23</v>
      </c>
      <c r="AB35" s="348" t="s">
        <v>144</v>
      </c>
      <c r="AC35" s="232" t="s">
        <v>22</v>
      </c>
      <c r="AD35" s="232" t="s">
        <v>22</v>
      </c>
      <c r="AE35" s="232" t="s">
        <v>22</v>
      </c>
      <c r="AF35" s="231" t="s">
        <v>23</v>
      </c>
      <c r="AG35" s="234" t="s">
        <v>23</v>
      </c>
      <c r="AI35" s="37">
        <f>VLOOKUP(B35,'JUL25'!$B:$AK,36,0)</f>
        <v>15</v>
      </c>
      <c r="AJ35" s="35">
        <f t="shared" si="4"/>
        <v>3</v>
      </c>
      <c r="AK35" s="38">
        <f t="shared" si="5"/>
        <v>12</v>
      </c>
    </row>
    <row r="36" spans="1:37" ht="18.75" customHeight="1">
      <c r="A36" s="987" t="s">
        <v>87</v>
      </c>
      <c r="B36" s="509" t="s">
        <v>88</v>
      </c>
      <c r="C36" s="339" t="s">
        <v>184</v>
      </c>
      <c r="D36" s="29" t="s">
        <v>23</v>
      </c>
      <c r="E36" s="29" t="s">
        <v>23</v>
      </c>
      <c r="F36" s="231" t="s">
        <v>23</v>
      </c>
      <c r="G36" s="232" t="s">
        <v>22</v>
      </c>
      <c r="H36" s="232" t="s">
        <v>22</v>
      </c>
      <c r="I36" s="232" t="s">
        <v>22</v>
      </c>
      <c r="J36" s="232" t="s">
        <v>22</v>
      </c>
      <c r="K36" s="232" t="s">
        <v>22</v>
      </c>
      <c r="L36" s="231" t="s">
        <v>23</v>
      </c>
      <c r="M36" s="231" t="s">
        <v>23</v>
      </c>
      <c r="N36" s="266" t="s">
        <v>63</v>
      </c>
      <c r="O36" s="266" t="s">
        <v>63</v>
      </c>
      <c r="P36" s="266" t="s">
        <v>63</v>
      </c>
      <c r="Q36" s="266" t="s">
        <v>63</v>
      </c>
      <c r="R36" s="231" t="s">
        <v>23</v>
      </c>
      <c r="S36" s="231" t="s">
        <v>23</v>
      </c>
      <c r="T36" s="264" t="s">
        <v>24</v>
      </c>
      <c r="U36" s="332" t="s">
        <v>19</v>
      </c>
      <c r="V36" s="332" t="s">
        <v>19</v>
      </c>
      <c r="W36" s="332" t="s">
        <v>19</v>
      </c>
      <c r="X36" s="231" t="s">
        <v>23</v>
      </c>
      <c r="Y36" s="231" t="s">
        <v>23</v>
      </c>
      <c r="Z36" s="232" t="s">
        <v>22</v>
      </c>
      <c r="AA36" s="232" t="s">
        <v>22</v>
      </c>
      <c r="AB36" s="232" t="s">
        <v>22</v>
      </c>
      <c r="AC36" s="232" t="s">
        <v>22</v>
      </c>
      <c r="AD36" s="231" t="s">
        <v>23</v>
      </c>
      <c r="AE36" s="231" t="s">
        <v>23</v>
      </c>
      <c r="AF36" s="264" t="s">
        <v>24</v>
      </c>
      <c r="AG36" s="265" t="s">
        <v>24</v>
      </c>
      <c r="AI36" s="37">
        <f>VLOOKUP(B36,'JUL25'!$B:$AK,36,0)</f>
        <v>14</v>
      </c>
      <c r="AJ36" s="35">
        <f t="shared" si="4"/>
        <v>0</v>
      </c>
      <c r="AK36" s="38">
        <f t="shared" si="5"/>
        <v>14</v>
      </c>
    </row>
    <row r="37" spans="1:37" ht="18.75" customHeight="1" thickBot="1">
      <c r="A37" s="988" t="s">
        <v>90</v>
      </c>
      <c r="B37" s="508" t="s">
        <v>91</v>
      </c>
      <c r="C37" s="342" t="s">
        <v>108</v>
      </c>
      <c r="D37" s="342" t="s">
        <v>108</v>
      </c>
      <c r="E37" s="342" t="s">
        <v>108</v>
      </c>
      <c r="F37" s="342" t="s">
        <v>108</v>
      </c>
      <c r="G37" s="342" t="s">
        <v>108</v>
      </c>
      <c r="H37" s="342" t="s">
        <v>108</v>
      </c>
      <c r="I37" s="342" t="s">
        <v>108</v>
      </c>
      <c r="J37" s="342" t="s">
        <v>108</v>
      </c>
      <c r="K37" s="342" t="s">
        <v>108</v>
      </c>
      <c r="L37" s="342" t="s">
        <v>108</v>
      </c>
      <c r="M37" s="342" t="s">
        <v>108</v>
      </c>
      <c r="N37" s="342" t="s">
        <v>108</v>
      </c>
      <c r="O37" s="342" t="s">
        <v>108</v>
      </c>
      <c r="P37" s="342" t="s">
        <v>108</v>
      </c>
      <c r="Q37" s="342" t="s">
        <v>108</v>
      </c>
      <c r="R37" s="342" t="s">
        <v>108</v>
      </c>
      <c r="S37" s="342" t="s">
        <v>108</v>
      </c>
      <c r="T37" s="342" t="s">
        <v>108</v>
      </c>
      <c r="U37" s="342" t="s">
        <v>108</v>
      </c>
      <c r="V37" s="342" t="s">
        <v>108</v>
      </c>
      <c r="W37" s="342" t="s">
        <v>108</v>
      </c>
      <c r="X37" s="342" t="s">
        <v>108</v>
      </c>
      <c r="Y37" s="342" t="s">
        <v>108</v>
      </c>
      <c r="Z37" s="342" t="s">
        <v>108</v>
      </c>
      <c r="AA37" s="342" t="s">
        <v>108</v>
      </c>
      <c r="AB37" s="342" t="s">
        <v>108</v>
      </c>
      <c r="AC37" s="342" t="s">
        <v>108</v>
      </c>
      <c r="AD37" s="342" t="s">
        <v>108</v>
      </c>
      <c r="AE37" s="342" t="s">
        <v>108</v>
      </c>
      <c r="AF37" s="342" t="s">
        <v>108</v>
      </c>
      <c r="AG37" s="343" t="s">
        <v>108</v>
      </c>
      <c r="AI37" s="46">
        <f>VLOOKUP(B37,'JUL25'!$B:$AK,36,0)</f>
        <v>11</v>
      </c>
      <c r="AJ37" s="16">
        <f>COUNTIF(C37:AG37,"U")</f>
        <v>0</v>
      </c>
      <c r="AK37" s="52">
        <f t="shared" si="5"/>
        <v>11</v>
      </c>
    </row>
    <row r="38" spans="1:37" ht="20.100000000000001" customHeight="1" thickBot="1">
      <c r="A38" s="864"/>
      <c r="B38" s="249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I38" s="247"/>
      <c r="AJ38" s="247"/>
      <c r="AK38" s="247"/>
    </row>
    <row r="39" spans="1:37" ht="24.95" customHeight="1" thickBot="1">
      <c r="A39" s="581" t="s">
        <v>197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Y39" s="514"/>
      <c r="Z39" s="514"/>
      <c r="AA39" s="514"/>
      <c r="AB39" s="514"/>
      <c r="AC39" s="514"/>
      <c r="AD39" s="650"/>
      <c r="AE39" s="650"/>
      <c r="AF39" s="761"/>
      <c r="AG39" s="640"/>
      <c r="AI39" s="247"/>
      <c r="AJ39" s="247"/>
      <c r="AK39" s="247"/>
    </row>
    <row r="40" spans="1:37" ht="18.75" customHeight="1">
      <c r="A40" s="987" t="s">
        <v>98</v>
      </c>
      <c r="B40" s="509" t="s">
        <v>99</v>
      </c>
      <c r="C40" s="29" t="s">
        <v>23</v>
      </c>
      <c r="D40" s="29" t="s">
        <v>23</v>
      </c>
      <c r="E40" s="352" t="s">
        <v>147</v>
      </c>
      <c r="F40" s="865" t="s">
        <v>48</v>
      </c>
      <c r="G40" s="865" t="s">
        <v>48</v>
      </c>
      <c r="H40" s="865" t="s">
        <v>48</v>
      </c>
      <c r="I40" s="29" t="s">
        <v>23</v>
      </c>
      <c r="J40" s="29" t="s">
        <v>23</v>
      </c>
      <c r="K40" s="232" t="s">
        <v>22</v>
      </c>
      <c r="L40" s="232" t="s">
        <v>22</v>
      </c>
      <c r="M40" s="232" t="s">
        <v>22</v>
      </c>
      <c r="N40" s="232" t="s">
        <v>22</v>
      </c>
      <c r="O40" s="29" t="s">
        <v>23</v>
      </c>
      <c r="P40" s="29" t="s">
        <v>23</v>
      </c>
      <c r="Q40" s="708" t="s">
        <v>30</v>
      </c>
      <c r="R40" s="264" t="s">
        <v>24</v>
      </c>
      <c r="S40" s="264" t="s">
        <v>24</v>
      </c>
      <c r="T40" s="264" t="s">
        <v>24</v>
      </c>
      <c r="U40" s="29" t="s">
        <v>23</v>
      </c>
      <c r="V40" s="29" t="s">
        <v>23</v>
      </c>
      <c r="W40" s="232" t="s">
        <v>22</v>
      </c>
      <c r="X40" s="232" t="s">
        <v>22</v>
      </c>
      <c r="Y40" s="232" t="s">
        <v>22</v>
      </c>
      <c r="Z40" s="232" t="s">
        <v>22</v>
      </c>
      <c r="AA40" s="29" t="s">
        <v>23</v>
      </c>
      <c r="AB40" s="29" t="s">
        <v>23</v>
      </c>
      <c r="AC40" s="396" t="s">
        <v>146</v>
      </c>
      <c r="AD40" s="264" t="s">
        <v>24</v>
      </c>
      <c r="AE40" s="264" t="s">
        <v>24</v>
      </c>
      <c r="AF40" s="264" t="s">
        <v>24</v>
      </c>
      <c r="AG40" s="78" t="s">
        <v>23</v>
      </c>
      <c r="AI40" s="4">
        <f>VLOOKUP(B40,'JUL25'!$B:$AK,36,0)</f>
        <v>11</v>
      </c>
      <c r="AJ40" s="56">
        <f t="shared" ref="AJ40:AJ41" si="6">COUNTIF(C40:AG40,"U")</f>
        <v>0</v>
      </c>
      <c r="AK40" s="57">
        <f t="shared" si="5"/>
        <v>11</v>
      </c>
    </row>
    <row r="41" spans="1:37" ht="18.75" customHeight="1">
      <c r="A41" s="987" t="s">
        <v>123</v>
      </c>
      <c r="B41" s="509" t="s">
        <v>124</v>
      </c>
      <c r="C41" s="232" t="s">
        <v>22</v>
      </c>
      <c r="D41" s="232" t="s">
        <v>22</v>
      </c>
      <c r="E41" s="232" t="s">
        <v>22</v>
      </c>
      <c r="F41" s="232" t="s">
        <v>22</v>
      </c>
      <c r="G41" s="29" t="s">
        <v>23</v>
      </c>
      <c r="H41" s="29" t="s">
        <v>23</v>
      </c>
      <c r="I41" s="264" t="s">
        <v>24</v>
      </c>
      <c r="J41" s="264" t="s">
        <v>24</v>
      </c>
      <c r="K41" s="348" t="s">
        <v>147</v>
      </c>
      <c r="L41" s="232" t="s">
        <v>103</v>
      </c>
      <c r="M41" s="29" t="s">
        <v>23</v>
      </c>
      <c r="N41" s="29" t="s">
        <v>23</v>
      </c>
      <c r="O41" s="232" t="s">
        <v>22</v>
      </c>
      <c r="P41" s="232" t="s">
        <v>22</v>
      </c>
      <c r="Q41" s="232" t="s">
        <v>22</v>
      </c>
      <c r="R41" s="232" t="s">
        <v>22</v>
      </c>
      <c r="S41" s="29" t="s">
        <v>23</v>
      </c>
      <c r="T41" s="29" t="s">
        <v>23</v>
      </c>
      <c r="U41" s="332" t="s">
        <v>89</v>
      </c>
      <c r="V41" s="264" t="s">
        <v>24</v>
      </c>
      <c r="W41" s="264" t="s">
        <v>24</v>
      </c>
      <c r="X41" s="264" t="s">
        <v>24</v>
      </c>
      <c r="Y41" s="29" t="s">
        <v>23</v>
      </c>
      <c r="Z41" s="29" t="s">
        <v>23</v>
      </c>
      <c r="AA41" s="232" t="s">
        <v>22</v>
      </c>
      <c r="AB41" s="232" t="s">
        <v>22</v>
      </c>
      <c r="AC41" s="232" t="s">
        <v>22</v>
      </c>
      <c r="AD41" s="232" t="s">
        <v>22</v>
      </c>
      <c r="AE41" s="29" t="s">
        <v>23</v>
      </c>
      <c r="AF41" s="29" t="s">
        <v>23</v>
      </c>
      <c r="AG41" s="265" t="s">
        <v>24</v>
      </c>
      <c r="AI41" s="37">
        <f>VLOOKUP(B41,'JUL25'!$B:$AK,36,0)</f>
        <v>15</v>
      </c>
      <c r="AJ41" s="35">
        <f t="shared" si="6"/>
        <v>0</v>
      </c>
      <c r="AK41" s="38">
        <f t="shared" si="5"/>
        <v>15</v>
      </c>
    </row>
    <row r="42" spans="1:37" ht="18.75" customHeight="1" thickBot="1">
      <c r="A42" s="988" t="s">
        <v>94</v>
      </c>
      <c r="B42" s="508" t="s">
        <v>95</v>
      </c>
      <c r="C42" s="237" t="s">
        <v>24</v>
      </c>
      <c r="D42" s="237" t="s">
        <v>24</v>
      </c>
      <c r="E42" s="24" t="s">
        <v>23</v>
      </c>
      <c r="F42" s="24" t="s">
        <v>23</v>
      </c>
      <c r="G42" s="873" t="s">
        <v>48</v>
      </c>
      <c r="H42" s="873" t="s">
        <v>48</v>
      </c>
      <c r="I42" s="873" t="s">
        <v>48</v>
      </c>
      <c r="J42" s="874" t="s">
        <v>181</v>
      </c>
      <c r="K42" s="24" t="s">
        <v>23</v>
      </c>
      <c r="L42" s="24" t="s">
        <v>23</v>
      </c>
      <c r="M42" s="237" t="s">
        <v>24</v>
      </c>
      <c r="N42" s="237" t="s">
        <v>24</v>
      </c>
      <c r="O42" s="237" t="s">
        <v>24</v>
      </c>
      <c r="P42" s="237" t="s">
        <v>24</v>
      </c>
      <c r="Q42" s="24" t="s">
        <v>23</v>
      </c>
      <c r="R42" s="24" t="s">
        <v>23</v>
      </c>
      <c r="S42" s="223" t="s">
        <v>22</v>
      </c>
      <c r="T42" s="409" t="s">
        <v>22</v>
      </c>
      <c r="U42" s="409" t="s">
        <v>22</v>
      </c>
      <c r="V42" s="409" t="s">
        <v>22</v>
      </c>
      <c r="W42" s="24" t="s">
        <v>23</v>
      </c>
      <c r="X42" s="24" t="s">
        <v>23</v>
      </c>
      <c r="Y42" s="237" t="s">
        <v>24</v>
      </c>
      <c r="Z42" s="237" t="s">
        <v>24</v>
      </c>
      <c r="AA42" s="237" t="s">
        <v>24</v>
      </c>
      <c r="AB42" s="237" t="s">
        <v>24</v>
      </c>
      <c r="AC42" s="24" t="s">
        <v>23</v>
      </c>
      <c r="AD42" s="24" t="s">
        <v>23</v>
      </c>
      <c r="AE42" s="223" t="s">
        <v>22</v>
      </c>
      <c r="AF42" s="223" t="s">
        <v>22</v>
      </c>
      <c r="AG42" s="222" t="s">
        <v>22</v>
      </c>
      <c r="AI42" s="46">
        <f>VLOOKUP(B42,'JUL25'!$B:$AK,36,0)</f>
        <v>19</v>
      </c>
      <c r="AJ42" s="16">
        <f>COUNTIF(C42:AG42,"U")</f>
        <v>0</v>
      </c>
      <c r="AK42" s="52">
        <f>AI42-AJ42</f>
        <v>19</v>
      </c>
    </row>
    <row r="43" spans="1:37" ht="20.100000000000001" customHeight="1">
      <c r="A43" s="864"/>
      <c r="B43" s="249"/>
      <c r="C43" s="98"/>
      <c r="D43" s="98"/>
      <c r="E43" s="244"/>
      <c r="F43" s="244"/>
      <c r="G43" s="244"/>
      <c r="H43" s="244"/>
      <c r="I43" s="98"/>
      <c r="J43" s="98"/>
      <c r="K43" s="243"/>
      <c r="L43" s="243"/>
      <c r="M43" s="243"/>
      <c r="N43" s="243"/>
      <c r="O43" s="98"/>
      <c r="P43" s="98"/>
      <c r="Q43" s="863"/>
      <c r="R43" s="863"/>
      <c r="S43" s="863"/>
      <c r="T43" s="863"/>
      <c r="U43" s="98"/>
      <c r="V43" s="98"/>
      <c r="W43" s="244"/>
      <c r="X43" s="244"/>
      <c r="Y43" s="244"/>
      <c r="Z43" s="244"/>
      <c r="AA43" s="98"/>
      <c r="AB43" s="98"/>
      <c r="AC43" s="244"/>
      <c r="AD43" s="244"/>
      <c r="AE43" s="244"/>
      <c r="AF43" s="244"/>
      <c r="AG43" s="98"/>
      <c r="AI43" s="247"/>
      <c r="AJ43" s="247"/>
      <c r="AK43" s="247"/>
    </row>
    <row r="44" spans="1:37" ht="24.95" customHeight="1">
      <c r="A44" s="581" t="s">
        <v>198</v>
      </c>
      <c r="B44" s="514"/>
      <c r="C44" s="514"/>
      <c r="D44" s="514"/>
      <c r="E44" s="514"/>
      <c r="F44" s="514"/>
      <c r="G44" s="514"/>
      <c r="H44" s="51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Y44" s="514"/>
      <c r="Z44" s="514"/>
      <c r="AA44" s="514"/>
      <c r="AB44" s="514"/>
      <c r="AC44" s="514"/>
      <c r="AD44" s="650"/>
      <c r="AE44" s="650"/>
      <c r="AF44" s="878"/>
      <c r="AG44" s="651"/>
      <c r="AI44" s="247"/>
      <c r="AJ44" s="247"/>
      <c r="AK44" s="247"/>
    </row>
    <row r="45" spans="1:37" ht="18.75" customHeight="1">
      <c r="A45" s="987" t="s">
        <v>111</v>
      </c>
      <c r="B45" s="1105" t="s">
        <v>112</v>
      </c>
      <c r="C45" s="1084" t="s">
        <v>184</v>
      </c>
      <c r="D45" s="1025" t="s">
        <v>23</v>
      </c>
      <c r="E45" s="1025" t="s">
        <v>23</v>
      </c>
      <c r="F45" s="1085" t="s">
        <v>24</v>
      </c>
      <c r="G45" s="1025" t="s">
        <v>23</v>
      </c>
      <c r="H45" s="1025" t="s">
        <v>23</v>
      </c>
      <c r="I45" s="1086" t="s">
        <v>22</v>
      </c>
      <c r="J45" s="1086" t="s">
        <v>22</v>
      </c>
      <c r="K45" s="1086" t="s">
        <v>22</v>
      </c>
      <c r="L45" s="1087" t="s">
        <v>34</v>
      </c>
      <c r="M45" s="1025" t="s">
        <v>23</v>
      </c>
      <c r="N45" s="1025" t="s">
        <v>23</v>
      </c>
      <c r="O45" s="1087" t="s">
        <v>34</v>
      </c>
      <c r="P45" s="1087" t="s">
        <v>34</v>
      </c>
      <c r="Q45" s="1088" t="s">
        <v>30</v>
      </c>
      <c r="R45" s="1087" t="s">
        <v>34</v>
      </c>
      <c r="S45" s="1025" t="s">
        <v>23</v>
      </c>
      <c r="T45" s="1025" t="s">
        <v>23</v>
      </c>
      <c r="U45" s="1089" t="s">
        <v>63</v>
      </c>
      <c r="V45" s="1089" t="s">
        <v>63</v>
      </c>
      <c r="W45" s="1089" t="s">
        <v>63</v>
      </c>
      <c r="X45" s="1089" t="s">
        <v>63</v>
      </c>
      <c r="Y45" s="1025" t="s">
        <v>23</v>
      </c>
      <c r="Z45" s="1025" t="s">
        <v>23</v>
      </c>
      <c r="AA45" s="1085" t="s">
        <v>24</v>
      </c>
      <c r="AB45" s="1085" t="s">
        <v>24</v>
      </c>
      <c r="AC45" s="1085" t="s">
        <v>24</v>
      </c>
      <c r="AD45" s="1085" t="s">
        <v>24</v>
      </c>
      <c r="AE45" s="1025" t="s">
        <v>23</v>
      </c>
      <c r="AF45" s="1025" t="s">
        <v>23</v>
      </c>
      <c r="AG45" s="1090" t="s">
        <v>22</v>
      </c>
      <c r="AI45" s="4">
        <f>VLOOKUP(B45,'JUL25'!$B:$AK,36,0)</f>
        <v>17</v>
      </c>
      <c r="AJ45" s="56">
        <f t="shared" ref="AJ45:AJ51" si="7">COUNTIF(C45:AG45,"U")</f>
        <v>4</v>
      </c>
      <c r="AK45" s="57">
        <f t="shared" ref="AK45:AK51" si="8">AI45-AJ45</f>
        <v>13</v>
      </c>
    </row>
    <row r="46" spans="1:37" ht="18.75" customHeight="1">
      <c r="A46" s="987" t="s">
        <v>133</v>
      </c>
      <c r="B46" s="1105" t="s">
        <v>134</v>
      </c>
      <c r="C46" s="1091" t="s">
        <v>22</v>
      </c>
      <c r="D46" s="232" t="s">
        <v>22</v>
      </c>
      <c r="E46" s="29" t="s">
        <v>23</v>
      </c>
      <c r="F46" s="29" t="s">
        <v>23</v>
      </c>
      <c r="G46" s="264" t="s">
        <v>24</v>
      </c>
      <c r="H46" s="264" t="s">
        <v>24</v>
      </c>
      <c r="I46" s="264" t="s">
        <v>24</v>
      </c>
      <c r="J46" s="264" t="s">
        <v>24</v>
      </c>
      <c r="K46" s="29" t="s">
        <v>23</v>
      </c>
      <c r="L46" s="29" t="s">
        <v>23</v>
      </c>
      <c r="M46" s="278" t="s">
        <v>34</v>
      </c>
      <c r="N46" s="278" t="s">
        <v>34</v>
      </c>
      <c r="O46" s="278" t="s">
        <v>34</v>
      </c>
      <c r="P46" s="278" t="s">
        <v>34</v>
      </c>
      <c r="Q46" s="29" t="s">
        <v>23</v>
      </c>
      <c r="R46" s="29" t="s">
        <v>23</v>
      </c>
      <c r="S46" s="278" t="s">
        <v>34</v>
      </c>
      <c r="T46" s="278" t="s">
        <v>34</v>
      </c>
      <c r="U46" s="278" t="s">
        <v>34</v>
      </c>
      <c r="V46" s="278" t="s">
        <v>34</v>
      </c>
      <c r="W46" s="29" t="s">
        <v>23</v>
      </c>
      <c r="X46" s="29" t="s">
        <v>23</v>
      </c>
      <c r="Y46" s="278" t="s">
        <v>34</v>
      </c>
      <c r="Z46" s="278" t="s">
        <v>34</v>
      </c>
      <c r="AA46" s="278" t="s">
        <v>34</v>
      </c>
      <c r="AB46" s="278" t="s">
        <v>34</v>
      </c>
      <c r="AC46" s="29" t="s">
        <v>23</v>
      </c>
      <c r="AD46" s="29" t="s">
        <v>23</v>
      </c>
      <c r="AE46" s="264" t="s">
        <v>24</v>
      </c>
      <c r="AF46" s="264" t="s">
        <v>24</v>
      </c>
      <c r="AG46" s="1092" t="s">
        <v>24</v>
      </c>
      <c r="AI46" s="37">
        <f>VLOOKUP(B46,'JUL25'!$B:$AK,36,0)</f>
        <v>16</v>
      </c>
      <c r="AJ46" s="35">
        <f t="shared" si="7"/>
        <v>12</v>
      </c>
      <c r="AK46" s="38">
        <f t="shared" si="8"/>
        <v>4</v>
      </c>
    </row>
    <row r="47" spans="1:37" ht="18.75" customHeight="1">
      <c r="A47" s="987" t="s">
        <v>140</v>
      </c>
      <c r="B47" s="1105" t="s">
        <v>141</v>
      </c>
      <c r="C47" s="1035" t="s">
        <v>23</v>
      </c>
      <c r="D47" s="29" t="s">
        <v>23</v>
      </c>
      <c r="E47" s="264" t="s">
        <v>24</v>
      </c>
      <c r="F47" s="264" t="s">
        <v>24</v>
      </c>
      <c r="G47" s="264" t="s">
        <v>24</v>
      </c>
      <c r="H47" s="264" t="s">
        <v>24</v>
      </c>
      <c r="I47" s="29" t="s">
        <v>23</v>
      </c>
      <c r="J47" s="29" t="s">
        <v>23</v>
      </c>
      <c r="K47" s="264" t="s">
        <v>24</v>
      </c>
      <c r="L47" s="264" t="s">
        <v>24</v>
      </c>
      <c r="M47" s="264" t="s">
        <v>24</v>
      </c>
      <c r="N47" s="264" t="s">
        <v>24</v>
      </c>
      <c r="O47" s="29" t="s">
        <v>23</v>
      </c>
      <c r="P47" s="29" t="s">
        <v>23</v>
      </c>
      <c r="Q47" s="276" t="s">
        <v>103</v>
      </c>
      <c r="R47" s="276" t="s">
        <v>103</v>
      </c>
      <c r="S47" s="276" t="s">
        <v>103</v>
      </c>
      <c r="T47" s="276" t="s">
        <v>103</v>
      </c>
      <c r="U47" s="29" t="s">
        <v>23</v>
      </c>
      <c r="V47" s="29" t="s">
        <v>23</v>
      </c>
      <c r="W47" s="352" t="s">
        <v>147</v>
      </c>
      <c r="X47" s="352" t="s">
        <v>147</v>
      </c>
      <c r="Y47" s="352" t="s">
        <v>147</v>
      </c>
      <c r="Z47" s="352" t="s">
        <v>147</v>
      </c>
      <c r="AA47" s="29" t="s">
        <v>23</v>
      </c>
      <c r="AB47" s="158" t="s">
        <v>19</v>
      </c>
      <c r="AC47" s="336" t="s">
        <v>19</v>
      </c>
      <c r="AD47" s="336" t="s">
        <v>19</v>
      </c>
      <c r="AE47" s="336" t="s">
        <v>19</v>
      </c>
      <c r="AF47" s="266" t="s">
        <v>63</v>
      </c>
      <c r="AG47" s="1038" t="s">
        <v>23</v>
      </c>
      <c r="AI47" s="37">
        <f>VLOOKUP(B47,'JUL25'!$B:$AK,36,0)</f>
        <v>15</v>
      </c>
      <c r="AJ47" s="35">
        <f t="shared" si="7"/>
        <v>0</v>
      </c>
      <c r="AK47" s="38">
        <f t="shared" si="8"/>
        <v>15</v>
      </c>
    </row>
    <row r="48" spans="1:37" ht="18.75" customHeight="1">
      <c r="A48" s="987" t="s">
        <v>151</v>
      </c>
      <c r="B48" s="1105" t="s">
        <v>152</v>
      </c>
      <c r="C48" s="1093" t="s">
        <v>184</v>
      </c>
      <c r="D48" s="29" t="s">
        <v>23</v>
      </c>
      <c r="E48" s="29" t="s">
        <v>23</v>
      </c>
      <c r="F48" s="278" t="s">
        <v>34</v>
      </c>
      <c r="G48" s="278" t="s">
        <v>34</v>
      </c>
      <c r="H48" s="29" t="s">
        <v>23</v>
      </c>
      <c r="I48" s="278" t="s">
        <v>34</v>
      </c>
      <c r="J48" s="278" t="s">
        <v>34</v>
      </c>
      <c r="K48" s="278" t="s">
        <v>34</v>
      </c>
      <c r="L48" s="278" t="s">
        <v>34</v>
      </c>
      <c r="M48" s="29" t="s">
        <v>23</v>
      </c>
      <c r="N48" s="29" t="s">
        <v>23</v>
      </c>
      <c r="O48" s="264" t="s">
        <v>24</v>
      </c>
      <c r="P48" s="264" t="s">
        <v>24</v>
      </c>
      <c r="Q48" s="264" t="s">
        <v>24</v>
      </c>
      <c r="R48" s="264" t="s">
        <v>24</v>
      </c>
      <c r="S48" s="29" t="s">
        <v>23</v>
      </c>
      <c r="T48" s="29" t="s">
        <v>23</v>
      </c>
      <c r="U48" s="232" t="s">
        <v>22</v>
      </c>
      <c r="V48" s="332" t="s">
        <v>68</v>
      </c>
      <c r="W48" s="232" t="s">
        <v>22</v>
      </c>
      <c r="X48" s="232" t="s">
        <v>22</v>
      </c>
      <c r="Y48" s="29" t="s">
        <v>23</v>
      </c>
      <c r="Z48" s="29" t="s">
        <v>23</v>
      </c>
      <c r="AA48" s="352" t="s">
        <v>147</v>
      </c>
      <c r="AB48" s="396" t="s">
        <v>146</v>
      </c>
      <c r="AC48" s="352" t="s">
        <v>147</v>
      </c>
      <c r="AD48" s="352" t="s">
        <v>147</v>
      </c>
      <c r="AE48" s="29" t="s">
        <v>23</v>
      </c>
      <c r="AF48" s="29" t="s">
        <v>23</v>
      </c>
      <c r="AG48" s="1094" t="s">
        <v>63</v>
      </c>
      <c r="AI48" s="37">
        <f>VLOOKUP(B48,'JUL25'!$B:$AK,36,0)</f>
        <v>4</v>
      </c>
      <c r="AJ48" s="35">
        <f t="shared" si="7"/>
        <v>6</v>
      </c>
      <c r="AK48" s="38">
        <f t="shared" si="8"/>
        <v>-2</v>
      </c>
    </row>
    <row r="49" spans="1:37" ht="18.75" customHeight="1">
      <c r="A49" s="987" t="s">
        <v>113</v>
      </c>
      <c r="B49" s="1105" t="s">
        <v>114</v>
      </c>
      <c r="C49" s="1095" t="s">
        <v>63</v>
      </c>
      <c r="D49" s="266" t="s">
        <v>63</v>
      </c>
      <c r="E49" s="29" t="s">
        <v>23</v>
      </c>
      <c r="F49" s="29" t="s">
        <v>23</v>
      </c>
      <c r="G49" s="264" t="s">
        <v>24</v>
      </c>
      <c r="H49" s="264" t="s">
        <v>24</v>
      </c>
      <c r="I49" s="264" t="s">
        <v>24</v>
      </c>
      <c r="J49" s="264" t="s">
        <v>24</v>
      </c>
      <c r="K49" s="29" t="s">
        <v>23</v>
      </c>
      <c r="L49" s="29" t="s">
        <v>23</v>
      </c>
      <c r="M49" s="232" t="s">
        <v>22</v>
      </c>
      <c r="N49" s="232" t="s">
        <v>22</v>
      </c>
      <c r="O49" s="232" t="s">
        <v>22</v>
      </c>
      <c r="P49" s="232" t="s">
        <v>22</v>
      </c>
      <c r="Q49" s="29" t="s">
        <v>23</v>
      </c>
      <c r="R49" s="29" t="s">
        <v>23</v>
      </c>
      <c r="S49" s="264" t="s">
        <v>24</v>
      </c>
      <c r="T49" s="264" t="s">
        <v>24</v>
      </c>
      <c r="U49" s="264" t="s">
        <v>24</v>
      </c>
      <c r="V49" s="264" t="s">
        <v>24</v>
      </c>
      <c r="W49" s="29" t="s">
        <v>23</v>
      </c>
      <c r="X49" s="29" t="s">
        <v>23</v>
      </c>
      <c r="Y49" s="232" t="s">
        <v>22</v>
      </c>
      <c r="Z49" s="232" t="s">
        <v>22</v>
      </c>
      <c r="AA49" s="348" t="s">
        <v>144</v>
      </c>
      <c r="AB49" s="232" t="s">
        <v>22</v>
      </c>
      <c r="AC49" s="29" t="s">
        <v>23</v>
      </c>
      <c r="AD49" s="29" t="s">
        <v>23</v>
      </c>
      <c r="AE49" s="276" t="s">
        <v>103</v>
      </c>
      <c r="AF49" s="276" t="s">
        <v>103</v>
      </c>
      <c r="AG49" s="1096" t="s">
        <v>34</v>
      </c>
      <c r="AI49" s="37">
        <f>VLOOKUP(B49,'JUL25'!$B:$AK,36,0)</f>
        <v>3</v>
      </c>
      <c r="AJ49" s="35">
        <f t="shared" si="7"/>
        <v>1</v>
      </c>
      <c r="AK49" s="38">
        <f t="shared" si="8"/>
        <v>2</v>
      </c>
    </row>
    <row r="50" spans="1:37" ht="18.75" customHeight="1">
      <c r="A50" s="987" t="s">
        <v>117</v>
      </c>
      <c r="B50" s="1105" t="s">
        <v>118</v>
      </c>
      <c r="C50" s="1093" t="s">
        <v>184</v>
      </c>
      <c r="D50" s="29" t="s">
        <v>23</v>
      </c>
      <c r="E50" s="29" t="s">
        <v>23</v>
      </c>
      <c r="F50" s="352" t="s">
        <v>147</v>
      </c>
      <c r="G50" s="29" t="s">
        <v>23</v>
      </c>
      <c r="H50" s="29" t="s">
        <v>23</v>
      </c>
      <c r="I50" s="266" t="s">
        <v>63</v>
      </c>
      <c r="J50" s="266" t="s">
        <v>63</v>
      </c>
      <c r="K50" s="266" t="s">
        <v>63</v>
      </c>
      <c r="L50" s="266" t="s">
        <v>63</v>
      </c>
      <c r="M50" s="29" t="s">
        <v>23</v>
      </c>
      <c r="N50" s="29" t="s">
        <v>23</v>
      </c>
      <c r="O50" s="264" t="s">
        <v>24</v>
      </c>
      <c r="P50" s="264" t="s">
        <v>24</v>
      </c>
      <c r="Q50" s="264" t="s">
        <v>24</v>
      </c>
      <c r="R50" s="264" t="s">
        <v>24</v>
      </c>
      <c r="S50" s="29" t="s">
        <v>23</v>
      </c>
      <c r="T50" s="29" t="s">
        <v>23</v>
      </c>
      <c r="U50" s="232" t="s">
        <v>22</v>
      </c>
      <c r="V50" s="232" t="s">
        <v>22</v>
      </c>
      <c r="W50" s="232" t="s">
        <v>22</v>
      </c>
      <c r="X50" s="232" t="s">
        <v>22</v>
      </c>
      <c r="Y50" s="29" t="s">
        <v>23</v>
      </c>
      <c r="Z50" s="29" t="s">
        <v>23</v>
      </c>
      <c r="AA50" s="278" t="s">
        <v>34</v>
      </c>
      <c r="AB50" s="278" t="s">
        <v>34</v>
      </c>
      <c r="AC50" s="278" t="s">
        <v>34</v>
      </c>
      <c r="AD50" s="278" t="s">
        <v>34</v>
      </c>
      <c r="AE50" s="29" t="s">
        <v>23</v>
      </c>
      <c r="AF50" s="29" t="s">
        <v>23</v>
      </c>
      <c r="AG50" s="1097" t="s">
        <v>22</v>
      </c>
      <c r="AI50" s="37">
        <f>VLOOKUP(B50,'JUL25'!$B:$AK,36,0)</f>
        <v>0</v>
      </c>
      <c r="AJ50" s="35">
        <f t="shared" si="7"/>
        <v>4</v>
      </c>
      <c r="AK50" s="38">
        <f t="shared" si="8"/>
        <v>-4</v>
      </c>
    </row>
    <row r="51" spans="1:37" ht="18.75" customHeight="1">
      <c r="A51" s="988" t="s">
        <v>119</v>
      </c>
      <c r="B51" s="1106" t="s">
        <v>120</v>
      </c>
      <c r="C51" s="1098" t="s">
        <v>194</v>
      </c>
      <c r="D51" s="1099" t="s">
        <v>22</v>
      </c>
      <c r="E51" s="1045" t="s">
        <v>23</v>
      </c>
      <c r="F51" s="1045" t="s">
        <v>23</v>
      </c>
      <c r="G51" s="1100" t="s">
        <v>147</v>
      </c>
      <c r="H51" s="1100" t="s">
        <v>147</v>
      </c>
      <c r="I51" s="1100" t="s">
        <v>147</v>
      </c>
      <c r="J51" s="1100" t="s">
        <v>147</v>
      </c>
      <c r="K51" s="1045" t="s">
        <v>23</v>
      </c>
      <c r="L51" s="1045" t="s">
        <v>23</v>
      </c>
      <c r="M51" s="1101" t="s">
        <v>63</v>
      </c>
      <c r="N51" s="1101" t="s">
        <v>63</v>
      </c>
      <c r="O51" s="1101" t="s">
        <v>63</v>
      </c>
      <c r="P51" s="1101" t="s">
        <v>63</v>
      </c>
      <c r="Q51" s="1101" t="s">
        <v>63</v>
      </c>
      <c r="R51" s="1045" t="s">
        <v>23</v>
      </c>
      <c r="S51" s="1045" t="s">
        <v>23</v>
      </c>
      <c r="T51" s="1102" t="s">
        <v>24</v>
      </c>
      <c r="U51" s="1102" t="s">
        <v>24</v>
      </c>
      <c r="V51" s="1102" t="s">
        <v>24</v>
      </c>
      <c r="W51" s="1045" t="s">
        <v>23</v>
      </c>
      <c r="X51" s="1045" t="s">
        <v>23</v>
      </c>
      <c r="Y51" s="1103" t="s">
        <v>83</v>
      </c>
      <c r="Z51" s="1102" t="s">
        <v>24</v>
      </c>
      <c r="AA51" s="1102" t="s">
        <v>24</v>
      </c>
      <c r="AB51" s="1102" t="s">
        <v>24</v>
      </c>
      <c r="AC51" s="1045" t="s">
        <v>23</v>
      </c>
      <c r="AD51" s="1045" t="s">
        <v>23</v>
      </c>
      <c r="AE51" s="1102" t="s">
        <v>24</v>
      </c>
      <c r="AF51" s="1102" t="s">
        <v>24</v>
      </c>
      <c r="AG51" s="1104" t="s">
        <v>24</v>
      </c>
      <c r="AI51" s="46">
        <f>VLOOKUP(B51,'JUL25'!$B:$AK,36,0)</f>
        <v>18</v>
      </c>
      <c r="AJ51" s="16">
        <f t="shared" si="7"/>
        <v>0</v>
      </c>
      <c r="AK51" s="52">
        <f t="shared" si="8"/>
        <v>18</v>
      </c>
    </row>
    <row r="52" spans="1:37" ht="9.9499999999999993" customHeight="1">
      <c r="A52" s="1"/>
      <c r="B52" s="1"/>
    </row>
    <row r="53" spans="1:37" ht="18">
      <c r="A53" s="801" t="s">
        <v>22</v>
      </c>
      <c r="B53" s="875"/>
      <c r="C53" s="220">
        <f t="shared" ref="C53:AG53" si="9">COUNTIF(C26:C51,$A$53)</f>
        <v>4</v>
      </c>
      <c r="D53" s="218">
        <f t="shared" si="9"/>
        <v>4</v>
      </c>
      <c r="E53" s="218">
        <f t="shared" si="9"/>
        <v>2</v>
      </c>
      <c r="F53" s="218">
        <f t="shared" si="9"/>
        <v>2</v>
      </c>
      <c r="G53" s="218">
        <f t="shared" si="9"/>
        <v>2</v>
      </c>
      <c r="H53" s="218">
        <f t="shared" si="9"/>
        <v>2</v>
      </c>
      <c r="I53" s="218">
        <f t="shared" si="9"/>
        <v>3</v>
      </c>
      <c r="J53" s="218">
        <f t="shared" si="9"/>
        <v>3</v>
      </c>
      <c r="K53" s="218">
        <f t="shared" si="9"/>
        <v>4</v>
      </c>
      <c r="L53" s="218">
        <f t="shared" si="9"/>
        <v>2</v>
      </c>
      <c r="M53" s="218">
        <f t="shared" si="9"/>
        <v>3</v>
      </c>
      <c r="N53" s="218">
        <f t="shared" si="9"/>
        <v>4</v>
      </c>
      <c r="O53" s="218">
        <f t="shared" si="9"/>
        <v>4</v>
      </c>
      <c r="P53" s="218">
        <f t="shared" si="9"/>
        <v>5</v>
      </c>
      <c r="Q53" s="218">
        <f t="shared" si="9"/>
        <v>3</v>
      </c>
      <c r="R53" s="218">
        <f t="shared" si="9"/>
        <v>3</v>
      </c>
      <c r="S53" s="218">
        <f t="shared" si="9"/>
        <v>3</v>
      </c>
      <c r="T53" s="218">
        <f t="shared" si="9"/>
        <v>3</v>
      </c>
      <c r="U53" s="218">
        <f t="shared" si="9"/>
        <v>5</v>
      </c>
      <c r="V53" s="218">
        <f t="shared" si="9"/>
        <v>2</v>
      </c>
      <c r="W53" s="218">
        <f t="shared" si="9"/>
        <v>6</v>
      </c>
      <c r="X53" s="218">
        <f t="shared" si="9"/>
        <v>4</v>
      </c>
      <c r="Y53" s="218">
        <f t="shared" si="9"/>
        <v>3</v>
      </c>
      <c r="Z53" s="218">
        <f t="shared" si="9"/>
        <v>4</v>
      </c>
      <c r="AA53" s="218">
        <f t="shared" si="9"/>
        <v>3</v>
      </c>
      <c r="AB53" s="218">
        <f t="shared" si="9"/>
        <v>4</v>
      </c>
      <c r="AC53" s="218">
        <f t="shared" si="9"/>
        <v>5</v>
      </c>
      <c r="AD53" s="218">
        <f t="shared" si="9"/>
        <v>3</v>
      </c>
      <c r="AE53" s="218">
        <f t="shared" si="9"/>
        <v>3</v>
      </c>
      <c r="AF53" s="218">
        <f t="shared" si="9"/>
        <v>3</v>
      </c>
      <c r="AG53" s="221">
        <f t="shared" si="9"/>
        <v>4</v>
      </c>
    </row>
    <row r="54" spans="1:37" ht="18">
      <c r="A54" s="802" t="s">
        <v>147</v>
      </c>
      <c r="B54" s="876"/>
      <c r="C54" s="227">
        <f t="shared" ref="C54:AG54" si="10">COUNTIF(C26:C51,$A$54)</f>
        <v>0</v>
      </c>
      <c r="D54" s="225">
        <f t="shared" si="10"/>
        <v>0</v>
      </c>
      <c r="E54" s="225">
        <f t="shared" si="10"/>
        <v>1</v>
      </c>
      <c r="F54" s="225">
        <f t="shared" si="10"/>
        <v>1</v>
      </c>
      <c r="G54" s="225">
        <f t="shared" si="10"/>
        <v>1</v>
      </c>
      <c r="H54" s="225">
        <f t="shared" si="10"/>
        <v>1</v>
      </c>
      <c r="I54" s="225">
        <f t="shared" si="10"/>
        <v>1</v>
      </c>
      <c r="J54" s="225">
        <f t="shared" si="10"/>
        <v>1</v>
      </c>
      <c r="K54" s="225">
        <f t="shared" si="10"/>
        <v>1</v>
      </c>
      <c r="L54" s="225">
        <f t="shared" si="10"/>
        <v>0</v>
      </c>
      <c r="M54" s="225">
        <f t="shared" si="10"/>
        <v>0</v>
      </c>
      <c r="N54" s="225">
        <f t="shared" si="10"/>
        <v>0</v>
      </c>
      <c r="O54" s="225">
        <f t="shared" si="10"/>
        <v>0</v>
      </c>
      <c r="P54" s="225">
        <f t="shared" si="10"/>
        <v>0</v>
      </c>
      <c r="Q54" s="225">
        <f t="shared" si="10"/>
        <v>0</v>
      </c>
      <c r="R54" s="225">
        <f t="shared" si="10"/>
        <v>0</v>
      </c>
      <c r="S54" s="225">
        <f t="shared" si="10"/>
        <v>0</v>
      </c>
      <c r="T54" s="225">
        <f t="shared" si="10"/>
        <v>0</v>
      </c>
      <c r="U54" s="225">
        <f t="shared" si="10"/>
        <v>0</v>
      </c>
      <c r="V54" s="225">
        <f t="shared" si="10"/>
        <v>0</v>
      </c>
      <c r="W54" s="225">
        <f t="shared" si="10"/>
        <v>1</v>
      </c>
      <c r="X54" s="225">
        <f t="shared" si="10"/>
        <v>1</v>
      </c>
      <c r="Y54" s="225">
        <f t="shared" si="10"/>
        <v>1</v>
      </c>
      <c r="Z54" s="225">
        <f t="shared" si="10"/>
        <v>1</v>
      </c>
      <c r="AA54" s="225">
        <f t="shared" si="10"/>
        <v>1</v>
      </c>
      <c r="AB54" s="225">
        <f t="shared" si="10"/>
        <v>0</v>
      </c>
      <c r="AC54" s="225">
        <f t="shared" si="10"/>
        <v>1</v>
      </c>
      <c r="AD54" s="225">
        <f t="shared" si="10"/>
        <v>1</v>
      </c>
      <c r="AE54" s="225">
        <f t="shared" si="10"/>
        <v>0</v>
      </c>
      <c r="AF54" s="225">
        <f t="shared" si="10"/>
        <v>0</v>
      </c>
      <c r="AG54" s="230">
        <f t="shared" si="10"/>
        <v>0</v>
      </c>
    </row>
    <row r="55" spans="1:37" ht="18">
      <c r="A55" s="725" t="s">
        <v>24</v>
      </c>
      <c r="B55" s="726"/>
      <c r="C55" s="227">
        <f t="shared" ref="C55:AG55" si="11">COUNTIF(C26:C51,$A$55)</f>
        <v>4</v>
      </c>
      <c r="D55" s="225">
        <f t="shared" si="11"/>
        <v>2</v>
      </c>
      <c r="E55" s="225">
        <f t="shared" si="11"/>
        <v>2</v>
      </c>
      <c r="F55" s="225">
        <f t="shared" si="11"/>
        <v>3</v>
      </c>
      <c r="G55" s="225">
        <f t="shared" si="11"/>
        <v>4</v>
      </c>
      <c r="H55" s="225">
        <f t="shared" si="11"/>
        <v>5</v>
      </c>
      <c r="I55" s="225">
        <f t="shared" si="11"/>
        <v>4</v>
      </c>
      <c r="J55" s="225">
        <f t="shared" si="11"/>
        <v>6</v>
      </c>
      <c r="K55" s="225">
        <f t="shared" si="11"/>
        <v>4</v>
      </c>
      <c r="L55" s="225">
        <f t="shared" si="11"/>
        <v>3</v>
      </c>
      <c r="M55" s="225">
        <f t="shared" si="11"/>
        <v>4</v>
      </c>
      <c r="N55" s="225">
        <f t="shared" si="11"/>
        <v>4</v>
      </c>
      <c r="O55" s="225">
        <f t="shared" si="11"/>
        <v>5</v>
      </c>
      <c r="P55" s="225">
        <f t="shared" si="11"/>
        <v>5</v>
      </c>
      <c r="Q55" s="225">
        <f t="shared" si="11"/>
        <v>4</v>
      </c>
      <c r="R55" s="225">
        <f t="shared" si="11"/>
        <v>4</v>
      </c>
      <c r="S55" s="225">
        <f t="shared" si="11"/>
        <v>3</v>
      </c>
      <c r="T55" s="225">
        <f t="shared" si="11"/>
        <v>5</v>
      </c>
      <c r="U55" s="225">
        <f t="shared" si="11"/>
        <v>3</v>
      </c>
      <c r="V55" s="225">
        <f t="shared" si="11"/>
        <v>5</v>
      </c>
      <c r="W55" s="225">
        <f t="shared" si="11"/>
        <v>3</v>
      </c>
      <c r="X55" s="225">
        <f t="shared" si="11"/>
        <v>3</v>
      </c>
      <c r="Y55" s="225">
        <f t="shared" si="11"/>
        <v>3</v>
      </c>
      <c r="Z55" s="225">
        <f t="shared" si="11"/>
        <v>4</v>
      </c>
      <c r="AA55" s="225">
        <f t="shared" si="11"/>
        <v>5</v>
      </c>
      <c r="AB55" s="225">
        <f t="shared" si="11"/>
        <v>6</v>
      </c>
      <c r="AC55" s="225">
        <f t="shared" si="11"/>
        <v>4</v>
      </c>
      <c r="AD55" s="225">
        <f t="shared" si="11"/>
        <v>3</v>
      </c>
      <c r="AE55" s="225">
        <f t="shared" si="11"/>
        <v>5</v>
      </c>
      <c r="AF55" s="225">
        <f t="shared" si="11"/>
        <v>5</v>
      </c>
      <c r="AG55" s="230">
        <f t="shared" si="11"/>
        <v>5</v>
      </c>
    </row>
    <row r="56" spans="1:37" ht="20.25" thickBot="1">
      <c r="A56" s="727" t="s">
        <v>63</v>
      </c>
      <c r="B56" s="728"/>
      <c r="C56" s="241">
        <f t="shared" ref="C56:AG56" si="12">COUNTIF(C6:C51,$A$56)</f>
        <v>2</v>
      </c>
      <c r="D56" s="283">
        <f t="shared" si="12"/>
        <v>3</v>
      </c>
      <c r="E56" s="283">
        <f t="shared" si="12"/>
        <v>2</v>
      </c>
      <c r="F56" s="283">
        <f t="shared" si="12"/>
        <v>1</v>
      </c>
      <c r="G56" s="283">
        <f t="shared" si="12"/>
        <v>1</v>
      </c>
      <c r="H56" s="283">
        <f t="shared" si="12"/>
        <v>1</v>
      </c>
      <c r="I56" s="283">
        <f t="shared" si="12"/>
        <v>2</v>
      </c>
      <c r="J56" s="283">
        <f t="shared" si="12"/>
        <v>3</v>
      </c>
      <c r="K56" s="283">
        <f t="shared" si="12"/>
        <v>3</v>
      </c>
      <c r="L56" s="283">
        <f t="shared" si="12"/>
        <v>2</v>
      </c>
      <c r="M56" s="283">
        <f t="shared" si="12"/>
        <v>2</v>
      </c>
      <c r="N56" s="283">
        <f t="shared" si="12"/>
        <v>2</v>
      </c>
      <c r="O56" s="283">
        <f t="shared" si="12"/>
        <v>2</v>
      </c>
      <c r="P56" s="283">
        <f t="shared" si="12"/>
        <v>3</v>
      </c>
      <c r="Q56" s="283">
        <f t="shared" si="12"/>
        <v>3</v>
      </c>
      <c r="R56" s="283">
        <f t="shared" si="12"/>
        <v>1</v>
      </c>
      <c r="S56" s="283">
        <f t="shared" si="12"/>
        <v>1</v>
      </c>
      <c r="T56" s="283">
        <f t="shared" si="12"/>
        <v>1</v>
      </c>
      <c r="U56" s="283">
        <f t="shared" si="12"/>
        <v>2</v>
      </c>
      <c r="V56" s="283">
        <f t="shared" si="12"/>
        <v>2</v>
      </c>
      <c r="W56" s="283">
        <f t="shared" si="12"/>
        <v>2</v>
      </c>
      <c r="X56" s="283">
        <f t="shared" si="12"/>
        <v>2</v>
      </c>
      <c r="Y56" s="283">
        <f t="shared" si="12"/>
        <v>1</v>
      </c>
      <c r="Z56" s="283">
        <f t="shared" si="12"/>
        <v>1</v>
      </c>
      <c r="AA56" s="283">
        <f t="shared" si="12"/>
        <v>1</v>
      </c>
      <c r="AB56" s="283">
        <f t="shared" si="12"/>
        <v>1</v>
      </c>
      <c r="AC56" s="283">
        <f t="shared" si="12"/>
        <v>1</v>
      </c>
      <c r="AD56" s="283">
        <f t="shared" si="12"/>
        <v>1</v>
      </c>
      <c r="AE56" s="283">
        <f t="shared" si="12"/>
        <v>1</v>
      </c>
      <c r="AF56" s="283">
        <f t="shared" si="12"/>
        <v>2</v>
      </c>
      <c r="AG56" s="288">
        <f t="shared" si="12"/>
        <v>2</v>
      </c>
    </row>
    <row r="57" spans="1:37" ht="20.100000000000001" customHeight="1" thickBot="1"/>
    <row r="58" spans="1:37" ht="27" customHeight="1" thickBot="1">
      <c r="A58" s="858" t="s">
        <v>126</v>
      </c>
      <c r="B58" s="859"/>
      <c r="C58" s="859"/>
      <c r="D58" s="859"/>
      <c r="E58" s="859"/>
      <c r="F58" s="859"/>
      <c r="G58" s="859"/>
      <c r="H58" s="859"/>
      <c r="I58" s="859"/>
      <c r="J58" s="859"/>
      <c r="K58" s="859"/>
      <c r="L58" s="859"/>
      <c r="M58" s="859"/>
      <c r="N58" s="859"/>
      <c r="O58" s="859"/>
      <c r="P58" s="859"/>
      <c r="Q58" s="859"/>
      <c r="R58" s="859"/>
      <c r="S58" s="859"/>
      <c r="T58" s="859"/>
      <c r="U58" s="859"/>
      <c r="V58" s="859"/>
      <c r="W58" s="859"/>
      <c r="X58" s="859"/>
      <c r="Y58" s="859"/>
      <c r="Z58" s="859"/>
      <c r="AA58" s="859"/>
      <c r="AB58" s="859"/>
      <c r="AC58" s="859"/>
      <c r="AD58" s="859"/>
      <c r="AE58" s="859"/>
      <c r="AF58" s="859"/>
      <c r="AG58" s="860"/>
    </row>
    <row r="59" spans="1:37" ht="18.75" customHeight="1">
      <c r="A59" s="987" t="s">
        <v>127</v>
      </c>
      <c r="B59" s="509" t="s">
        <v>128</v>
      </c>
      <c r="C59" s="276" t="s">
        <v>125</v>
      </c>
      <c r="D59" s="276" t="s">
        <v>125</v>
      </c>
      <c r="E59" s="269" t="s">
        <v>23</v>
      </c>
      <c r="F59" s="269" t="s">
        <v>23</v>
      </c>
      <c r="G59" s="284" t="s">
        <v>83</v>
      </c>
      <c r="H59" s="284" t="s">
        <v>83</v>
      </c>
      <c r="I59" s="284" t="s">
        <v>83</v>
      </c>
      <c r="J59" s="284" t="s">
        <v>83</v>
      </c>
      <c r="K59" s="269" t="s">
        <v>23</v>
      </c>
      <c r="L59" s="269" t="s">
        <v>23</v>
      </c>
      <c r="M59" s="276" t="s">
        <v>125</v>
      </c>
      <c r="N59" s="276" t="s">
        <v>125</v>
      </c>
      <c r="O59" s="276" t="s">
        <v>125</v>
      </c>
      <c r="P59" s="276" t="s">
        <v>125</v>
      </c>
      <c r="Q59" s="269" t="s">
        <v>23</v>
      </c>
      <c r="R59" s="269" t="s">
        <v>23</v>
      </c>
      <c r="S59" s="278" t="s">
        <v>34</v>
      </c>
      <c r="T59" s="284" t="s">
        <v>83</v>
      </c>
      <c r="U59" s="284" t="s">
        <v>83</v>
      </c>
      <c r="V59" s="284" t="s">
        <v>83</v>
      </c>
      <c r="W59" s="269" t="s">
        <v>23</v>
      </c>
      <c r="X59" s="269" t="s">
        <v>23</v>
      </c>
      <c r="Y59" s="276" t="s">
        <v>125</v>
      </c>
      <c r="Z59" s="276" t="s">
        <v>125</v>
      </c>
      <c r="AA59" s="276" t="s">
        <v>125</v>
      </c>
      <c r="AB59" s="276" t="s">
        <v>125</v>
      </c>
      <c r="AC59" s="269" t="s">
        <v>23</v>
      </c>
      <c r="AD59" s="269" t="s">
        <v>23</v>
      </c>
      <c r="AE59" s="284" t="s">
        <v>83</v>
      </c>
      <c r="AF59" s="284" t="s">
        <v>83</v>
      </c>
      <c r="AG59" s="285" t="s">
        <v>83</v>
      </c>
      <c r="AI59" s="4">
        <f>VLOOKUP(B59,'JUL25'!$B:$AK,36,0)</f>
        <v>13</v>
      </c>
      <c r="AJ59" s="56">
        <f t="shared" ref="AJ59:AJ63" si="13">COUNTIF(C59:AG59,"U")</f>
        <v>1</v>
      </c>
      <c r="AK59" s="57">
        <f t="shared" ref="AK59:AK63" si="14">AI59-AJ59</f>
        <v>12</v>
      </c>
    </row>
    <row r="60" spans="1:37" ht="18.75" customHeight="1">
      <c r="A60" s="987" t="s">
        <v>129</v>
      </c>
      <c r="B60" s="509" t="s">
        <v>130</v>
      </c>
      <c r="C60" s="284" t="s">
        <v>83</v>
      </c>
      <c r="D60" s="284" t="s">
        <v>83</v>
      </c>
      <c r="E60" s="284" t="s">
        <v>83</v>
      </c>
      <c r="F60" s="284" t="s">
        <v>83</v>
      </c>
      <c r="G60" s="269" t="s">
        <v>23</v>
      </c>
      <c r="H60" s="269" t="s">
        <v>23</v>
      </c>
      <c r="I60" s="276" t="s">
        <v>125</v>
      </c>
      <c r="J60" s="276" t="s">
        <v>125</v>
      </c>
      <c r="K60" s="276" t="s">
        <v>125</v>
      </c>
      <c r="L60" s="278" t="s">
        <v>34</v>
      </c>
      <c r="M60" s="269" t="s">
        <v>23</v>
      </c>
      <c r="N60" s="269" t="s">
        <v>23</v>
      </c>
      <c r="O60" s="284" t="s">
        <v>83</v>
      </c>
      <c r="P60" s="284" t="s">
        <v>83</v>
      </c>
      <c r="Q60" s="284" t="s">
        <v>83</v>
      </c>
      <c r="R60" s="284" t="s">
        <v>83</v>
      </c>
      <c r="S60" s="269" t="s">
        <v>23</v>
      </c>
      <c r="T60" s="269" t="s">
        <v>23</v>
      </c>
      <c r="U60" s="276" t="s">
        <v>125</v>
      </c>
      <c r="V60" s="276" t="s">
        <v>125</v>
      </c>
      <c r="W60" s="276" t="s">
        <v>125</v>
      </c>
      <c r="X60" s="276" t="s">
        <v>125</v>
      </c>
      <c r="Y60" s="269" t="s">
        <v>23</v>
      </c>
      <c r="Z60" s="269" t="s">
        <v>23</v>
      </c>
      <c r="AA60" s="284" t="s">
        <v>83</v>
      </c>
      <c r="AB60" s="284" t="s">
        <v>83</v>
      </c>
      <c r="AC60" s="278" t="s">
        <v>34</v>
      </c>
      <c r="AD60" s="278" t="s">
        <v>34</v>
      </c>
      <c r="AE60" s="269" t="s">
        <v>23</v>
      </c>
      <c r="AF60" s="269" t="s">
        <v>23</v>
      </c>
      <c r="AG60" s="277" t="s">
        <v>125</v>
      </c>
      <c r="AI60" s="37">
        <f>VLOOKUP(B60,'JUL25'!$B:$AK,36,0)</f>
        <v>9</v>
      </c>
      <c r="AJ60" s="35">
        <f>COUNTIF(C60:AG60,"U")</f>
        <v>3</v>
      </c>
      <c r="AK60" s="38">
        <f t="shared" si="14"/>
        <v>6</v>
      </c>
    </row>
    <row r="61" spans="1:37" ht="18.75" customHeight="1">
      <c r="A61" s="987" t="s">
        <v>187</v>
      </c>
      <c r="B61" s="509" t="s">
        <v>188</v>
      </c>
      <c r="C61" s="269" t="s">
        <v>23</v>
      </c>
      <c r="D61" s="269" t="s">
        <v>23</v>
      </c>
      <c r="E61" s="276" t="s">
        <v>103</v>
      </c>
      <c r="F61" s="276" t="s">
        <v>103</v>
      </c>
      <c r="G61" s="276" t="s">
        <v>103</v>
      </c>
      <c r="H61" s="276" t="s">
        <v>103</v>
      </c>
      <c r="I61" s="269" t="s">
        <v>23</v>
      </c>
      <c r="J61" s="269" t="s">
        <v>23</v>
      </c>
      <c r="K61" s="284" t="s">
        <v>83</v>
      </c>
      <c r="L61" s="284" t="s">
        <v>83</v>
      </c>
      <c r="M61" s="284" t="s">
        <v>83</v>
      </c>
      <c r="N61" s="284" t="s">
        <v>83</v>
      </c>
      <c r="O61" s="269" t="s">
        <v>23</v>
      </c>
      <c r="P61" s="269" t="s">
        <v>23</v>
      </c>
      <c r="Q61" s="708" t="s">
        <v>30</v>
      </c>
      <c r="R61" s="278" t="s">
        <v>34</v>
      </c>
      <c r="S61" s="278" t="s">
        <v>34</v>
      </c>
      <c r="T61" s="278" t="s">
        <v>34</v>
      </c>
      <c r="U61" s="269" t="s">
        <v>23</v>
      </c>
      <c r="V61" s="269" t="s">
        <v>23</v>
      </c>
      <c r="W61" s="278" t="s">
        <v>34</v>
      </c>
      <c r="X61" s="278" t="s">
        <v>34</v>
      </c>
      <c r="Y61" s="278" t="s">
        <v>34</v>
      </c>
      <c r="Z61" s="278" t="s">
        <v>34</v>
      </c>
      <c r="AA61" s="269" t="s">
        <v>23</v>
      </c>
      <c r="AB61" s="269" t="s">
        <v>23</v>
      </c>
      <c r="AC61" s="278" t="s">
        <v>34</v>
      </c>
      <c r="AD61" s="278" t="s">
        <v>34</v>
      </c>
      <c r="AE61" s="278" t="s">
        <v>34</v>
      </c>
      <c r="AF61" s="278" t="s">
        <v>34</v>
      </c>
      <c r="AG61" s="271" t="s">
        <v>23</v>
      </c>
      <c r="AI61" s="37">
        <f>VLOOKUP(B61,'JUL25'!$B:$AK,36,0)</f>
        <v>17</v>
      </c>
      <c r="AJ61" s="35">
        <f>COUNTIF(C61:AG61,"U")</f>
        <v>11</v>
      </c>
      <c r="AK61" s="38">
        <f t="shared" ref="AK61:AK62" si="15">AI61-AJ61</f>
        <v>6</v>
      </c>
    </row>
    <row r="62" spans="1:37" ht="18.75" customHeight="1">
      <c r="A62" s="987" t="s">
        <v>121</v>
      </c>
      <c r="B62" s="509" t="s">
        <v>122</v>
      </c>
      <c r="C62" s="336" t="s">
        <v>19</v>
      </c>
      <c r="D62" s="336" t="s">
        <v>19</v>
      </c>
      <c r="E62" s="336" t="s">
        <v>19</v>
      </c>
      <c r="F62" s="336" t="s">
        <v>19</v>
      </c>
      <c r="G62" s="336" t="s">
        <v>19</v>
      </c>
      <c r="H62" s="336" t="s">
        <v>19</v>
      </c>
      <c r="I62" s="336" t="s">
        <v>19</v>
      </c>
      <c r="J62" s="336" t="s">
        <v>19</v>
      </c>
      <c r="K62" s="336" t="s">
        <v>19</v>
      </c>
      <c r="L62" s="336" t="s">
        <v>19</v>
      </c>
      <c r="M62" s="336" t="s">
        <v>19</v>
      </c>
      <c r="N62" s="336" t="s">
        <v>19</v>
      </c>
      <c r="O62" s="336" t="s">
        <v>19</v>
      </c>
      <c r="P62" s="336" t="s">
        <v>19</v>
      </c>
      <c r="Q62" s="336" t="s">
        <v>19</v>
      </c>
      <c r="R62" s="336" t="s">
        <v>19</v>
      </c>
      <c r="S62" s="336" t="s">
        <v>19</v>
      </c>
      <c r="T62" s="336" t="s">
        <v>19</v>
      </c>
      <c r="U62" s="336" t="s">
        <v>19</v>
      </c>
      <c r="V62" s="336" t="s">
        <v>19</v>
      </c>
      <c r="W62" s="336" t="s">
        <v>19</v>
      </c>
      <c r="X62" s="336" t="s">
        <v>19</v>
      </c>
      <c r="Y62" s="336" t="s">
        <v>19</v>
      </c>
      <c r="Z62" s="336" t="s">
        <v>19</v>
      </c>
      <c r="AA62" s="336" t="s">
        <v>19</v>
      </c>
      <c r="AB62" s="336" t="s">
        <v>19</v>
      </c>
      <c r="AC62" s="336" t="s">
        <v>19</v>
      </c>
      <c r="AD62" s="336" t="s">
        <v>19</v>
      </c>
      <c r="AE62" s="336" t="s">
        <v>19</v>
      </c>
      <c r="AF62" s="336" t="s">
        <v>19</v>
      </c>
      <c r="AG62" s="351" t="s">
        <v>19</v>
      </c>
      <c r="AI62" s="37">
        <f>VLOOKUP(B62,'JUL25'!$B:$AK,36,0)</f>
        <v>0</v>
      </c>
      <c r="AJ62" s="35">
        <f>COUNTIF(C62:AG62,"U")</f>
        <v>0</v>
      </c>
      <c r="AK62" s="38">
        <f t="shared" si="15"/>
        <v>0</v>
      </c>
    </row>
    <row r="63" spans="1:37" ht="18.75" customHeight="1" thickBot="1">
      <c r="A63" s="988" t="s">
        <v>131</v>
      </c>
      <c r="B63" s="508" t="s">
        <v>132</v>
      </c>
      <c r="C63" s="342" t="s">
        <v>108</v>
      </c>
      <c r="D63" s="342" t="s">
        <v>108</v>
      </c>
      <c r="E63" s="342" t="s">
        <v>108</v>
      </c>
      <c r="F63" s="342" t="s">
        <v>108</v>
      </c>
      <c r="G63" s="342" t="s">
        <v>108</v>
      </c>
      <c r="H63" s="342" t="s">
        <v>108</v>
      </c>
      <c r="I63" s="342" t="s">
        <v>108</v>
      </c>
      <c r="J63" s="342" t="s">
        <v>108</v>
      </c>
      <c r="K63" s="342" t="s">
        <v>108</v>
      </c>
      <c r="L63" s="342" t="s">
        <v>108</v>
      </c>
      <c r="M63" s="342" t="s">
        <v>108</v>
      </c>
      <c r="N63" s="342" t="s">
        <v>108</v>
      </c>
      <c r="O63" s="342" t="s">
        <v>108</v>
      </c>
      <c r="P63" s="342" t="s">
        <v>108</v>
      </c>
      <c r="Q63" s="342" t="s">
        <v>108</v>
      </c>
      <c r="R63" s="342" t="s">
        <v>108</v>
      </c>
      <c r="S63" s="342" t="s">
        <v>108</v>
      </c>
      <c r="T63" s="342" t="s">
        <v>108</v>
      </c>
      <c r="U63" s="342" t="s">
        <v>108</v>
      </c>
      <c r="V63" s="342" t="s">
        <v>108</v>
      </c>
      <c r="W63" s="342" t="s">
        <v>108</v>
      </c>
      <c r="X63" s="342" t="s">
        <v>108</v>
      </c>
      <c r="Y63" s="342" t="s">
        <v>108</v>
      </c>
      <c r="Z63" s="342" t="s">
        <v>108</v>
      </c>
      <c r="AA63" s="342" t="s">
        <v>108</v>
      </c>
      <c r="AB63" s="342" t="s">
        <v>108</v>
      </c>
      <c r="AC63" s="342" t="s">
        <v>108</v>
      </c>
      <c r="AD63" s="342" t="s">
        <v>108</v>
      </c>
      <c r="AE63" s="342" t="s">
        <v>108</v>
      </c>
      <c r="AF63" s="342" t="s">
        <v>108</v>
      </c>
      <c r="AG63" s="343" t="s">
        <v>108</v>
      </c>
      <c r="AI63" s="46">
        <f>VLOOKUP(B63,'JUL25'!$B:$AK,36,0)</f>
        <v>22</v>
      </c>
      <c r="AJ63" s="16">
        <f t="shared" si="13"/>
        <v>0</v>
      </c>
      <c r="AK63" s="52">
        <f t="shared" si="14"/>
        <v>22</v>
      </c>
    </row>
    <row r="64" spans="1:37" ht="15.75" thickBot="1">
      <c r="A64" s="1"/>
      <c r="B64" s="1"/>
    </row>
    <row r="65" spans="1:37" ht="18">
      <c r="A65" s="719" t="s">
        <v>125</v>
      </c>
      <c r="B65" s="720"/>
      <c r="C65" s="220">
        <f>COUNTIF(C59:C63,"H05")+COUNTIF(C45:C51,"P05")</f>
        <v>1</v>
      </c>
      <c r="D65" s="218">
        <f t="shared" ref="D65:AG65" si="16">COUNTIF(D59:D63,"H05")+COUNTIF(D45:D51,"P05")</f>
        <v>1</v>
      </c>
      <c r="E65" s="218">
        <f t="shared" si="16"/>
        <v>0</v>
      </c>
      <c r="F65" s="218">
        <f t="shared" si="16"/>
        <v>0</v>
      </c>
      <c r="G65" s="218">
        <f t="shared" si="16"/>
        <v>0</v>
      </c>
      <c r="H65" s="218">
        <f t="shared" si="16"/>
        <v>0</v>
      </c>
      <c r="I65" s="218">
        <f t="shared" si="16"/>
        <v>1</v>
      </c>
      <c r="J65" s="218">
        <f t="shared" si="16"/>
        <v>1</v>
      </c>
      <c r="K65" s="218">
        <f t="shared" si="16"/>
        <v>1</v>
      </c>
      <c r="L65" s="218">
        <f t="shared" si="16"/>
        <v>0</v>
      </c>
      <c r="M65" s="218">
        <f t="shared" si="16"/>
        <v>1</v>
      </c>
      <c r="N65" s="218">
        <f t="shared" si="16"/>
        <v>1</v>
      </c>
      <c r="O65" s="218">
        <f t="shared" si="16"/>
        <v>1</v>
      </c>
      <c r="P65" s="218">
        <f t="shared" si="16"/>
        <v>1</v>
      </c>
      <c r="Q65" s="218">
        <f>COUNTIF(Q59:Q63,"H05")+COUNTIF(Q45:Q51,"P05")</f>
        <v>1</v>
      </c>
      <c r="R65" s="218">
        <f t="shared" si="16"/>
        <v>1</v>
      </c>
      <c r="S65" s="218">
        <f t="shared" si="16"/>
        <v>1</v>
      </c>
      <c r="T65" s="218">
        <f t="shared" si="16"/>
        <v>1</v>
      </c>
      <c r="U65" s="218">
        <f t="shared" si="16"/>
        <v>1</v>
      </c>
      <c r="V65" s="218">
        <f t="shared" si="16"/>
        <v>1</v>
      </c>
      <c r="W65" s="218">
        <f t="shared" si="16"/>
        <v>1</v>
      </c>
      <c r="X65" s="218">
        <f t="shared" si="16"/>
        <v>1</v>
      </c>
      <c r="Y65" s="218">
        <f t="shared" si="16"/>
        <v>1</v>
      </c>
      <c r="Z65" s="218">
        <f t="shared" si="16"/>
        <v>1</v>
      </c>
      <c r="AA65" s="218">
        <f t="shared" si="16"/>
        <v>1</v>
      </c>
      <c r="AB65" s="218">
        <f t="shared" si="16"/>
        <v>1</v>
      </c>
      <c r="AC65" s="218">
        <f t="shared" si="16"/>
        <v>0</v>
      </c>
      <c r="AD65" s="218">
        <f t="shared" si="16"/>
        <v>0</v>
      </c>
      <c r="AE65" s="218">
        <f t="shared" si="16"/>
        <v>1</v>
      </c>
      <c r="AF65" s="218">
        <f t="shared" si="16"/>
        <v>1</v>
      </c>
      <c r="AG65" s="221">
        <f t="shared" si="16"/>
        <v>1</v>
      </c>
    </row>
    <row r="66" spans="1:37" ht="18.75" thickBot="1">
      <c r="A66" s="733" t="s">
        <v>83</v>
      </c>
      <c r="B66" s="734"/>
      <c r="C66" s="241">
        <f>COUNTIF(C59:C63,$A$66)+COUNTIF(C45:C51,$A$66)</f>
        <v>1</v>
      </c>
      <c r="D66" s="283">
        <f t="shared" ref="D66:AG66" si="17">COUNTIF(D59:D63,$A$66)+COUNTIF(D43:D51,$A$66)</f>
        <v>1</v>
      </c>
      <c r="E66" s="283">
        <f>COUNTIF(E59:E63,$A$66)+COUNTIF(E43:E51,$A$66)</f>
        <v>1</v>
      </c>
      <c r="F66" s="283">
        <f t="shared" si="17"/>
        <v>1</v>
      </c>
      <c r="G66" s="283">
        <f t="shared" si="17"/>
        <v>1</v>
      </c>
      <c r="H66" s="283">
        <f t="shared" si="17"/>
        <v>1</v>
      </c>
      <c r="I66" s="283">
        <f t="shared" si="17"/>
        <v>1</v>
      </c>
      <c r="J66" s="283">
        <f t="shared" si="17"/>
        <v>1</v>
      </c>
      <c r="K66" s="283">
        <f t="shared" si="17"/>
        <v>1</v>
      </c>
      <c r="L66" s="283">
        <f t="shared" si="17"/>
        <v>1</v>
      </c>
      <c r="M66" s="283">
        <f t="shared" si="17"/>
        <v>1</v>
      </c>
      <c r="N66" s="283">
        <f t="shared" si="17"/>
        <v>1</v>
      </c>
      <c r="O66" s="283">
        <f t="shared" si="17"/>
        <v>1</v>
      </c>
      <c r="P66" s="283">
        <f t="shared" si="17"/>
        <v>1</v>
      </c>
      <c r="Q66" s="283">
        <f t="shared" si="17"/>
        <v>1</v>
      </c>
      <c r="R66" s="283">
        <f t="shared" si="17"/>
        <v>1</v>
      </c>
      <c r="S66" s="283">
        <f t="shared" si="17"/>
        <v>0</v>
      </c>
      <c r="T66" s="283">
        <f t="shared" si="17"/>
        <v>1</v>
      </c>
      <c r="U66" s="283">
        <f t="shared" si="17"/>
        <v>1</v>
      </c>
      <c r="V66" s="283">
        <f t="shared" si="17"/>
        <v>1</v>
      </c>
      <c r="W66" s="283">
        <f t="shared" si="17"/>
        <v>0</v>
      </c>
      <c r="X66" s="283">
        <f t="shared" si="17"/>
        <v>0</v>
      </c>
      <c r="Y66" s="283">
        <f t="shared" si="17"/>
        <v>1</v>
      </c>
      <c r="Z66" s="283">
        <f t="shared" si="17"/>
        <v>0</v>
      </c>
      <c r="AA66" s="283">
        <f t="shared" si="17"/>
        <v>1</v>
      </c>
      <c r="AB66" s="283">
        <f t="shared" si="17"/>
        <v>1</v>
      </c>
      <c r="AC66" s="283">
        <f t="shared" si="17"/>
        <v>0</v>
      </c>
      <c r="AD66" s="283">
        <f t="shared" si="17"/>
        <v>0</v>
      </c>
      <c r="AE66" s="283">
        <f t="shared" si="17"/>
        <v>1</v>
      </c>
      <c r="AF66" s="283">
        <f t="shared" si="17"/>
        <v>1</v>
      </c>
      <c r="AG66" s="288">
        <f t="shared" si="17"/>
        <v>1</v>
      </c>
    </row>
    <row r="69" spans="1:37">
      <c r="B69" s="922"/>
      <c r="C69" s="922"/>
      <c r="D69" s="922"/>
      <c r="E69" s="922"/>
      <c r="F69" s="922"/>
      <c r="G69" s="922"/>
      <c r="H69" s="922"/>
      <c r="I69" s="922"/>
      <c r="J69" s="922"/>
      <c r="K69" s="922"/>
      <c r="L69" s="922"/>
      <c r="M69" s="922"/>
      <c r="N69" s="922"/>
      <c r="O69" s="922"/>
      <c r="P69" s="922"/>
      <c r="Q69" s="922"/>
      <c r="R69" s="922"/>
      <c r="S69" s="922"/>
      <c r="T69" s="922"/>
      <c r="U69" s="922"/>
      <c r="V69" s="922"/>
      <c r="W69" s="922"/>
      <c r="X69" s="922"/>
      <c r="Y69" s="922"/>
      <c r="Z69" s="922"/>
      <c r="AA69" s="922"/>
      <c r="AB69" s="922"/>
      <c r="AC69" s="922"/>
      <c r="AD69" s="922"/>
      <c r="AE69" s="922"/>
      <c r="AF69" s="922"/>
      <c r="AG69" s="922"/>
      <c r="AH69" s="922"/>
      <c r="AI69" s="922"/>
      <c r="AJ69" s="922"/>
      <c r="AK69" s="922"/>
    </row>
  </sheetData>
  <mergeCells count="3">
    <mergeCell ref="AI3:AI4"/>
    <mergeCell ref="AJ3:AJ4"/>
    <mergeCell ref="AK3:AK4"/>
  </mergeCells>
  <conditionalFormatting sqref="C56:AG56">
    <cfRule type="cellIs" dxfId="20" priority="2" operator="lessThan">
      <formula>1.5</formula>
    </cfRule>
    <cfRule type="cellIs" dxfId="19" priority="3" operator="lessThan">
      <formula>2.5</formula>
    </cfRule>
  </conditionalFormatting>
  <conditionalFormatting sqref="C65:AG66">
    <cfRule type="cellIs" dxfId="18" priority="1" operator="lessThan">
      <formula>0.5</formula>
    </cfRule>
  </conditionalFormatting>
  <conditionalFormatting sqref="AH15:AH25">
    <cfRule type="cellIs" dxfId="17" priority="4" operator="equal">
      <formula>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694E-22D9-43E7-84FA-78F6FCB37239}">
  <dimension ref="A1:AL70"/>
  <sheetViews>
    <sheetView showGridLines="0" zoomScale="70" zoomScaleNormal="70" workbookViewId="0">
      <pane xSplit="2" ySplit="4" topLeftCell="R36" activePane="bottomRight" state="frozen"/>
      <selection pane="bottomRight" activeCell="A49" sqref="A49:XFD49"/>
      <selection pane="bottomLeft" activeCell="A5" sqref="A5"/>
      <selection pane="topRight" activeCell="C1" sqref="C1"/>
    </sheetView>
  </sheetViews>
  <sheetFormatPr defaultColWidth="9.140625" defaultRowHeight="15"/>
  <cols>
    <col min="1" max="2" width="42.5703125" customWidth="1"/>
    <col min="9" max="9" width="9.7109375" customWidth="1"/>
  </cols>
  <sheetData>
    <row r="1" spans="1:38" ht="20.100000000000001" customHeight="1" thickBot="1">
      <c r="A1" s="906"/>
      <c r="B1" s="584" t="s">
        <v>0</v>
      </c>
      <c r="C1" s="904" t="s">
        <v>1</v>
      </c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6"/>
      <c r="U1" s="586"/>
      <c r="V1" s="586"/>
      <c r="W1" s="586"/>
      <c r="X1" s="586"/>
      <c r="Y1" s="586"/>
      <c r="Z1" s="586"/>
      <c r="AA1" s="586"/>
      <c r="AB1" s="586"/>
      <c r="AC1" s="586"/>
      <c r="AD1" s="586"/>
      <c r="AE1" s="586"/>
      <c r="AF1" s="587"/>
    </row>
    <row r="2" spans="1:38" ht="30" customHeight="1" thickBot="1">
      <c r="A2" s="588" t="s">
        <v>2</v>
      </c>
      <c r="B2" s="552"/>
      <c r="C2" s="941" t="s">
        <v>199</v>
      </c>
      <c r="D2" s="942"/>
      <c r="E2" s="942"/>
      <c r="F2" s="942"/>
      <c r="G2" s="942"/>
      <c r="H2" s="942"/>
      <c r="I2" s="942"/>
      <c r="J2" s="942"/>
      <c r="K2" s="942"/>
      <c r="L2" s="942"/>
      <c r="M2" s="942"/>
      <c r="N2" s="942"/>
      <c r="O2" s="942"/>
      <c r="P2" s="942"/>
      <c r="Q2" s="942"/>
      <c r="R2" s="942"/>
      <c r="S2" s="942"/>
      <c r="T2" s="942"/>
      <c r="U2" s="942"/>
      <c r="V2" s="942"/>
      <c r="W2" s="942"/>
      <c r="X2" s="942"/>
      <c r="Y2" s="942"/>
      <c r="Z2" s="942"/>
      <c r="AA2" s="942"/>
      <c r="AB2" s="942"/>
      <c r="AC2" s="942"/>
      <c r="AD2" s="942"/>
      <c r="AE2" s="942"/>
      <c r="AF2" s="943"/>
      <c r="AH2" s="618" t="s">
        <v>5</v>
      </c>
      <c r="AI2" s="619"/>
      <c r="AJ2" s="620"/>
    </row>
    <row r="3" spans="1:38" ht="24.95" customHeight="1">
      <c r="A3" s="590" t="s">
        <v>0</v>
      </c>
      <c r="B3" s="464" t="s">
        <v>0</v>
      </c>
      <c r="C3" s="945" t="s">
        <v>11</v>
      </c>
      <c r="D3" s="946" t="s">
        <v>12</v>
      </c>
      <c r="E3" s="946" t="s">
        <v>6</v>
      </c>
      <c r="F3" s="946" t="s">
        <v>7</v>
      </c>
      <c r="G3" s="950" t="s">
        <v>8</v>
      </c>
      <c r="H3" s="961" t="s">
        <v>9</v>
      </c>
      <c r="I3" s="962" t="s">
        <v>10</v>
      </c>
      <c r="J3" s="956" t="s">
        <v>11</v>
      </c>
      <c r="K3" s="946" t="s">
        <v>12</v>
      </c>
      <c r="L3" s="946" t="s">
        <v>6</v>
      </c>
      <c r="M3" s="946" t="s">
        <v>7</v>
      </c>
      <c r="N3" s="950" t="s">
        <v>8</v>
      </c>
      <c r="O3" s="961" t="s">
        <v>9</v>
      </c>
      <c r="P3" s="962" t="s">
        <v>10</v>
      </c>
      <c r="Q3" s="956" t="s">
        <v>11</v>
      </c>
      <c r="R3" s="946" t="s">
        <v>12</v>
      </c>
      <c r="S3" s="946" t="s">
        <v>6</v>
      </c>
      <c r="T3" s="946" t="s">
        <v>7</v>
      </c>
      <c r="U3" s="950" t="s">
        <v>8</v>
      </c>
      <c r="V3" s="961" t="s">
        <v>9</v>
      </c>
      <c r="W3" s="962" t="s">
        <v>10</v>
      </c>
      <c r="X3" s="956" t="s">
        <v>11</v>
      </c>
      <c r="Y3" s="946" t="s">
        <v>12</v>
      </c>
      <c r="Z3" s="946" t="s">
        <v>6</v>
      </c>
      <c r="AA3" s="946" t="s">
        <v>7</v>
      </c>
      <c r="AB3" s="950" t="s">
        <v>8</v>
      </c>
      <c r="AC3" s="961" t="s">
        <v>9</v>
      </c>
      <c r="AD3" s="962" t="s">
        <v>10</v>
      </c>
      <c r="AE3" s="945" t="s">
        <v>11</v>
      </c>
      <c r="AF3" s="947" t="s">
        <v>12</v>
      </c>
      <c r="AH3" s="1401">
        <v>2025</v>
      </c>
      <c r="AI3" s="1397" t="s">
        <v>13</v>
      </c>
      <c r="AJ3" s="1399" t="s">
        <v>14</v>
      </c>
    </row>
    <row r="4" spans="1:38" ht="24.95" customHeight="1">
      <c r="A4" s="591" t="s">
        <v>15</v>
      </c>
      <c r="B4" s="466" t="s">
        <v>16</v>
      </c>
      <c r="C4" s="948">
        <v>1</v>
      </c>
      <c r="D4" s="949">
        <v>2</v>
      </c>
      <c r="E4" s="949">
        <v>3</v>
      </c>
      <c r="F4" s="949">
        <v>4</v>
      </c>
      <c r="G4" s="951">
        <v>5</v>
      </c>
      <c r="H4" s="1107">
        <v>6</v>
      </c>
      <c r="I4" s="1108">
        <v>7</v>
      </c>
      <c r="J4" s="957">
        <v>8</v>
      </c>
      <c r="K4" s="949">
        <v>9</v>
      </c>
      <c r="L4" s="949">
        <v>10</v>
      </c>
      <c r="M4" s="949">
        <v>11</v>
      </c>
      <c r="N4" s="951">
        <v>12</v>
      </c>
      <c r="O4" s="963">
        <v>13</v>
      </c>
      <c r="P4" s="964">
        <v>14</v>
      </c>
      <c r="Q4" s="957">
        <v>15</v>
      </c>
      <c r="R4" s="949">
        <v>16</v>
      </c>
      <c r="S4" s="949">
        <v>17</v>
      </c>
      <c r="T4" s="949">
        <v>18</v>
      </c>
      <c r="U4" s="951">
        <v>19</v>
      </c>
      <c r="V4" s="963">
        <v>20</v>
      </c>
      <c r="W4" s="964">
        <v>21</v>
      </c>
      <c r="X4" s="1140">
        <v>22</v>
      </c>
      <c r="Y4" s="1141">
        <v>23</v>
      </c>
      <c r="Z4" s="1141">
        <v>24</v>
      </c>
      <c r="AA4" s="1141">
        <v>25</v>
      </c>
      <c r="AB4" s="1142">
        <v>26</v>
      </c>
      <c r="AC4" s="1107">
        <v>27</v>
      </c>
      <c r="AD4" s="1108">
        <v>28</v>
      </c>
      <c r="AE4" s="1126">
        <v>29</v>
      </c>
      <c r="AF4" s="1127">
        <v>30</v>
      </c>
      <c r="AH4" s="1405"/>
      <c r="AI4" s="1406"/>
      <c r="AJ4" s="1407"/>
    </row>
    <row r="5" spans="1:38" ht="18.75" customHeight="1">
      <c r="A5" s="892" t="s">
        <v>17</v>
      </c>
      <c r="B5" s="895" t="s">
        <v>18</v>
      </c>
      <c r="C5" s="944" t="s">
        <v>191</v>
      </c>
      <c r="D5" s="944" t="s">
        <v>191</v>
      </c>
      <c r="E5" s="944" t="s">
        <v>191</v>
      </c>
      <c r="F5" s="944" t="s">
        <v>191</v>
      </c>
      <c r="G5" s="952" t="s">
        <v>191</v>
      </c>
      <c r="H5" s="1109" t="s">
        <v>191</v>
      </c>
      <c r="I5" s="1110" t="s">
        <v>191</v>
      </c>
      <c r="J5" s="958" t="s">
        <v>191</v>
      </c>
      <c r="K5" s="944" t="s">
        <v>191</v>
      </c>
      <c r="L5" s="944" t="s">
        <v>191</v>
      </c>
      <c r="M5" s="944" t="s">
        <v>191</v>
      </c>
      <c r="N5" s="952" t="s">
        <v>191</v>
      </c>
      <c r="O5" s="965" t="s">
        <v>191</v>
      </c>
      <c r="P5" s="966" t="s">
        <v>191</v>
      </c>
      <c r="Q5" s="958" t="s">
        <v>191</v>
      </c>
      <c r="R5" s="944" t="s">
        <v>191</v>
      </c>
      <c r="S5" s="944" t="s">
        <v>191</v>
      </c>
      <c r="T5" s="944" t="s">
        <v>191</v>
      </c>
      <c r="U5" s="952" t="s">
        <v>191</v>
      </c>
      <c r="V5" s="965" t="s">
        <v>191</v>
      </c>
      <c r="W5" s="952" t="s">
        <v>191</v>
      </c>
      <c r="X5" s="1109" t="s">
        <v>191</v>
      </c>
      <c r="Y5" s="1143" t="s">
        <v>191</v>
      </c>
      <c r="Z5" s="1143" t="s">
        <v>191</v>
      </c>
      <c r="AA5" s="1143" t="s">
        <v>191</v>
      </c>
      <c r="AB5" s="1172" t="s">
        <v>191</v>
      </c>
      <c r="AC5" s="1167" t="s">
        <v>191</v>
      </c>
      <c r="AD5" s="1168" t="s">
        <v>191</v>
      </c>
      <c r="AE5" s="1177" t="s">
        <v>191</v>
      </c>
      <c r="AF5" s="1110" t="s">
        <v>191</v>
      </c>
      <c r="AH5" s="4">
        <f>VLOOKUP(B5,'AUG25'!$B:$AK,36,0)</f>
        <v>22</v>
      </c>
      <c r="AI5" s="56">
        <f>COUNTIF(C5:AF5,"U")</f>
        <v>0</v>
      </c>
      <c r="AJ5" s="57">
        <f>AH5-AI5</f>
        <v>22</v>
      </c>
    </row>
    <row r="6" spans="1:38" ht="19.5" customHeight="1">
      <c r="A6" s="892" t="s">
        <v>20</v>
      </c>
      <c r="B6" s="895" t="s">
        <v>21</v>
      </c>
      <c r="C6" s="28" t="s">
        <v>24</v>
      </c>
      <c r="D6" s="28" t="s">
        <v>24</v>
      </c>
      <c r="E6" s="28" t="s">
        <v>24</v>
      </c>
      <c r="F6" s="953" t="s">
        <v>23</v>
      </c>
      <c r="G6" s="953" t="s">
        <v>23</v>
      </c>
      <c r="H6" s="1111" t="s">
        <v>24</v>
      </c>
      <c r="I6" s="470" t="s">
        <v>24</v>
      </c>
      <c r="J6" s="112" t="s">
        <v>24</v>
      </c>
      <c r="K6" s="111" t="s">
        <v>24</v>
      </c>
      <c r="L6" s="1061" t="s">
        <v>146</v>
      </c>
      <c r="M6" s="562" t="s">
        <v>23</v>
      </c>
      <c r="N6" s="953" t="s">
        <v>23</v>
      </c>
      <c r="O6" s="5" t="s">
        <v>22</v>
      </c>
      <c r="P6" s="9" t="s">
        <v>22</v>
      </c>
      <c r="Q6" s="2" t="s">
        <v>22</v>
      </c>
      <c r="R6" s="6" t="s">
        <v>22</v>
      </c>
      <c r="S6" s="562" t="s">
        <v>23</v>
      </c>
      <c r="T6" s="562" t="s">
        <v>23</v>
      </c>
      <c r="U6" s="32" t="s">
        <v>22</v>
      </c>
      <c r="V6" s="5" t="s">
        <v>22</v>
      </c>
      <c r="W6" s="32" t="s">
        <v>22</v>
      </c>
      <c r="X6" s="1112" t="s">
        <v>22</v>
      </c>
      <c r="Y6" s="439" t="s">
        <v>23</v>
      </c>
      <c r="Z6" s="439" t="s">
        <v>23</v>
      </c>
      <c r="AA6" s="138" t="s">
        <v>22</v>
      </c>
      <c r="AB6" s="1173" t="s">
        <v>22</v>
      </c>
      <c r="AC6" s="1033" t="s">
        <v>22</v>
      </c>
      <c r="AD6" s="1034" t="s">
        <v>22</v>
      </c>
      <c r="AE6" s="1178" t="s">
        <v>23</v>
      </c>
      <c r="AF6" s="1128" t="s">
        <v>23</v>
      </c>
      <c r="AH6" s="37">
        <f>VLOOKUP(B6,'AUG25'!$B:$AK,36,0)</f>
        <v>3</v>
      </c>
      <c r="AI6" s="35">
        <f>COUNTIF(C6:AF6,"U")</f>
        <v>0</v>
      </c>
      <c r="AJ6" s="38">
        <f>AH6-AI6</f>
        <v>3</v>
      </c>
    </row>
    <row r="7" spans="1:38" ht="18.75" customHeight="1">
      <c r="A7" s="893" t="s">
        <v>26</v>
      </c>
      <c r="B7" s="896" t="s">
        <v>27</v>
      </c>
      <c r="C7" s="29" t="s">
        <v>23</v>
      </c>
      <c r="D7" s="29" t="s">
        <v>23</v>
      </c>
      <c r="E7" s="111" t="s">
        <v>24</v>
      </c>
      <c r="F7" s="111" t="s">
        <v>24</v>
      </c>
      <c r="G7" s="31" t="s">
        <v>24</v>
      </c>
      <c r="H7" s="1111" t="s">
        <v>24</v>
      </c>
      <c r="I7" s="151" t="s">
        <v>23</v>
      </c>
      <c r="J7" s="81" t="s">
        <v>23</v>
      </c>
      <c r="K7" s="1074" t="s">
        <v>22</v>
      </c>
      <c r="L7" s="1074" t="s">
        <v>22</v>
      </c>
      <c r="M7" s="6" t="s">
        <v>22</v>
      </c>
      <c r="N7" s="32" t="s">
        <v>22</v>
      </c>
      <c r="O7" s="77" t="s">
        <v>23</v>
      </c>
      <c r="P7" s="78" t="s">
        <v>23</v>
      </c>
      <c r="Q7" s="112" t="s">
        <v>24</v>
      </c>
      <c r="R7" s="111" t="s">
        <v>24</v>
      </c>
      <c r="S7" s="111" t="s">
        <v>24</v>
      </c>
      <c r="T7" s="111" t="s">
        <v>24</v>
      </c>
      <c r="U7" s="79" t="s">
        <v>23</v>
      </c>
      <c r="V7" s="77" t="s">
        <v>23</v>
      </c>
      <c r="W7" s="993" t="s">
        <v>63</v>
      </c>
      <c r="X7" s="1138" t="s">
        <v>63</v>
      </c>
      <c r="Y7" s="420" t="s">
        <v>63</v>
      </c>
      <c r="Z7" s="420" t="s">
        <v>63</v>
      </c>
      <c r="AA7" s="160" t="s">
        <v>23</v>
      </c>
      <c r="AB7" s="1174" t="s">
        <v>23</v>
      </c>
      <c r="AC7" s="1169" t="s">
        <v>24</v>
      </c>
      <c r="AD7" s="1170" t="s">
        <v>24</v>
      </c>
      <c r="AE7" s="156" t="s">
        <v>24</v>
      </c>
      <c r="AF7" s="470" t="s">
        <v>24</v>
      </c>
      <c r="AH7" s="37">
        <f>VLOOKUP(B7,'AUG25'!$B:$AK,36,0)</f>
        <v>6</v>
      </c>
      <c r="AI7" s="35">
        <f>COUNTIF(C7:AF7,"U")</f>
        <v>0</v>
      </c>
      <c r="AJ7" s="38">
        <f>AH7-AI7</f>
        <v>6</v>
      </c>
    </row>
    <row r="8" spans="1:38" ht="18.75" customHeight="1">
      <c r="A8" s="893" t="s">
        <v>28</v>
      </c>
      <c r="B8" s="896" t="s">
        <v>29</v>
      </c>
      <c r="C8" s="92" t="s">
        <v>34</v>
      </c>
      <c r="D8" s="92" t="s">
        <v>34</v>
      </c>
      <c r="E8" s="92" t="s">
        <v>34</v>
      </c>
      <c r="F8" s="92" t="s">
        <v>34</v>
      </c>
      <c r="G8" s="79" t="s">
        <v>23</v>
      </c>
      <c r="H8" s="150" t="s">
        <v>23</v>
      </c>
      <c r="I8" s="144" t="s">
        <v>34</v>
      </c>
      <c r="J8" s="959" t="s">
        <v>34</v>
      </c>
      <c r="K8" s="92" t="s">
        <v>34</v>
      </c>
      <c r="L8" s="92" t="s">
        <v>34</v>
      </c>
      <c r="M8" s="29" t="s">
        <v>23</v>
      </c>
      <c r="N8" s="79" t="s">
        <v>23</v>
      </c>
      <c r="O8" s="967" t="s">
        <v>34</v>
      </c>
      <c r="P8" s="93" t="s">
        <v>34</v>
      </c>
      <c r="Q8" s="2" t="s">
        <v>22</v>
      </c>
      <c r="R8" s="6" t="s">
        <v>22</v>
      </c>
      <c r="S8" s="29" t="s">
        <v>23</v>
      </c>
      <c r="T8" s="29" t="s">
        <v>23</v>
      </c>
      <c r="U8" s="32" t="s">
        <v>22</v>
      </c>
      <c r="V8" s="5" t="s">
        <v>22</v>
      </c>
      <c r="W8" s="32" t="s">
        <v>22</v>
      </c>
      <c r="X8" s="1112" t="s">
        <v>22</v>
      </c>
      <c r="Y8" s="160" t="s">
        <v>23</v>
      </c>
      <c r="Z8" s="160" t="s">
        <v>23</v>
      </c>
      <c r="AA8" s="148" t="s">
        <v>24</v>
      </c>
      <c r="AB8" s="1175" t="s">
        <v>24</v>
      </c>
      <c r="AC8" s="1169" t="s">
        <v>24</v>
      </c>
      <c r="AD8" s="1170" t="s">
        <v>24</v>
      </c>
      <c r="AE8" s="326" t="s">
        <v>23</v>
      </c>
      <c r="AF8" s="151" t="s">
        <v>23</v>
      </c>
      <c r="AH8" s="37">
        <f>VLOOKUP(B8,'AUG25'!$B:$AK,36,0)</f>
        <v>15</v>
      </c>
      <c r="AI8" s="35">
        <f t="shared" ref="AI8:AI9" si="0">COUNTIF(C8:AF8,"U")</f>
        <v>10</v>
      </c>
      <c r="AJ8" s="38">
        <f t="shared" ref="AJ8:AJ9" si="1">AH8-AI8</f>
        <v>5</v>
      </c>
    </row>
    <row r="9" spans="1:38" ht="18.75" customHeight="1">
      <c r="A9" s="893" t="s">
        <v>32</v>
      </c>
      <c r="B9" s="896" t="s">
        <v>33</v>
      </c>
      <c r="C9" s="6" t="s">
        <v>22</v>
      </c>
      <c r="D9" s="6" t="s">
        <v>22</v>
      </c>
      <c r="E9" s="29" t="s">
        <v>23</v>
      </c>
      <c r="F9" s="29" t="s">
        <v>23</v>
      </c>
      <c r="G9" s="954" t="s">
        <v>53</v>
      </c>
      <c r="H9" s="1112" t="s">
        <v>22</v>
      </c>
      <c r="I9" s="1113" t="s">
        <v>22</v>
      </c>
      <c r="J9" s="1076" t="s">
        <v>22</v>
      </c>
      <c r="K9" s="29" t="s">
        <v>23</v>
      </c>
      <c r="L9" s="29" t="s">
        <v>23</v>
      </c>
      <c r="M9" s="111" t="s">
        <v>24</v>
      </c>
      <c r="N9" s="31" t="s">
        <v>24</v>
      </c>
      <c r="O9" s="107" t="s">
        <v>24</v>
      </c>
      <c r="P9" s="119" t="s">
        <v>24</v>
      </c>
      <c r="Q9" s="81" t="s">
        <v>23</v>
      </c>
      <c r="R9" s="29" t="s">
        <v>23</v>
      </c>
      <c r="S9" s="6" t="s">
        <v>22</v>
      </c>
      <c r="T9" s="6" t="s">
        <v>22</v>
      </c>
      <c r="U9" s="32" t="s">
        <v>22</v>
      </c>
      <c r="V9" s="5" t="s">
        <v>22</v>
      </c>
      <c r="W9" s="79" t="s">
        <v>23</v>
      </c>
      <c r="X9" s="150" t="s">
        <v>23</v>
      </c>
      <c r="Y9" s="148" t="s">
        <v>24</v>
      </c>
      <c r="Z9" s="148" t="s">
        <v>24</v>
      </c>
      <c r="AA9" s="148" t="s">
        <v>24</v>
      </c>
      <c r="AB9" s="1181" t="s">
        <v>34</v>
      </c>
      <c r="AC9" s="1035" t="s">
        <v>23</v>
      </c>
      <c r="AD9" s="1038" t="s">
        <v>23</v>
      </c>
      <c r="AE9" s="142" t="s">
        <v>22</v>
      </c>
      <c r="AF9" s="141" t="s">
        <v>22</v>
      </c>
      <c r="AH9" s="37">
        <f>VLOOKUP(B9,'AUG25'!$B:$AK,36,0)</f>
        <v>10</v>
      </c>
      <c r="AI9" s="35">
        <f t="shared" si="0"/>
        <v>1</v>
      </c>
      <c r="AJ9" s="38">
        <f t="shared" si="1"/>
        <v>9</v>
      </c>
    </row>
    <row r="10" spans="1:38" ht="18.75" customHeight="1">
      <c r="A10" s="893" t="s">
        <v>35</v>
      </c>
      <c r="B10" s="896" t="s">
        <v>36</v>
      </c>
      <c r="C10" s="29" t="s">
        <v>23</v>
      </c>
      <c r="D10" s="29" t="s">
        <v>23</v>
      </c>
      <c r="E10" s="6" t="s">
        <v>22</v>
      </c>
      <c r="F10" s="6" t="s">
        <v>22</v>
      </c>
      <c r="G10" s="32" t="s">
        <v>22</v>
      </c>
      <c r="H10" s="1112" t="s">
        <v>22</v>
      </c>
      <c r="I10" s="151" t="s">
        <v>23</v>
      </c>
      <c r="J10" s="81" t="s">
        <v>23</v>
      </c>
      <c r="K10" s="111" t="s">
        <v>24</v>
      </c>
      <c r="L10" s="111" t="s">
        <v>24</v>
      </c>
      <c r="M10" s="1062" t="s">
        <v>24</v>
      </c>
      <c r="N10" s="1066" t="s">
        <v>24</v>
      </c>
      <c r="O10" s="77" t="s">
        <v>23</v>
      </c>
      <c r="P10" s="78" t="s">
        <v>23</v>
      </c>
      <c r="Q10" s="1076" t="s">
        <v>22</v>
      </c>
      <c r="R10" s="1074" t="s">
        <v>22</v>
      </c>
      <c r="S10" s="1074" t="s">
        <v>22</v>
      </c>
      <c r="T10" s="1074" t="s">
        <v>22</v>
      </c>
      <c r="U10" s="79" t="s">
        <v>23</v>
      </c>
      <c r="V10" s="77" t="s">
        <v>23</v>
      </c>
      <c r="W10" s="31" t="s">
        <v>24</v>
      </c>
      <c r="X10" s="1111" t="s">
        <v>24</v>
      </c>
      <c r="Y10" s="148" t="s">
        <v>24</v>
      </c>
      <c r="Z10" s="148" t="s">
        <v>24</v>
      </c>
      <c r="AA10" s="160" t="s">
        <v>23</v>
      </c>
      <c r="AB10" s="1174" t="s">
        <v>23</v>
      </c>
      <c r="AC10" s="1033" t="s">
        <v>22</v>
      </c>
      <c r="AD10" s="1034" t="s">
        <v>22</v>
      </c>
      <c r="AE10" s="1179" t="s">
        <v>22</v>
      </c>
      <c r="AF10" s="1113" t="s">
        <v>22</v>
      </c>
      <c r="AH10" s="37">
        <f>VLOOKUP(B10,'AUG25'!$B:$AK,36,0)</f>
        <v>4</v>
      </c>
      <c r="AI10" s="35">
        <f>COUNTIF(C10:AF10,"U")</f>
        <v>0</v>
      </c>
      <c r="AJ10" s="38">
        <f>AH10-AI10</f>
        <v>4</v>
      </c>
    </row>
    <row r="11" spans="1:38" ht="18.75" customHeight="1">
      <c r="A11" s="893" t="s">
        <v>37</v>
      </c>
      <c r="B11" s="535" t="s">
        <v>38</v>
      </c>
      <c r="C11" s="1062" t="s">
        <v>24</v>
      </c>
      <c r="D11" s="1062" t="s">
        <v>24</v>
      </c>
      <c r="E11" s="1062" t="s">
        <v>24</v>
      </c>
      <c r="F11" s="1062" t="s">
        <v>24</v>
      </c>
      <c r="G11" s="79" t="s">
        <v>23</v>
      </c>
      <c r="H11" s="150" t="s">
        <v>23</v>
      </c>
      <c r="I11" s="141" t="s">
        <v>22</v>
      </c>
      <c r="J11" s="2" t="s">
        <v>22</v>
      </c>
      <c r="K11" s="6" t="s">
        <v>22</v>
      </c>
      <c r="L11" s="6" t="s">
        <v>22</v>
      </c>
      <c r="M11" s="29" t="s">
        <v>23</v>
      </c>
      <c r="N11" s="79" t="s">
        <v>23</v>
      </c>
      <c r="O11" s="1067" t="s">
        <v>24</v>
      </c>
      <c r="P11" s="1068" t="s">
        <v>24</v>
      </c>
      <c r="Q11" s="3" t="s">
        <v>24</v>
      </c>
      <c r="R11" s="157" t="s">
        <v>19</v>
      </c>
      <c r="S11" s="29" t="s">
        <v>23</v>
      </c>
      <c r="T11" s="29" t="s">
        <v>23</v>
      </c>
      <c r="U11" s="31" t="s">
        <v>24</v>
      </c>
      <c r="V11" s="107" t="s">
        <v>24</v>
      </c>
      <c r="W11" s="31" t="s">
        <v>24</v>
      </c>
      <c r="X11" s="1111" t="s">
        <v>24</v>
      </c>
      <c r="Y11" s="160" t="s">
        <v>23</v>
      </c>
      <c r="Z11" s="160" t="s">
        <v>23</v>
      </c>
      <c r="AA11" s="138" t="s">
        <v>22</v>
      </c>
      <c r="AB11" s="1173" t="s">
        <v>22</v>
      </c>
      <c r="AC11" s="1073" t="s">
        <v>22</v>
      </c>
      <c r="AD11" s="1171" t="s">
        <v>22</v>
      </c>
      <c r="AE11" s="326" t="s">
        <v>23</v>
      </c>
      <c r="AF11" s="470" t="s">
        <v>24</v>
      </c>
      <c r="AH11" s="37">
        <f>VLOOKUP(B11,'AUG25'!$B:$AK,36,0)</f>
        <v>14</v>
      </c>
      <c r="AI11" s="35">
        <f>COUNTIF(C11:AF11,"U")</f>
        <v>0</v>
      </c>
      <c r="AJ11" s="38">
        <f>AH11-AI11</f>
        <v>14</v>
      </c>
    </row>
    <row r="12" spans="1:38" ht="19.5" customHeight="1">
      <c r="A12" s="894" t="s">
        <v>43</v>
      </c>
      <c r="B12" s="550" t="s">
        <v>44</v>
      </c>
      <c r="C12" s="15" t="s">
        <v>22</v>
      </c>
      <c r="D12" s="15" t="s">
        <v>22</v>
      </c>
      <c r="E12" s="83" t="s">
        <v>23</v>
      </c>
      <c r="F12" s="83" t="s">
        <v>23</v>
      </c>
      <c r="G12" s="1063" t="s">
        <v>24</v>
      </c>
      <c r="H12" s="1114" t="s">
        <v>24</v>
      </c>
      <c r="I12" s="1115" t="s">
        <v>24</v>
      </c>
      <c r="J12" s="1064" t="s">
        <v>24</v>
      </c>
      <c r="K12" s="83" t="s">
        <v>23</v>
      </c>
      <c r="L12" s="83" t="s">
        <v>23</v>
      </c>
      <c r="M12" s="15" t="s">
        <v>22</v>
      </c>
      <c r="N12" s="955" t="s">
        <v>22</v>
      </c>
      <c r="O12" s="1078" t="s">
        <v>22</v>
      </c>
      <c r="P12" s="1079" t="s">
        <v>22</v>
      </c>
      <c r="Q12" s="960" t="s">
        <v>23</v>
      </c>
      <c r="R12" s="83" t="s">
        <v>23</v>
      </c>
      <c r="S12" s="116" t="s">
        <v>24</v>
      </c>
      <c r="T12" s="116" t="s">
        <v>24</v>
      </c>
      <c r="U12" s="115" t="s">
        <v>24</v>
      </c>
      <c r="V12" s="118" t="s">
        <v>24</v>
      </c>
      <c r="W12" s="998" t="s">
        <v>23</v>
      </c>
      <c r="X12" s="1144" t="s">
        <v>23</v>
      </c>
      <c r="Y12" s="1145" t="s">
        <v>22</v>
      </c>
      <c r="Z12" s="1145" t="s">
        <v>22</v>
      </c>
      <c r="AA12" s="1145" t="s">
        <v>22</v>
      </c>
      <c r="AB12" s="1176" t="s">
        <v>22</v>
      </c>
      <c r="AC12" s="1044" t="s">
        <v>23</v>
      </c>
      <c r="AD12" s="1059" t="s">
        <v>23</v>
      </c>
      <c r="AE12" s="1180" t="s">
        <v>24</v>
      </c>
      <c r="AF12" s="1129" t="s">
        <v>24</v>
      </c>
      <c r="AH12" s="46">
        <f>VLOOKUP(B12,'AUG25'!$B:$AK,36,0)</f>
        <v>4</v>
      </c>
      <c r="AI12" s="16">
        <f>COUNTIF(C12:AF12,"U")</f>
        <v>0</v>
      </c>
      <c r="AJ12" s="52">
        <f>AH12-AI12</f>
        <v>4</v>
      </c>
    </row>
    <row r="13" spans="1:38" ht="20.100000000000001" customHeight="1">
      <c r="A13" s="302"/>
      <c r="B13" s="302"/>
      <c r="C13" s="98"/>
      <c r="D13" s="98"/>
      <c r="E13" s="98"/>
      <c r="F13" s="98"/>
      <c r="G13" s="167"/>
      <c r="H13" s="167"/>
      <c r="I13" s="167"/>
      <c r="J13" s="167"/>
      <c r="K13" s="98"/>
      <c r="L13" s="98"/>
      <c r="M13" s="98"/>
      <c r="N13" s="98"/>
      <c r="O13" s="98"/>
      <c r="P13" s="98"/>
      <c r="Q13" s="98"/>
      <c r="R13" s="98"/>
      <c r="S13" s="167"/>
      <c r="T13" s="167"/>
      <c r="U13" s="167"/>
      <c r="V13" s="167"/>
      <c r="W13" s="98"/>
      <c r="X13" s="98"/>
      <c r="Y13" s="98"/>
      <c r="Z13" s="98"/>
      <c r="AA13" s="98"/>
      <c r="AB13" s="98"/>
      <c r="AC13" s="98"/>
      <c r="AD13" s="98"/>
      <c r="AE13" s="167"/>
      <c r="AF13" s="167"/>
      <c r="AH13" s="72"/>
      <c r="AI13" s="72"/>
      <c r="AJ13" s="72"/>
    </row>
    <row r="14" spans="1:38" ht="24.95" customHeight="1" thickBot="1">
      <c r="A14" s="581" t="s">
        <v>196</v>
      </c>
      <c r="B14" s="514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650"/>
      <c r="AE14" s="650"/>
      <c r="AF14" s="651"/>
      <c r="AG14" s="96"/>
      <c r="AH14" s="72"/>
      <c r="AI14" s="72"/>
      <c r="AJ14" s="72"/>
    </row>
    <row r="15" spans="1:38" ht="18.75" customHeight="1">
      <c r="A15" s="893" t="s">
        <v>192</v>
      </c>
      <c r="B15" s="535" t="s">
        <v>193</v>
      </c>
      <c r="C15" s="92" t="s">
        <v>34</v>
      </c>
      <c r="D15" s="92" t="s">
        <v>34</v>
      </c>
      <c r="E15" s="92" t="s">
        <v>34</v>
      </c>
      <c r="F15" s="92" t="s">
        <v>34</v>
      </c>
      <c r="G15" s="92" t="s">
        <v>34</v>
      </c>
      <c r="H15" s="79" t="s">
        <v>23</v>
      </c>
      <c r="I15" s="160" t="s">
        <v>23</v>
      </c>
      <c r="J15" s="137" t="s">
        <v>34</v>
      </c>
      <c r="K15" s="137" t="s">
        <v>34</v>
      </c>
      <c r="L15" s="980" t="s">
        <v>165</v>
      </c>
      <c r="M15" s="367" t="s">
        <v>165</v>
      </c>
      <c r="N15" s="367" t="s">
        <v>165</v>
      </c>
      <c r="O15" s="29" t="s">
        <v>23</v>
      </c>
      <c r="P15" s="29" t="s">
        <v>23</v>
      </c>
      <c r="Q15" s="367" t="s">
        <v>165</v>
      </c>
      <c r="R15" s="367" t="s">
        <v>165</v>
      </c>
      <c r="S15" s="367" t="s">
        <v>165</v>
      </c>
      <c r="T15" s="392" t="s">
        <v>68</v>
      </c>
      <c r="U15" s="392" t="s">
        <v>19</v>
      </c>
      <c r="V15" s="29" t="s">
        <v>23</v>
      </c>
      <c r="W15" s="29" t="s">
        <v>23</v>
      </c>
      <c r="X15" s="367" t="s">
        <v>165</v>
      </c>
      <c r="Y15" s="367" t="s">
        <v>165</v>
      </c>
      <c r="Z15" s="367" t="s">
        <v>165</v>
      </c>
      <c r="AA15" s="367" t="s">
        <v>165</v>
      </c>
      <c r="AB15" s="367" t="s">
        <v>165</v>
      </c>
      <c r="AC15" s="29" t="s">
        <v>23</v>
      </c>
      <c r="AD15" s="29" t="s">
        <v>23</v>
      </c>
      <c r="AE15" s="367" t="s">
        <v>165</v>
      </c>
      <c r="AF15" s="810" t="s">
        <v>165</v>
      </c>
      <c r="AG15" s="258"/>
      <c r="AH15" s="4">
        <f>VLOOKUP(B15,'AUG25'!$B:$AK,36,0)</f>
        <v>-4</v>
      </c>
      <c r="AI15" s="56">
        <f>COUNTIF(C15:AF15,"U")</f>
        <v>7</v>
      </c>
      <c r="AJ15" s="57">
        <f>AH15-AI15</f>
        <v>-11</v>
      </c>
      <c r="AK15" s="247"/>
      <c r="AL15" s="247"/>
    </row>
    <row r="16" spans="1:38" ht="18.75" customHeight="1">
      <c r="A16" s="893" t="s">
        <v>51</v>
      </c>
      <c r="B16" s="536" t="s">
        <v>52</v>
      </c>
      <c r="C16" s="6" t="s">
        <v>22</v>
      </c>
      <c r="D16" s="897" t="s">
        <v>23</v>
      </c>
      <c r="E16" s="897" t="s">
        <v>23</v>
      </c>
      <c r="F16" s="28" t="s">
        <v>24</v>
      </c>
      <c r="G16" s="28" t="s">
        <v>24</v>
      </c>
      <c r="H16" s="978" t="s">
        <v>24</v>
      </c>
      <c r="I16" s="985" t="s">
        <v>42</v>
      </c>
      <c r="J16" s="983" t="s">
        <v>200</v>
      </c>
      <c r="K16" s="984" t="s">
        <v>23</v>
      </c>
      <c r="L16" s="2" t="s">
        <v>22</v>
      </c>
      <c r="M16" s="6" t="s">
        <v>22</v>
      </c>
      <c r="N16" s="6" t="s">
        <v>22</v>
      </c>
      <c r="O16" s="6" t="s">
        <v>22</v>
      </c>
      <c r="P16" s="897" t="s">
        <v>23</v>
      </c>
      <c r="Q16" s="897" t="s">
        <v>23</v>
      </c>
      <c r="R16" s="92" t="s">
        <v>34</v>
      </c>
      <c r="S16" s="92" t="s">
        <v>34</v>
      </c>
      <c r="T16" s="92" t="s">
        <v>34</v>
      </c>
      <c r="U16" s="92" t="s">
        <v>34</v>
      </c>
      <c r="V16" s="897" t="s">
        <v>23</v>
      </c>
      <c r="W16" s="897" t="s">
        <v>23</v>
      </c>
      <c r="X16" s="92" t="s">
        <v>34</v>
      </c>
      <c r="Y16" s="92" t="s">
        <v>34</v>
      </c>
      <c r="Z16" s="92" t="s">
        <v>34</v>
      </c>
      <c r="AA16" s="660" t="s">
        <v>23</v>
      </c>
      <c r="AB16" s="897" t="s">
        <v>23</v>
      </c>
      <c r="AC16" s="897" t="s">
        <v>23</v>
      </c>
      <c r="AD16" s="28" t="s">
        <v>24</v>
      </c>
      <c r="AE16" s="28" t="s">
        <v>24</v>
      </c>
      <c r="AF16" s="898" t="s">
        <v>23</v>
      </c>
      <c r="AG16" s="258"/>
      <c r="AH16" s="37">
        <f>VLOOKUP(B16,'AUG25'!$B:$AK,36,0)</f>
        <v>10</v>
      </c>
      <c r="AI16" s="35">
        <f>COUNTIF(C16:AF16,"U")</f>
        <v>7</v>
      </c>
      <c r="AJ16" s="38">
        <f t="shared" ref="AJ16:AJ23" si="2">AH16-AI16</f>
        <v>3</v>
      </c>
      <c r="AK16" s="247"/>
      <c r="AL16" s="247"/>
    </row>
    <row r="17" spans="1:38" ht="18.75" customHeight="1">
      <c r="A17" s="893" t="s">
        <v>54</v>
      </c>
      <c r="B17" s="536" t="s">
        <v>55</v>
      </c>
      <c r="C17" s="108" t="s">
        <v>108</v>
      </c>
      <c r="D17" s="108" t="s">
        <v>108</v>
      </c>
      <c r="E17" s="108" t="s">
        <v>108</v>
      </c>
      <c r="F17" s="108" t="s">
        <v>108</v>
      </c>
      <c r="G17" s="108" t="s">
        <v>108</v>
      </c>
      <c r="H17" s="979" t="s">
        <v>108</v>
      </c>
      <c r="I17" s="308" t="s">
        <v>108</v>
      </c>
      <c r="J17" s="308" t="s">
        <v>108</v>
      </c>
      <c r="K17" s="308" t="s">
        <v>108</v>
      </c>
      <c r="L17" s="981" t="s">
        <v>108</v>
      </c>
      <c r="M17" s="108" t="s">
        <v>108</v>
      </c>
      <c r="N17" s="108" t="s">
        <v>108</v>
      </c>
      <c r="O17" s="108" t="s">
        <v>108</v>
      </c>
      <c r="P17" s="108" t="s">
        <v>108</v>
      </c>
      <c r="Q17" s="108" t="s">
        <v>108</v>
      </c>
      <c r="R17" s="108" t="s">
        <v>108</v>
      </c>
      <c r="S17" s="108" t="s">
        <v>108</v>
      </c>
      <c r="T17" s="108" t="s">
        <v>108</v>
      </c>
      <c r="U17" s="108" t="s">
        <v>108</v>
      </c>
      <c r="V17" s="108" t="s">
        <v>108</v>
      </c>
      <c r="W17" s="108" t="s">
        <v>108</v>
      </c>
      <c r="X17" s="108" t="s">
        <v>108</v>
      </c>
      <c r="Y17" s="108" t="s">
        <v>108</v>
      </c>
      <c r="Z17" s="108" t="s">
        <v>108</v>
      </c>
      <c r="AA17" s="108" t="s">
        <v>108</v>
      </c>
      <c r="AB17" s="108" t="s">
        <v>108</v>
      </c>
      <c r="AC17" s="108" t="s">
        <v>108</v>
      </c>
      <c r="AD17" s="108" t="s">
        <v>108</v>
      </c>
      <c r="AE17" s="108" t="s">
        <v>108</v>
      </c>
      <c r="AF17" s="109" t="s">
        <v>108</v>
      </c>
      <c r="AG17" s="258"/>
      <c r="AH17" s="37">
        <f>VLOOKUP(B17,'AUG25'!$B:$AK,36,0)</f>
        <v>7</v>
      </c>
      <c r="AI17" s="35">
        <f t="shared" ref="AI17:AI23" si="3">COUNTIF(C17:AF17,"U")</f>
        <v>0</v>
      </c>
      <c r="AJ17" s="38">
        <f t="shared" si="2"/>
        <v>7</v>
      </c>
      <c r="AK17" s="247"/>
      <c r="AL17" s="247"/>
    </row>
    <row r="18" spans="1:38" ht="18.75" customHeight="1">
      <c r="A18" s="893" t="s">
        <v>157</v>
      </c>
      <c r="B18" s="536" t="s">
        <v>158</v>
      </c>
      <c r="C18" s="28" t="s">
        <v>24</v>
      </c>
      <c r="D18" s="28" t="s">
        <v>24</v>
      </c>
      <c r="E18" s="28" t="s">
        <v>24</v>
      </c>
      <c r="F18" s="897" t="s">
        <v>23</v>
      </c>
      <c r="G18" s="897" t="s">
        <v>23</v>
      </c>
      <c r="H18" s="6" t="s">
        <v>22</v>
      </c>
      <c r="I18" s="982" t="s">
        <v>22</v>
      </c>
      <c r="J18" s="982" t="s">
        <v>22</v>
      </c>
      <c r="K18" s="982" t="s">
        <v>22</v>
      </c>
      <c r="L18" s="897" t="s">
        <v>23</v>
      </c>
      <c r="M18" s="897" t="s">
        <v>23</v>
      </c>
      <c r="N18" s="28" t="s">
        <v>24</v>
      </c>
      <c r="O18" s="28" t="s">
        <v>24</v>
      </c>
      <c r="P18" s="28" t="s">
        <v>24</v>
      </c>
      <c r="Q18" s="28" t="s">
        <v>24</v>
      </c>
      <c r="R18" s="897" t="s">
        <v>23</v>
      </c>
      <c r="S18" s="897" t="s">
        <v>23</v>
      </c>
      <c r="T18" s="6" t="s">
        <v>22</v>
      </c>
      <c r="U18" s="6" t="s">
        <v>22</v>
      </c>
      <c r="V18" s="6" t="s">
        <v>22</v>
      </c>
      <c r="W18" s="6" t="s">
        <v>22</v>
      </c>
      <c r="X18" s="897" t="s">
        <v>23</v>
      </c>
      <c r="Y18" s="897" t="s">
        <v>23</v>
      </c>
      <c r="Z18" s="28" t="s">
        <v>24</v>
      </c>
      <c r="AA18" s="28" t="s">
        <v>24</v>
      </c>
      <c r="AB18" s="28" t="s">
        <v>24</v>
      </c>
      <c r="AC18" s="28" t="s">
        <v>24</v>
      </c>
      <c r="AD18" s="897" t="s">
        <v>23</v>
      </c>
      <c r="AE18" s="897" t="s">
        <v>23</v>
      </c>
      <c r="AF18" s="6" t="s">
        <v>22</v>
      </c>
      <c r="AG18" s="258"/>
      <c r="AH18" s="37">
        <f>VLOOKUP(B18,'AUG25'!$B:$AK,36,0)</f>
        <v>11</v>
      </c>
      <c r="AI18" s="35">
        <f t="shared" si="3"/>
        <v>0</v>
      </c>
      <c r="AJ18" s="38">
        <f t="shared" si="2"/>
        <v>11</v>
      </c>
      <c r="AK18" s="247"/>
      <c r="AL18" s="247"/>
    </row>
    <row r="19" spans="1:38" ht="18.75" customHeight="1">
      <c r="A19" s="893" t="s">
        <v>166</v>
      </c>
      <c r="B19" s="536" t="s">
        <v>167</v>
      </c>
      <c r="C19" s="897" t="s">
        <v>23</v>
      </c>
      <c r="D19" s="6" t="s">
        <v>22</v>
      </c>
      <c r="E19" s="6" t="s">
        <v>22</v>
      </c>
      <c r="F19" s="6" t="s">
        <v>22</v>
      </c>
      <c r="G19" s="6" t="s">
        <v>22</v>
      </c>
      <c r="H19" s="897" t="s">
        <v>23</v>
      </c>
      <c r="I19" s="897" t="s">
        <v>23</v>
      </c>
      <c r="J19" s="28" t="s">
        <v>24</v>
      </c>
      <c r="K19" s="28" t="s">
        <v>24</v>
      </c>
      <c r="L19" s="28" t="s">
        <v>24</v>
      </c>
      <c r="M19" s="28" t="s">
        <v>24</v>
      </c>
      <c r="N19" s="28" t="s">
        <v>24</v>
      </c>
      <c r="O19" s="897" t="s">
        <v>23</v>
      </c>
      <c r="P19" s="6" t="s">
        <v>22</v>
      </c>
      <c r="Q19" s="6" t="s">
        <v>22</v>
      </c>
      <c r="R19" s="6" t="s">
        <v>22</v>
      </c>
      <c r="S19" s="6" t="s">
        <v>22</v>
      </c>
      <c r="T19" s="897" t="s">
        <v>23</v>
      </c>
      <c r="U19" s="897" t="s">
        <v>23</v>
      </c>
      <c r="V19" s="28" t="s">
        <v>24</v>
      </c>
      <c r="W19" s="28" t="s">
        <v>24</v>
      </c>
      <c r="X19" s="28" t="s">
        <v>24</v>
      </c>
      <c r="Y19" s="28" t="s">
        <v>24</v>
      </c>
      <c r="Z19" s="897" t="s">
        <v>23</v>
      </c>
      <c r="AA19" s="897" t="s">
        <v>23</v>
      </c>
      <c r="AB19" s="6" t="s">
        <v>22</v>
      </c>
      <c r="AC19" s="6" t="s">
        <v>22</v>
      </c>
      <c r="AD19" s="6" t="s">
        <v>22</v>
      </c>
      <c r="AE19" s="6" t="s">
        <v>22</v>
      </c>
      <c r="AF19" s="898" t="s">
        <v>23</v>
      </c>
      <c r="AG19" s="258"/>
      <c r="AH19" s="37">
        <f>VLOOKUP(B19,'AUG25'!$B:$AK,36,0)</f>
        <v>5</v>
      </c>
      <c r="AI19" s="35">
        <f t="shared" si="3"/>
        <v>0</v>
      </c>
      <c r="AJ19" s="38">
        <f t="shared" si="2"/>
        <v>5</v>
      </c>
      <c r="AK19" s="247"/>
      <c r="AL19" s="247"/>
    </row>
    <row r="20" spans="1:38" ht="18.75" customHeight="1">
      <c r="A20" s="893" t="s">
        <v>155</v>
      </c>
      <c r="B20" s="536" t="s">
        <v>156</v>
      </c>
      <c r="C20" s="92" t="s">
        <v>34</v>
      </c>
      <c r="D20" s="897" t="s">
        <v>23</v>
      </c>
      <c r="E20" s="897" t="s">
        <v>23</v>
      </c>
      <c r="F20" s="899" t="s">
        <v>34</v>
      </c>
      <c r="G20" s="899" t="s">
        <v>34</v>
      </c>
      <c r="H20" s="28" t="s">
        <v>24</v>
      </c>
      <c r="I20" s="28" t="s">
        <v>24</v>
      </c>
      <c r="J20" s="897" t="s">
        <v>23</v>
      </c>
      <c r="K20" s="897" t="s">
        <v>23</v>
      </c>
      <c r="L20" s="6" t="s">
        <v>22</v>
      </c>
      <c r="M20" s="6" t="s">
        <v>22</v>
      </c>
      <c r="N20" s="6" t="s">
        <v>22</v>
      </c>
      <c r="O20" s="6" t="s">
        <v>22</v>
      </c>
      <c r="P20" s="897" t="s">
        <v>23</v>
      </c>
      <c r="Q20" s="897" t="s">
        <v>23</v>
      </c>
      <c r="R20" s="28" t="s">
        <v>24</v>
      </c>
      <c r="S20" s="28" t="s">
        <v>24</v>
      </c>
      <c r="T20" s="28" t="s">
        <v>24</v>
      </c>
      <c r="U20" s="28" t="s">
        <v>24</v>
      </c>
      <c r="V20" s="897" t="s">
        <v>23</v>
      </c>
      <c r="W20" s="897" t="s">
        <v>23</v>
      </c>
      <c r="X20" s="157" t="s">
        <v>68</v>
      </c>
      <c r="Y20" s="6" t="s">
        <v>22</v>
      </c>
      <c r="Z20" s="6" t="s">
        <v>22</v>
      </c>
      <c r="AA20" s="6" t="s">
        <v>22</v>
      </c>
      <c r="AB20" s="897" t="s">
        <v>23</v>
      </c>
      <c r="AC20" s="897" t="s">
        <v>23</v>
      </c>
      <c r="AD20" s="28" t="s">
        <v>24</v>
      </c>
      <c r="AE20" s="28" t="s">
        <v>24</v>
      </c>
      <c r="AF20" s="80" t="s">
        <v>24</v>
      </c>
      <c r="AG20" s="258"/>
      <c r="AH20" s="37">
        <f>VLOOKUP(B20,'AUG25'!$B:$AK,36,0)</f>
        <v>8</v>
      </c>
      <c r="AI20" s="35">
        <f t="shared" si="3"/>
        <v>3</v>
      </c>
      <c r="AJ20" s="38">
        <f t="shared" si="2"/>
        <v>5</v>
      </c>
      <c r="AK20" s="247"/>
      <c r="AL20" s="247"/>
    </row>
    <row r="21" spans="1:38" ht="18.75" customHeight="1">
      <c r="A21" s="893" t="s">
        <v>159</v>
      </c>
      <c r="B21" s="536" t="s">
        <v>160</v>
      </c>
      <c r="C21" s="897" t="s">
        <v>23</v>
      </c>
      <c r="D21" s="92" t="s">
        <v>34</v>
      </c>
      <c r="E21" s="92" t="s">
        <v>34</v>
      </c>
      <c r="F21" s="92" t="s">
        <v>34</v>
      </c>
      <c r="G21" s="92" t="s">
        <v>34</v>
      </c>
      <c r="H21" s="897" t="s">
        <v>23</v>
      </c>
      <c r="I21" s="897" t="s">
        <v>23</v>
      </c>
      <c r="J21" s="92" t="s">
        <v>34</v>
      </c>
      <c r="K21" s="92" t="s">
        <v>34</v>
      </c>
      <c r="L21" s="92" t="s">
        <v>34</v>
      </c>
      <c r="M21" s="899" t="s">
        <v>34</v>
      </c>
      <c r="N21" s="897" t="s">
        <v>23</v>
      </c>
      <c r="O21" s="897" t="s">
        <v>23</v>
      </c>
      <c r="P21" s="6" t="s">
        <v>22</v>
      </c>
      <c r="Q21" s="6" t="s">
        <v>22</v>
      </c>
      <c r="R21" s="6" t="s">
        <v>22</v>
      </c>
      <c r="S21" s="6" t="s">
        <v>22</v>
      </c>
      <c r="T21" s="897" t="s">
        <v>23</v>
      </c>
      <c r="U21" s="897" t="s">
        <v>23</v>
      </c>
      <c r="V21" s="28" t="s">
        <v>24</v>
      </c>
      <c r="W21" s="28" t="s">
        <v>24</v>
      </c>
      <c r="X21" s="157" t="s">
        <v>170</v>
      </c>
      <c r="Y21" s="28" t="s">
        <v>24</v>
      </c>
      <c r="Z21" s="897" t="s">
        <v>23</v>
      </c>
      <c r="AA21" s="897" t="s">
        <v>23</v>
      </c>
      <c r="AB21" s="6" t="s">
        <v>22</v>
      </c>
      <c r="AC21" s="6" t="s">
        <v>22</v>
      </c>
      <c r="AD21" s="6" t="s">
        <v>22</v>
      </c>
      <c r="AE21" s="6" t="s">
        <v>22</v>
      </c>
      <c r="AF21" s="898" t="s">
        <v>23</v>
      </c>
      <c r="AG21" s="258"/>
      <c r="AH21" s="37">
        <f>VLOOKUP(B21,'AUG25'!$B:$AK,36,0)</f>
        <v>12</v>
      </c>
      <c r="AI21" s="35">
        <f t="shared" si="3"/>
        <v>8</v>
      </c>
      <c r="AJ21" s="38">
        <f t="shared" si="2"/>
        <v>4</v>
      </c>
      <c r="AK21" s="247"/>
      <c r="AL21" s="247"/>
    </row>
    <row r="22" spans="1:38" ht="19.5" customHeight="1">
      <c r="A22" s="893" t="s">
        <v>46</v>
      </c>
      <c r="B22" s="535" t="s">
        <v>47</v>
      </c>
      <c r="C22" s="158" t="s">
        <v>186</v>
      </c>
      <c r="D22" s="158" t="s">
        <v>186</v>
      </c>
      <c r="E22" s="158" t="s">
        <v>186</v>
      </c>
      <c r="F22" s="158" t="s">
        <v>186</v>
      </c>
      <c r="G22" s="158" t="s">
        <v>186</v>
      </c>
      <c r="H22" s="158" t="s">
        <v>186</v>
      </c>
      <c r="I22" s="158" t="s">
        <v>186</v>
      </c>
      <c r="J22" s="158" t="s">
        <v>186</v>
      </c>
      <c r="K22" s="158" t="s">
        <v>186</v>
      </c>
      <c r="L22" s="158" t="s">
        <v>186</v>
      </c>
      <c r="M22" s="158" t="s">
        <v>186</v>
      </c>
      <c r="N22" s="158" t="s">
        <v>186</v>
      </c>
      <c r="O22" s="158" t="s">
        <v>186</v>
      </c>
      <c r="P22" s="158" t="s">
        <v>186</v>
      </c>
      <c r="Q22" s="158" t="s">
        <v>186</v>
      </c>
      <c r="R22" s="158" t="s">
        <v>186</v>
      </c>
      <c r="S22" s="158" t="s">
        <v>186</v>
      </c>
      <c r="T22" s="158" t="s">
        <v>186</v>
      </c>
      <c r="U22" s="158" t="s">
        <v>186</v>
      </c>
      <c r="V22" s="158" t="s">
        <v>186</v>
      </c>
      <c r="W22" s="158" t="s">
        <v>186</v>
      </c>
      <c r="X22" s="158" t="s">
        <v>186</v>
      </c>
      <c r="Y22" s="158" t="s">
        <v>186</v>
      </c>
      <c r="Z22" s="158" t="s">
        <v>186</v>
      </c>
      <c r="AA22" s="158" t="s">
        <v>186</v>
      </c>
      <c r="AB22" s="158" t="s">
        <v>186</v>
      </c>
      <c r="AC22" s="158" t="s">
        <v>186</v>
      </c>
      <c r="AD22" s="158" t="s">
        <v>186</v>
      </c>
      <c r="AE22" s="158" t="s">
        <v>186</v>
      </c>
      <c r="AF22" s="136" t="s">
        <v>186</v>
      </c>
      <c r="AG22" s="258"/>
      <c r="AH22" s="37">
        <f>VLOOKUP(B22,'AUG25'!$B:$AK,36,0)</f>
        <v>15</v>
      </c>
      <c r="AI22" s="35">
        <f t="shared" si="3"/>
        <v>0</v>
      </c>
      <c r="AJ22" s="38">
        <f t="shared" si="2"/>
        <v>15</v>
      </c>
      <c r="AK22" s="247"/>
      <c r="AL22" s="247"/>
    </row>
    <row r="23" spans="1:38" ht="19.5" customHeight="1" thickBot="1">
      <c r="A23" s="894" t="s">
        <v>56</v>
      </c>
      <c r="B23" s="550" t="s">
        <v>57</v>
      </c>
      <c r="C23" s="398" t="s">
        <v>165</v>
      </c>
      <c r="D23" s="398" t="s">
        <v>165</v>
      </c>
      <c r="E23" s="398" t="s">
        <v>165</v>
      </c>
      <c r="F23" s="398" t="s">
        <v>165</v>
      </c>
      <c r="G23" s="398" t="s">
        <v>165</v>
      </c>
      <c r="H23" s="596" t="s">
        <v>23</v>
      </c>
      <c r="I23" s="596" t="s">
        <v>23</v>
      </c>
      <c r="J23" s="398" t="s">
        <v>165</v>
      </c>
      <c r="K23" s="398" t="s">
        <v>165</v>
      </c>
      <c r="L23" s="900"/>
      <c r="M23" s="900"/>
      <c r="N23" s="900"/>
      <c r="O23" s="900"/>
      <c r="P23" s="900"/>
      <c r="Q23" s="900"/>
      <c r="R23" s="900"/>
      <c r="S23" s="900"/>
      <c r="T23" s="900"/>
      <c r="U23" s="900"/>
      <c r="V23" s="900"/>
      <c r="W23" s="900"/>
      <c r="X23" s="900"/>
      <c r="Y23" s="900"/>
      <c r="Z23" s="900"/>
      <c r="AA23" s="900"/>
      <c r="AB23" s="900"/>
      <c r="AC23" s="900"/>
      <c r="AD23" s="900"/>
      <c r="AE23" s="900"/>
      <c r="AF23" s="901"/>
      <c r="AG23" s="258"/>
      <c r="AH23" s="46">
        <f>VLOOKUP(B23,'AUG25'!$B:$AK,36,0)</f>
        <v>1</v>
      </c>
      <c r="AI23" s="16">
        <f t="shared" si="3"/>
        <v>0</v>
      </c>
      <c r="AJ23" s="52">
        <f t="shared" si="2"/>
        <v>1</v>
      </c>
      <c r="AK23" s="247"/>
      <c r="AL23" s="247"/>
    </row>
    <row r="24" spans="1:38" ht="20.100000000000001" customHeight="1" thickBot="1">
      <c r="A24" s="242"/>
      <c r="B24" s="242"/>
      <c r="C24" s="99"/>
      <c r="D24" s="99"/>
      <c r="E24" s="99"/>
      <c r="F24" s="99"/>
      <c r="G24" s="96"/>
      <c r="H24" s="96"/>
      <c r="I24" s="99"/>
      <c r="J24" s="97"/>
      <c r="K24" s="97"/>
      <c r="L24" s="97"/>
      <c r="M24" s="96"/>
      <c r="N24" s="96"/>
      <c r="O24" s="98"/>
      <c r="P24" s="98"/>
      <c r="Q24" s="98"/>
      <c r="R24" s="98"/>
      <c r="S24" s="96"/>
      <c r="T24" s="96"/>
      <c r="U24" s="97"/>
      <c r="V24" s="97"/>
      <c r="W24" s="97"/>
      <c r="X24" s="97"/>
      <c r="Y24" s="96"/>
      <c r="Z24" s="96"/>
      <c r="AA24" s="98"/>
      <c r="AB24" s="98"/>
      <c r="AC24" s="98"/>
      <c r="AD24" s="98"/>
      <c r="AE24" s="902"/>
      <c r="AF24" s="106"/>
      <c r="AG24" s="258"/>
      <c r="AH24" s="100"/>
      <c r="AI24" s="905"/>
      <c r="AJ24" s="72"/>
      <c r="AK24" s="247"/>
      <c r="AL24" s="247"/>
    </row>
    <row r="25" spans="1:38" ht="24.95" customHeight="1">
      <c r="A25" s="581" t="s">
        <v>60</v>
      </c>
      <c r="B25" s="514"/>
      <c r="C25" s="1008"/>
      <c r="D25" s="514"/>
      <c r="E25" s="514"/>
      <c r="F25" s="514"/>
      <c r="G25" s="514"/>
      <c r="H25" s="514"/>
      <c r="I25" s="514"/>
      <c r="J25" s="514"/>
      <c r="K25" s="514"/>
      <c r="L25" s="514"/>
      <c r="M25" s="514"/>
      <c r="N25" s="514"/>
      <c r="O25" s="514"/>
      <c r="P25" s="514"/>
      <c r="Q25" s="514"/>
      <c r="R25" s="514"/>
      <c r="S25" s="514"/>
      <c r="T25" s="514"/>
      <c r="U25" s="514"/>
      <c r="V25" s="514"/>
      <c r="W25" s="514"/>
      <c r="X25" s="514"/>
      <c r="Y25" s="514"/>
      <c r="Z25" s="514"/>
      <c r="AA25" s="514"/>
      <c r="AB25" s="514"/>
      <c r="AC25" s="514"/>
      <c r="AD25" s="650"/>
      <c r="AE25" s="650"/>
      <c r="AF25" s="651"/>
      <c r="AG25" s="258"/>
      <c r="AH25" s="100"/>
      <c r="AI25" s="905"/>
      <c r="AJ25" s="72"/>
      <c r="AK25" s="247"/>
      <c r="AL25" s="247"/>
    </row>
    <row r="26" spans="1:38" ht="18.75" customHeight="1">
      <c r="A26" s="893" t="s">
        <v>64</v>
      </c>
      <c r="B26" s="896" t="s">
        <v>65</v>
      </c>
      <c r="C26" s="1020" t="s">
        <v>63</v>
      </c>
      <c r="D26" s="1021" t="s">
        <v>63</v>
      </c>
      <c r="E26" s="1021" t="s">
        <v>63</v>
      </c>
      <c r="F26" s="1021" t="s">
        <v>63</v>
      </c>
      <c r="G26" s="1022" t="s">
        <v>23</v>
      </c>
      <c r="H26" s="1055" t="s">
        <v>23</v>
      </c>
      <c r="I26" s="1056" t="s">
        <v>24</v>
      </c>
      <c r="J26" s="1023" t="s">
        <v>24</v>
      </c>
      <c r="K26" s="1065" t="s">
        <v>24</v>
      </c>
      <c r="L26" s="1065" t="s">
        <v>24</v>
      </c>
      <c r="M26" s="1025" t="s">
        <v>23</v>
      </c>
      <c r="N26" s="1022" t="s">
        <v>23</v>
      </c>
      <c r="O26" s="1026" t="s">
        <v>22</v>
      </c>
      <c r="P26" s="1027" t="s">
        <v>22</v>
      </c>
      <c r="Q26" s="1028" t="s">
        <v>34</v>
      </c>
      <c r="R26" s="1029" t="s">
        <v>34</v>
      </c>
      <c r="S26" s="1025" t="s">
        <v>23</v>
      </c>
      <c r="T26" s="1025" t="s">
        <v>23</v>
      </c>
      <c r="U26" s="1080" t="s">
        <v>22</v>
      </c>
      <c r="V26" s="1081" t="s">
        <v>22</v>
      </c>
      <c r="W26" s="1082" t="s">
        <v>22</v>
      </c>
      <c r="X26" s="1083" t="s">
        <v>22</v>
      </c>
      <c r="Y26" s="1025" t="s">
        <v>23</v>
      </c>
      <c r="Z26" s="1025" t="s">
        <v>23</v>
      </c>
      <c r="AA26" s="1024" t="s">
        <v>24</v>
      </c>
      <c r="AB26" s="1030" t="s">
        <v>24</v>
      </c>
      <c r="AC26" s="1031" t="s">
        <v>24</v>
      </c>
      <c r="AD26" s="1030" t="s">
        <v>24</v>
      </c>
      <c r="AE26" s="1055" t="s">
        <v>23</v>
      </c>
      <c r="AF26" s="1032" t="s">
        <v>23</v>
      </c>
      <c r="AH26" s="4">
        <f>VLOOKUP(B26,'AUG25'!$B:$AK,36,0)</f>
        <v>16</v>
      </c>
      <c r="AI26" s="56">
        <f t="shared" ref="AI26:AI37" si="4">COUNTIF(C26:AF26,"U")</f>
        <v>2</v>
      </c>
      <c r="AJ26" s="57">
        <f t="shared" ref="AJ26:AJ37" si="5">AH26-AI26</f>
        <v>14</v>
      </c>
    </row>
    <row r="27" spans="1:38" ht="18.75" customHeight="1">
      <c r="A27" s="893" t="s">
        <v>66</v>
      </c>
      <c r="B27" s="896" t="s">
        <v>67</v>
      </c>
      <c r="C27" s="1033" t="s">
        <v>22</v>
      </c>
      <c r="D27" s="6" t="s">
        <v>22</v>
      </c>
      <c r="E27" s="29" t="s">
        <v>23</v>
      </c>
      <c r="F27" s="29" t="s">
        <v>23</v>
      </c>
      <c r="G27" s="993" t="s">
        <v>63</v>
      </c>
      <c r="H27" s="1040" t="s">
        <v>63</v>
      </c>
      <c r="I27" s="1041" t="s">
        <v>63</v>
      </c>
      <c r="J27" s="995" t="s">
        <v>63</v>
      </c>
      <c r="K27" s="29" t="s">
        <v>23</v>
      </c>
      <c r="L27" s="29" t="s">
        <v>23</v>
      </c>
      <c r="M27" s="28" t="s">
        <v>24</v>
      </c>
      <c r="N27" s="978" t="s">
        <v>24</v>
      </c>
      <c r="O27" s="27" t="s">
        <v>24</v>
      </c>
      <c r="P27" s="80" t="s">
        <v>24</v>
      </c>
      <c r="Q27" s="81" t="s">
        <v>23</v>
      </c>
      <c r="R27" s="29" t="s">
        <v>23</v>
      </c>
      <c r="S27" s="6" t="s">
        <v>22</v>
      </c>
      <c r="T27" s="6" t="s">
        <v>22</v>
      </c>
      <c r="U27" s="32" t="s">
        <v>22</v>
      </c>
      <c r="V27" s="5" t="s">
        <v>22</v>
      </c>
      <c r="W27" s="78" t="s">
        <v>23</v>
      </c>
      <c r="X27" s="81" t="s">
        <v>23</v>
      </c>
      <c r="Y27" s="28" t="s">
        <v>24</v>
      </c>
      <c r="Z27" s="28" t="s">
        <v>24</v>
      </c>
      <c r="AA27" s="28" t="s">
        <v>24</v>
      </c>
      <c r="AB27" s="978" t="s">
        <v>24</v>
      </c>
      <c r="AC27" s="77" t="s">
        <v>23</v>
      </c>
      <c r="AD27" s="79" t="s">
        <v>23</v>
      </c>
      <c r="AE27" s="1033" t="s">
        <v>22</v>
      </c>
      <c r="AF27" s="1034" t="s">
        <v>22</v>
      </c>
      <c r="AH27" s="37">
        <f>VLOOKUP(B27,'AUG25'!$B:$AK,36,0)</f>
        <v>10</v>
      </c>
      <c r="AI27" s="35">
        <f t="shared" si="4"/>
        <v>0</v>
      </c>
      <c r="AJ27" s="38">
        <f t="shared" si="5"/>
        <v>10</v>
      </c>
    </row>
    <row r="28" spans="1:38" ht="18.75" customHeight="1">
      <c r="A28" s="893" t="s">
        <v>69</v>
      </c>
      <c r="B28" s="896" t="s">
        <v>70</v>
      </c>
      <c r="C28" s="1035" t="s">
        <v>23</v>
      </c>
      <c r="D28" s="29" t="s">
        <v>23</v>
      </c>
      <c r="E28" s="1074" t="s">
        <v>22</v>
      </c>
      <c r="F28" s="1074" t="s">
        <v>22</v>
      </c>
      <c r="G28" s="1075" t="s">
        <v>22</v>
      </c>
      <c r="H28" s="1073" t="s">
        <v>22</v>
      </c>
      <c r="I28" s="1038" t="s">
        <v>23</v>
      </c>
      <c r="J28" s="81" t="s">
        <v>23</v>
      </c>
      <c r="K28" s="85" t="s">
        <v>63</v>
      </c>
      <c r="L28" s="85" t="s">
        <v>63</v>
      </c>
      <c r="M28" s="85" t="s">
        <v>63</v>
      </c>
      <c r="N28" s="993" t="s">
        <v>63</v>
      </c>
      <c r="O28" s="77" t="s">
        <v>23</v>
      </c>
      <c r="P28" s="78" t="s">
        <v>23</v>
      </c>
      <c r="Q28" s="1069" t="s">
        <v>24</v>
      </c>
      <c r="R28" s="1070" t="s">
        <v>24</v>
      </c>
      <c r="S28" s="1070" t="s">
        <v>24</v>
      </c>
      <c r="T28" s="1070" t="s">
        <v>24</v>
      </c>
      <c r="U28" s="79" t="s">
        <v>23</v>
      </c>
      <c r="V28" s="77" t="s">
        <v>23</v>
      </c>
      <c r="W28" s="9" t="s">
        <v>22</v>
      </c>
      <c r="X28" s="2" t="s">
        <v>22</v>
      </c>
      <c r="Y28" s="6" t="s">
        <v>22</v>
      </c>
      <c r="Z28" s="6" t="s">
        <v>22</v>
      </c>
      <c r="AA28" s="29" t="s">
        <v>23</v>
      </c>
      <c r="AB28" s="79" t="s">
        <v>23</v>
      </c>
      <c r="AC28" s="1067" t="s">
        <v>24</v>
      </c>
      <c r="AD28" s="1071" t="s">
        <v>24</v>
      </c>
      <c r="AE28" s="1193" t="s">
        <v>24</v>
      </c>
      <c r="AF28" s="1072" t="s">
        <v>24</v>
      </c>
      <c r="AH28" s="37">
        <f>VLOOKUP(B28,'AUG25'!$B:$AK,36,0)</f>
        <v>1</v>
      </c>
      <c r="AI28" s="35">
        <f t="shared" si="4"/>
        <v>0</v>
      </c>
      <c r="AJ28" s="38">
        <f t="shared" si="5"/>
        <v>1</v>
      </c>
    </row>
    <row r="29" spans="1:38" ht="18.75" customHeight="1">
      <c r="A29" s="893" t="s">
        <v>71</v>
      </c>
      <c r="B29" s="896" t="s">
        <v>72</v>
      </c>
      <c r="C29" s="1037" t="s">
        <v>24</v>
      </c>
      <c r="D29" s="28" t="s">
        <v>24</v>
      </c>
      <c r="E29" s="28" t="s">
        <v>24</v>
      </c>
      <c r="F29" s="28" t="s">
        <v>24</v>
      </c>
      <c r="G29" s="79" t="s">
        <v>23</v>
      </c>
      <c r="H29" s="1035" t="s">
        <v>23</v>
      </c>
      <c r="I29" s="1034" t="s">
        <v>22</v>
      </c>
      <c r="J29" s="2" t="s">
        <v>22</v>
      </c>
      <c r="K29" s="6" t="s">
        <v>22</v>
      </c>
      <c r="L29" s="6" t="s">
        <v>22</v>
      </c>
      <c r="M29" s="29" t="s">
        <v>23</v>
      </c>
      <c r="N29" s="79" t="s">
        <v>23</v>
      </c>
      <c r="O29" s="996" t="s">
        <v>63</v>
      </c>
      <c r="P29" s="86" t="s">
        <v>63</v>
      </c>
      <c r="Q29" s="995" t="s">
        <v>63</v>
      </c>
      <c r="R29" s="85" t="s">
        <v>63</v>
      </c>
      <c r="S29" s="29" t="s">
        <v>23</v>
      </c>
      <c r="T29" s="29" t="s">
        <v>23</v>
      </c>
      <c r="U29" s="1071" t="s">
        <v>24</v>
      </c>
      <c r="V29" s="1067" t="s">
        <v>24</v>
      </c>
      <c r="W29" s="1068" t="s">
        <v>24</v>
      </c>
      <c r="X29" s="1069" t="s">
        <v>24</v>
      </c>
      <c r="Y29" s="29" t="s">
        <v>23</v>
      </c>
      <c r="Z29" s="29" t="s">
        <v>23</v>
      </c>
      <c r="AA29" s="6" t="s">
        <v>22</v>
      </c>
      <c r="AB29" s="32" t="s">
        <v>22</v>
      </c>
      <c r="AC29" s="5" t="s">
        <v>22</v>
      </c>
      <c r="AD29" s="32" t="s">
        <v>22</v>
      </c>
      <c r="AE29" s="1035" t="s">
        <v>23</v>
      </c>
      <c r="AF29" s="1038" t="s">
        <v>23</v>
      </c>
      <c r="AH29" s="37">
        <f>VLOOKUP(B29,'AUG25'!$B:$AK,36,0)</f>
        <v>-2</v>
      </c>
      <c r="AI29" s="35">
        <f t="shared" si="4"/>
        <v>0</v>
      </c>
      <c r="AJ29" s="38">
        <f t="shared" si="5"/>
        <v>-2</v>
      </c>
    </row>
    <row r="30" spans="1:38" ht="18.75" customHeight="1">
      <c r="A30" s="893" t="s">
        <v>73</v>
      </c>
      <c r="B30" s="896" t="s">
        <v>74</v>
      </c>
      <c r="C30" s="1073" t="s">
        <v>22</v>
      </c>
      <c r="D30" s="1074" t="s">
        <v>22</v>
      </c>
      <c r="E30" s="29" t="s">
        <v>23</v>
      </c>
      <c r="F30" s="29" t="s">
        <v>23</v>
      </c>
      <c r="G30" s="994" t="s">
        <v>34</v>
      </c>
      <c r="H30" s="1039" t="s">
        <v>34</v>
      </c>
      <c r="I30" s="1057" t="s">
        <v>34</v>
      </c>
      <c r="J30" s="959" t="s">
        <v>34</v>
      </c>
      <c r="K30" s="29" t="s">
        <v>23</v>
      </c>
      <c r="L30" s="29" t="s">
        <v>23</v>
      </c>
      <c r="M30" s="92" t="s">
        <v>34</v>
      </c>
      <c r="N30" s="994" t="s">
        <v>34</v>
      </c>
      <c r="O30" s="5" t="s">
        <v>22</v>
      </c>
      <c r="P30" s="9" t="s">
        <v>22</v>
      </c>
      <c r="Q30" s="81" t="s">
        <v>23</v>
      </c>
      <c r="R30" s="29" t="s">
        <v>23</v>
      </c>
      <c r="S30" s="85" t="s">
        <v>63</v>
      </c>
      <c r="T30" s="85" t="s">
        <v>63</v>
      </c>
      <c r="U30" s="993" t="s">
        <v>63</v>
      </c>
      <c r="V30" s="996" t="s">
        <v>63</v>
      </c>
      <c r="W30" s="78" t="s">
        <v>23</v>
      </c>
      <c r="X30" s="81" t="s">
        <v>23</v>
      </c>
      <c r="Y30" s="1070" t="s">
        <v>24</v>
      </c>
      <c r="Z30" s="1070" t="s">
        <v>24</v>
      </c>
      <c r="AA30" s="1070" t="s">
        <v>24</v>
      </c>
      <c r="AB30" s="1070" t="s">
        <v>24</v>
      </c>
      <c r="AC30" s="77" t="s">
        <v>23</v>
      </c>
      <c r="AD30" s="79" t="s">
        <v>23</v>
      </c>
      <c r="AE30" s="1033" t="s">
        <v>22</v>
      </c>
      <c r="AF30" s="1194" t="s">
        <v>146</v>
      </c>
      <c r="AH30" s="37">
        <f>VLOOKUP(B30,'AUG25'!$B:$AK,36,0)</f>
        <v>5</v>
      </c>
      <c r="AI30" s="35">
        <f t="shared" si="4"/>
        <v>6</v>
      </c>
      <c r="AJ30" s="38">
        <f t="shared" si="5"/>
        <v>-1</v>
      </c>
    </row>
    <row r="31" spans="1:38" ht="18.75" customHeight="1">
      <c r="A31" s="893" t="s">
        <v>75</v>
      </c>
      <c r="B31" s="896" t="s">
        <v>76</v>
      </c>
      <c r="C31" s="1035" t="s">
        <v>23</v>
      </c>
      <c r="D31" s="29" t="s">
        <v>23</v>
      </c>
      <c r="E31" s="28" t="s">
        <v>24</v>
      </c>
      <c r="F31" s="28" t="s">
        <v>24</v>
      </c>
      <c r="G31" s="978" t="s">
        <v>24</v>
      </c>
      <c r="H31" s="1037" t="s">
        <v>24</v>
      </c>
      <c r="I31" s="1038" t="s">
        <v>23</v>
      </c>
      <c r="J31" s="81" t="s">
        <v>23</v>
      </c>
      <c r="K31" s="28" t="s">
        <v>24</v>
      </c>
      <c r="L31" s="28" t="s">
        <v>24</v>
      </c>
      <c r="M31" s="28" t="s">
        <v>24</v>
      </c>
      <c r="N31" s="978" t="s">
        <v>24</v>
      </c>
      <c r="O31" s="77" t="s">
        <v>23</v>
      </c>
      <c r="P31" s="78" t="s">
        <v>23</v>
      </c>
      <c r="Q31" s="2" t="s">
        <v>22</v>
      </c>
      <c r="R31" s="6" t="s">
        <v>22</v>
      </c>
      <c r="S31" s="6" t="s">
        <v>22</v>
      </c>
      <c r="T31" s="6" t="s">
        <v>22</v>
      </c>
      <c r="U31" s="79" t="s">
        <v>23</v>
      </c>
      <c r="V31" s="77" t="s">
        <v>23</v>
      </c>
      <c r="W31" s="86" t="s">
        <v>63</v>
      </c>
      <c r="X31" s="995" t="s">
        <v>63</v>
      </c>
      <c r="Y31" s="85" t="s">
        <v>63</v>
      </c>
      <c r="Z31" s="85" t="s">
        <v>63</v>
      </c>
      <c r="AA31" s="29" t="s">
        <v>23</v>
      </c>
      <c r="AB31" s="79" t="s">
        <v>23</v>
      </c>
      <c r="AC31" s="27" t="s">
        <v>24</v>
      </c>
      <c r="AD31" s="978" t="s">
        <v>24</v>
      </c>
      <c r="AE31" s="1037" t="s">
        <v>24</v>
      </c>
      <c r="AF31" s="1057" t="s">
        <v>34</v>
      </c>
      <c r="AH31" s="37">
        <f>VLOOKUP(B31,'AUG25'!$B:$AK,36,0)</f>
        <v>11</v>
      </c>
      <c r="AI31" s="35">
        <f t="shared" si="4"/>
        <v>1</v>
      </c>
      <c r="AJ31" s="38">
        <f t="shared" si="5"/>
        <v>10</v>
      </c>
    </row>
    <row r="32" spans="1:38" ht="18.75" customHeight="1">
      <c r="A32" s="893" t="s">
        <v>77</v>
      </c>
      <c r="B32" s="896" t="s">
        <v>78</v>
      </c>
      <c r="C32" s="1039" t="s">
        <v>34</v>
      </c>
      <c r="D32" s="92" t="s">
        <v>34</v>
      </c>
      <c r="E32" s="92" t="s">
        <v>34</v>
      </c>
      <c r="F32" s="92" t="s">
        <v>34</v>
      </c>
      <c r="G32" s="79" t="s">
        <v>23</v>
      </c>
      <c r="H32" s="1035" t="s">
        <v>23</v>
      </c>
      <c r="I32" s="1057" t="s">
        <v>34</v>
      </c>
      <c r="J32" s="959" t="s">
        <v>34</v>
      </c>
      <c r="K32" s="92" t="s">
        <v>34</v>
      </c>
      <c r="L32" s="92" t="s">
        <v>34</v>
      </c>
      <c r="M32" s="29" t="s">
        <v>23</v>
      </c>
      <c r="N32" s="79" t="s">
        <v>23</v>
      </c>
      <c r="O32" s="967" t="s">
        <v>34</v>
      </c>
      <c r="P32" s="93" t="s">
        <v>34</v>
      </c>
      <c r="Q32" s="3" t="s">
        <v>24</v>
      </c>
      <c r="R32" s="28" t="s">
        <v>24</v>
      </c>
      <c r="S32" s="29" t="s">
        <v>23</v>
      </c>
      <c r="T32" s="29" t="s">
        <v>23</v>
      </c>
      <c r="U32" s="32" t="s">
        <v>22</v>
      </c>
      <c r="V32" s="5" t="s">
        <v>22</v>
      </c>
      <c r="W32" s="9" t="s">
        <v>22</v>
      </c>
      <c r="X32" s="2" t="s">
        <v>22</v>
      </c>
      <c r="Y32" s="29" t="s">
        <v>23</v>
      </c>
      <c r="Z32" s="29" t="s">
        <v>23</v>
      </c>
      <c r="AA32" s="85" t="s">
        <v>63</v>
      </c>
      <c r="AB32" s="993" t="s">
        <v>63</v>
      </c>
      <c r="AC32" s="996" t="s">
        <v>63</v>
      </c>
      <c r="AD32" s="993" t="s">
        <v>63</v>
      </c>
      <c r="AE32" s="1035" t="s">
        <v>23</v>
      </c>
      <c r="AF32" s="1038" t="s">
        <v>23</v>
      </c>
      <c r="AH32" s="37">
        <f>VLOOKUP(B32,'AUG25'!$B:$AK,36,0)</f>
        <v>18</v>
      </c>
      <c r="AI32" s="35">
        <f t="shared" si="4"/>
        <v>10</v>
      </c>
      <c r="AJ32" s="38">
        <f t="shared" si="5"/>
        <v>8</v>
      </c>
    </row>
    <row r="33" spans="1:36" ht="18.75" customHeight="1">
      <c r="A33" s="893" t="s">
        <v>79</v>
      </c>
      <c r="B33" s="896" t="s">
        <v>80</v>
      </c>
      <c r="C33" s="1040" t="s">
        <v>63</v>
      </c>
      <c r="D33" s="85" t="s">
        <v>63</v>
      </c>
      <c r="E33" s="29" t="s">
        <v>23</v>
      </c>
      <c r="F33" s="29" t="s">
        <v>23</v>
      </c>
      <c r="G33" s="1124" t="s">
        <v>170</v>
      </c>
      <c r="H33" s="1037" t="s">
        <v>24</v>
      </c>
      <c r="I33" s="1036" t="s">
        <v>24</v>
      </c>
      <c r="J33" s="3" t="s">
        <v>24</v>
      </c>
      <c r="K33" s="29" t="s">
        <v>23</v>
      </c>
      <c r="L33" s="29" t="s">
        <v>23</v>
      </c>
      <c r="M33" s="6" t="s">
        <v>22</v>
      </c>
      <c r="N33" s="32" t="s">
        <v>22</v>
      </c>
      <c r="O33" s="5" t="s">
        <v>22</v>
      </c>
      <c r="P33" s="135" t="s">
        <v>19</v>
      </c>
      <c r="Q33" s="81" t="s">
        <v>23</v>
      </c>
      <c r="R33" s="29" t="s">
        <v>23</v>
      </c>
      <c r="S33" s="28" t="s">
        <v>24</v>
      </c>
      <c r="T33" s="28" t="s">
        <v>24</v>
      </c>
      <c r="U33" s="978" t="s">
        <v>24</v>
      </c>
      <c r="V33" s="27" t="s">
        <v>24</v>
      </c>
      <c r="W33" s="78" t="s">
        <v>23</v>
      </c>
      <c r="X33" s="81" t="s">
        <v>23</v>
      </c>
      <c r="Y33" s="6" t="s">
        <v>22</v>
      </c>
      <c r="Z33" s="6" t="s">
        <v>22</v>
      </c>
      <c r="AA33" s="6" t="s">
        <v>22</v>
      </c>
      <c r="AB33" s="32" t="s">
        <v>22</v>
      </c>
      <c r="AC33" s="77" t="s">
        <v>23</v>
      </c>
      <c r="AD33" s="79" t="s">
        <v>23</v>
      </c>
      <c r="AE33" s="1040" t="s">
        <v>63</v>
      </c>
      <c r="AF33" s="1041" t="s">
        <v>63</v>
      </c>
      <c r="AH33" s="37">
        <f>VLOOKUP(B33,'AUG25'!$B:$AK,36,0)</f>
        <v>10</v>
      </c>
      <c r="AI33" s="35">
        <f t="shared" si="4"/>
        <v>0</v>
      </c>
      <c r="AJ33" s="38">
        <f t="shared" si="5"/>
        <v>10</v>
      </c>
    </row>
    <row r="34" spans="1:36" ht="18.75" customHeight="1">
      <c r="A34" s="893" t="s">
        <v>81</v>
      </c>
      <c r="B34" s="896" t="s">
        <v>82</v>
      </c>
      <c r="C34" s="1042" t="s">
        <v>108</v>
      </c>
      <c r="D34" s="108" t="s">
        <v>108</v>
      </c>
      <c r="E34" s="108" t="s">
        <v>108</v>
      </c>
      <c r="F34" s="108" t="s">
        <v>108</v>
      </c>
      <c r="G34" s="979" t="s">
        <v>108</v>
      </c>
      <c r="H34" s="1042" t="s">
        <v>108</v>
      </c>
      <c r="I34" s="1043" t="s">
        <v>108</v>
      </c>
      <c r="J34" s="981" t="s">
        <v>108</v>
      </c>
      <c r="K34" s="108" t="s">
        <v>108</v>
      </c>
      <c r="L34" s="108" t="s">
        <v>108</v>
      </c>
      <c r="M34" s="108" t="s">
        <v>108</v>
      </c>
      <c r="N34" s="979" t="s">
        <v>108</v>
      </c>
      <c r="O34" s="997" t="s">
        <v>108</v>
      </c>
      <c r="P34" s="109" t="s">
        <v>108</v>
      </c>
      <c r="Q34" s="981" t="s">
        <v>108</v>
      </c>
      <c r="R34" s="108" t="s">
        <v>108</v>
      </c>
      <c r="S34" s="108" t="s">
        <v>108</v>
      </c>
      <c r="T34" s="108" t="s">
        <v>108</v>
      </c>
      <c r="U34" s="979" t="s">
        <v>108</v>
      </c>
      <c r="V34" s="997" t="s">
        <v>108</v>
      </c>
      <c r="W34" s="109" t="s">
        <v>108</v>
      </c>
      <c r="X34" s="981" t="s">
        <v>108</v>
      </c>
      <c r="Y34" s="108" t="s">
        <v>108</v>
      </c>
      <c r="Z34" s="108" t="s">
        <v>108</v>
      </c>
      <c r="AA34" s="108" t="s">
        <v>108</v>
      </c>
      <c r="AB34" s="979" t="s">
        <v>108</v>
      </c>
      <c r="AC34" s="997" t="s">
        <v>108</v>
      </c>
      <c r="AD34" s="979" t="s">
        <v>108</v>
      </c>
      <c r="AE34" s="1042" t="s">
        <v>108</v>
      </c>
      <c r="AF34" s="1043" t="s">
        <v>108</v>
      </c>
      <c r="AH34" s="37">
        <f>VLOOKUP(B34,'AUG25'!$B:$AK,36,0)</f>
        <v>10</v>
      </c>
      <c r="AI34" s="35">
        <f t="shared" si="4"/>
        <v>0</v>
      </c>
      <c r="AJ34" s="38">
        <f t="shared" si="5"/>
        <v>10</v>
      </c>
    </row>
    <row r="35" spans="1:36" ht="18.75" customHeight="1">
      <c r="A35" s="893" t="s">
        <v>85</v>
      </c>
      <c r="B35" s="896" t="s">
        <v>86</v>
      </c>
      <c r="C35" s="1033" t="s">
        <v>22</v>
      </c>
      <c r="D35" s="6" t="s">
        <v>22</v>
      </c>
      <c r="E35" s="6" t="s">
        <v>22</v>
      </c>
      <c r="F35" s="6" t="s">
        <v>22</v>
      </c>
      <c r="G35" s="79" t="s">
        <v>23</v>
      </c>
      <c r="H35" s="1035" t="s">
        <v>23</v>
      </c>
      <c r="I35" s="1041" t="s">
        <v>63</v>
      </c>
      <c r="J35" s="995" t="s">
        <v>63</v>
      </c>
      <c r="K35" s="85" t="s">
        <v>63</v>
      </c>
      <c r="L35" s="85" t="s">
        <v>63</v>
      </c>
      <c r="M35" s="29" t="s">
        <v>23</v>
      </c>
      <c r="N35" s="79" t="s">
        <v>23</v>
      </c>
      <c r="O35" s="27" t="s">
        <v>24</v>
      </c>
      <c r="P35" s="80" t="s">
        <v>24</v>
      </c>
      <c r="Q35" s="3" t="s">
        <v>24</v>
      </c>
      <c r="R35" s="28" t="s">
        <v>24</v>
      </c>
      <c r="S35" s="29" t="s">
        <v>23</v>
      </c>
      <c r="T35" s="29" t="s">
        <v>23</v>
      </c>
      <c r="U35" s="32" t="s">
        <v>22</v>
      </c>
      <c r="V35" s="5" t="s">
        <v>22</v>
      </c>
      <c r="W35" s="9" t="s">
        <v>22</v>
      </c>
      <c r="X35" s="2" t="s">
        <v>22</v>
      </c>
      <c r="Y35" s="29" t="s">
        <v>23</v>
      </c>
      <c r="Z35" s="29" t="s">
        <v>23</v>
      </c>
      <c r="AA35" s="92" t="s">
        <v>34</v>
      </c>
      <c r="AB35" s="994" t="s">
        <v>34</v>
      </c>
      <c r="AC35" s="27" t="s">
        <v>24</v>
      </c>
      <c r="AD35" s="978" t="s">
        <v>24</v>
      </c>
      <c r="AE35" s="1035" t="s">
        <v>23</v>
      </c>
      <c r="AF35" s="1038" t="s">
        <v>23</v>
      </c>
      <c r="AH35" s="37">
        <f>VLOOKUP(B35,'AUG25'!$B:$AK,36,0)</f>
        <v>12</v>
      </c>
      <c r="AI35" s="35">
        <f t="shared" si="4"/>
        <v>2</v>
      </c>
      <c r="AJ35" s="38">
        <f t="shared" si="5"/>
        <v>10</v>
      </c>
    </row>
    <row r="36" spans="1:36" ht="18.75" customHeight="1">
      <c r="A36" s="893" t="s">
        <v>87</v>
      </c>
      <c r="B36" s="896" t="s">
        <v>88</v>
      </c>
      <c r="C36" s="1037" t="s">
        <v>24</v>
      </c>
      <c r="D36" s="28" t="s">
        <v>24</v>
      </c>
      <c r="E36" s="29" t="s">
        <v>23</v>
      </c>
      <c r="F36" s="29" t="s">
        <v>23</v>
      </c>
      <c r="G36" s="32" t="s">
        <v>22</v>
      </c>
      <c r="H36" s="1033" t="s">
        <v>22</v>
      </c>
      <c r="I36" s="1034" t="s">
        <v>22</v>
      </c>
      <c r="J36" s="2" t="s">
        <v>22</v>
      </c>
      <c r="K36" s="29" t="s">
        <v>23</v>
      </c>
      <c r="L36" s="29" t="s">
        <v>23</v>
      </c>
      <c r="M36" s="85" t="s">
        <v>63</v>
      </c>
      <c r="N36" s="993" t="s">
        <v>63</v>
      </c>
      <c r="O36" s="996" t="s">
        <v>63</v>
      </c>
      <c r="P36" s="86" t="s">
        <v>63</v>
      </c>
      <c r="Q36" s="81" t="s">
        <v>23</v>
      </c>
      <c r="R36" s="29" t="s">
        <v>23</v>
      </c>
      <c r="S36" s="157" t="s">
        <v>170</v>
      </c>
      <c r="T36" s="28" t="s">
        <v>24</v>
      </c>
      <c r="U36" s="978" t="s">
        <v>24</v>
      </c>
      <c r="V36" s="27" t="s">
        <v>24</v>
      </c>
      <c r="W36" s="78" t="s">
        <v>23</v>
      </c>
      <c r="X36" s="81" t="s">
        <v>23</v>
      </c>
      <c r="Y36" s="6" t="s">
        <v>22</v>
      </c>
      <c r="Z36" s="6" t="s">
        <v>22</v>
      </c>
      <c r="AA36" s="6" t="s">
        <v>22</v>
      </c>
      <c r="AB36" s="6" t="s">
        <v>22</v>
      </c>
      <c r="AC36" s="77" t="s">
        <v>23</v>
      </c>
      <c r="AD36" s="79" t="s">
        <v>23</v>
      </c>
      <c r="AE36" s="1037" t="s">
        <v>24</v>
      </c>
      <c r="AF36" s="1036" t="s">
        <v>24</v>
      </c>
      <c r="AH36" s="37">
        <f>VLOOKUP(B36,'AUG25'!$B:$AK,36,0)</f>
        <v>14</v>
      </c>
      <c r="AI36" s="35">
        <f t="shared" si="4"/>
        <v>0</v>
      </c>
      <c r="AJ36" s="38">
        <f t="shared" si="5"/>
        <v>14</v>
      </c>
    </row>
    <row r="37" spans="1:36" ht="18.75" customHeight="1">
      <c r="A37" s="894" t="s">
        <v>90</v>
      </c>
      <c r="B37" s="991" t="s">
        <v>91</v>
      </c>
      <c r="C37" s="1044" t="s">
        <v>23</v>
      </c>
      <c r="D37" s="1045" t="s">
        <v>23</v>
      </c>
      <c r="E37" s="1046" t="s">
        <v>34</v>
      </c>
      <c r="F37" s="1046" t="s">
        <v>34</v>
      </c>
      <c r="G37" s="1060" t="s">
        <v>34</v>
      </c>
      <c r="H37" s="1058" t="s">
        <v>34</v>
      </c>
      <c r="I37" s="1059" t="s">
        <v>23</v>
      </c>
      <c r="J37" s="1048" t="s">
        <v>23</v>
      </c>
      <c r="K37" s="1049" t="s">
        <v>22</v>
      </c>
      <c r="L37" s="1049" t="s">
        <v>22</v>
      </c>
      <c r="M37" s="1049" t="s">
        <v>22</v>
      </c>
      <c r="N37" s="1050" t="s">
        <v>22</v>
      </c>
      <c r="O37" s="1051" t="s">
        <v>23</v>
      </c>
      <c r="P37" s="1047" t="s">
        <v>23</v>
      </c>
      <c r="Q37" s="1052" t="s">
        <v>63</v>
      </c>
      <c r="R37" s="1053" t="s">
        <v>63</v>
      </c>
      <c r="S37" s="1163" t="s">
        <v>19</v>
      </c>
      <c r="T37" s="1163" t="s">
        <v>19</v>
      </c>
      <c r="U37" s="1163" t="s">
        <v>19</v>
      </c>
      <c r="V37" s="1163" t="s">
        <v>19</v>
      </c>
      <c r="W37" s="1163" t="s">
        <v>19</v>
      </c>
      <c r="X37" s="1163" t="s">
        <v>19</v>
      </c>
      <c r="Y37" s="1163" t="s">
        <v>19</v>
      </c>
      <c r="Z37" s="1163" t="s">
        <v>19</v>
      </c>
      <c r="AA37" s="1162" t="s">
        <v>19</v>
      </c>
      <c r="AB37" s="1163" t="s">
        <v>19</v>
      </c>
      <c r="AC37" s="1163" t="s">
        <v>19</v>
      </c>
      <c r="AD37" s="1163" t="s">
        <v>19</v>
      </c>
      <c r="AE37" s="1195" t="s">
        <v>22</v>
      </c>
      <c r="AF37" s="1054" t="s">
        <v>22</v>
      </c>
      <c r="AH37" s="46">
        <f>VLOOKUP(B37,'AUG25'!$B:$AK,36,0)</f>
        <v>11</v>
      </c>
      <c r="AI37" s="16">
        <f t="shared" si="4"/>
        <v>4</v>
      </c>
      <c r="AJ37" s="52">
        <f t="shared" si="5"/>
        <v>7</v>
      </c>
    </row>
    <row r="38" spans="1:36" ht="20.100000000000001" customHeight="1">
      <c r="A38" s="302"/>
      <c r="B38" s="302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423"/>
      <c r="R38" s="423"/>
      <c r="S38" s="423"/>
      <c r="T38" s="423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H38" s="72"/>
      <c r="AI38" s="72"/>
      <c r="AJ38" s="72"/>
    </row>
    <row r="39" spans="1:36" ht="24.95" customHeight="1" thickBot="1">
      <c r="A39" s="581" t="s">
        <v>197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Y39" s="514"/>
      <c r="Z39" s="514"/>
      <c r="AA39" s="514"/>
      <c r="AB39" s="514"/>
      <c r="AC39" s="514"/>
      <c r="AD39" s="650"/>
      <c r="AE39" s="650"/>
      <c r="AF39" s="651"/>
      <c r="AH39" s="72"/>
      <c r="AI39" s="72"/>
      <c r="AJ39" s="72"/>
    </row>
    <row r="40" spans="1:36" ht="19.5" customHeight="1">
      <c r="A40" s="893" t="s">
        <v>98</v>
      </c>
      <c r="B40" s="535" t="s">
        <v>99</v>
      </c>
      <c r="C40" s="29" t="s">
        <v>23</v>
      </c>
      <c r="D40" s="6" t="s">
        <v>22</v>
      </c>
      <c r="E40" s="6" t="s">
        <v>22</v>
      </c>
      <c r="F40" s="6" t="s">
        <v>22</v>
      </c>
      <c r="G40" s="6" t="s">
        <v>22</v>
      </c>
      <c r="H40" s="29" t="s">
        <v>23</v>
      </c>
      <c r="I40" s="29" t="s">
        <v>23</v>
      </c>
      <c r="J40" s="7" t="s">
        <v>103</v>
      </c>
      <c r="K40" s="7" t="s">
        <v>103</v>
      </c>
      <c r="L40" s="7" t="s">
        <v>103</v>
      </c>
      <c r="M40" s="7" t="s">
        <v>103</v>
      </c>
      <c r="N40" s="7" t="s">
        <v>103</v>
      </c>
      <c r="O40" s="29" t="s">
        <v>23</v>
      </c>
      <c r="P40" s="29" t="s">
        <v>23</v>
      </c>
      <c r="Q40" s="92" t="s">
        <v>34</v>
      </c>
      <c r="R40" s="6" t="s">
        <v>22</v>
      </c>
      <c r="S40" s="6" t="s">
        <v>22</v>
      </c>
      <c r="T40" s="6" t="s">
        <v>22</v>
      </c>
      <c r="U40" s="29" t="s">
        <v>23</v>
      </c>
      <c r="V40" s="29" t="s">
        <v>23</v>
      </c>
      <c r="W40" s="28" t="s">
        <v>24</v>
      </c>
      <c r="X40" s="28" t="s">
        <v>24</v>
      </c>
      <c r="Y40" s="28" t="s">
        <v>24</v>
      </c>
      <c r="Z40" s="29" t="s">
        <v>23</v>
      </c>
      <c r="AA40" s="29" t="s">
        <v>23</v>
      </c>
      <c r="AB40" s="6" t="s">
        <v>22</v>
      </c>
      <c r="AC40" s="6" t="s">
        <v>22</v>
      </c>
      <c r="AD40" s="6" t="s">
        <v>22</v>
      </c>
      <c r="AE40" s="6" t="s">
        <v>22</v>
      </c>
      <c r="AF40" s="78" t="s">
        <v>23</v>
      </c>
      <c r="AH40" s="4">
        <f>VLOOKUP(B40,'AUG25'!$B:$AK,36,0)</f>
        <v>11</v>
      </c>
      <c r="AI40" s="56">
        <f t="shared" ref="AI40:AI41" si="6">COUNTIF(C40:AF40,"U")</f>
        <v>1</v>
      </c>
      <c r="AJ40" s="57">
        <f t="shared" ref="AJ40:AJ41" si="7">AH40-AI40</f>
        <v>10</v>
      </c>
    </row>
    <row r="41" spans="1:36" ht="19.5" customHeight="1">
      <c r="A41" s="893" t="s">
        <v>123</v>
      </c>
      <c r="B41" s="535" t="s">
        <v>124</v>
      </c>
      <c r="C41" s="28" t="s">
        <v>24</v>
      </c>
      <c r="D41" s="28" t="s">
        <v>24</v>
      </c>
      <c r="E41" s="28" t="s">
        <v>24</v>
      </c>
      <c r="F41" s="29" t="s">
        <v>23</v>
      </c>
      <c r="G41" s="29" t="s">
        <v>23</v>
      </c>
      <c r="H41" s="6" t="s">
        <v>22</v>
      </c>
      <c r="I41" s="7" t="s">
        <v>103</v>
      </c>
      <c r="J41" s="6" t="s">
        <v>22</v>
      </c>
      <c r="K41" s="6" t="s">
        <v>22</v>
      </c>
      <c r="L41" s="29" t="s">
        <v>23</v>
      </c>
      <c r="M41" s="29" t="s">
        <v>23</v>
      </c>
      <c r="N41" s="28" t="s">
        <v>24</v>
      </c>
      <c r="O41" s="28" t="s">
        <v>24</v>
      </c>
      <c r="P41" s="28" t="s">
        <v>24</v>
      </c>
      <c r="Q41" s="157" t="s">
        <v>19</v>
      </c>
      <c r="R41" s="29" t="s">
        <v>23</v>
      </c>
      <c r="S41" s="29" t="s">
        <v>23</v>
      </c>
      <c r="T41" s="92" t="s">
        <v>34</v>
      </c>
      <c r="U41" s="92" t="s">
        <v>34</v>
      </c>
      <c r="V41" s="92" t="s">
        <v>34</v>
      </c>
      <c r="W41" s="92" t="s">
        <v>34</v>
      </c>
      <c r="X41" s="29" t="s">
        <v>23</v>
      </c>
      <c r="Y41" s="29" t="s">
        <v>23</v>
      </c>
      <c r="Z41" s="28" t="s">
        <v>24</v>
      </c>
      <c r="AA41" s="28" t="s">
        <v>24</v>
      </c>
      <c r="AB41" s="28" t="s">
        <v>24</v>
      </c>
      <c r="AC41" s="28" t="s">
        <v>24</v>
      </c>
      <c r="AD41" s="29" t="s">
        <v>23</v>
      </c>
      <c r="AE41" s="29" t="s">
        <v>23</v>
      </c>
      <c r="AF41" s="9" t="s">
        <v>22</v>
      </c>
      <c r="AH41" s="37">
        <f>VLOOKUP(B41,'AUG25'!$B:$AK,36,0)</f>
        <v>15</v>
      </c>
      <c r="AI41" s="35">
        <f t="shared" si="6"/>
        <v>4</v>
      </c>
      <c r="AJ41" s="38">
        <f t="shared" si="7"/>
        <v>11</v>
      </c>
    </row>
    <row r="42" spans="1:36" ht="19.5" customHeight="1" thickBot="1">
      <c r="A42" s="894" t="s">
        <v>94</v>
      </c>
      <c r="B42" s="550" t="s">
        <v>95</v>
      </c>
      <c r="C42" s="15" t="s">
        <v>22</v>
      </c>
      <c r="D42" s="24" t="s">
        <v>23</v>
      </c>
      <c r="E42" s="24" t="s">
        <v>23</v>
      </c>
      <c r="F42" s="116" t="s">
        <v>24</v>
      </c>
      <c r="G42" s="116" t="s">
        <v>24</v>
      </c>
      <c r="H42" s="116" t="s">
        <v>24</v>
      </c>
      <c r="I42" s="116" t="s">
        <v>24</v>
      </c>
      <c r="J42" s="24" t="s">
        <v>23</v>
      </c>
      <c r="K42" s="24" t="s">
        <v>23</v>
      </c>
      <c r="L42" s="15" t="s">
        <v>22</v>
      </c>
      <c r="M42" s="1077" t="s">
        <v>22</v>
      </c>
      <c r="N42" s="1077" t="s">
        <v>22</v>
      </c>
      <c r="O42" s="15" t="s">
        <v>22</v>
      </c>
      <c r="P42" s="24" t="s">
        <v>23</v>
      </c>
      <c r="Q42" s="24" t="s">
        <v>23</v>
      </c>
      <c r="R42" s="116" t="s">
        <v>24</v>
      </c>
      <c r="S42" s="116" t="s">
        <v>24</v>
      </c>
      <c r="T42" s="116" t="s">
        <v>24</v>
      </c>
      <c r="U42" s="1130" t="s">
        <v>42</v>
      </c>
      <c r="V42" s="116" t="s">
        <v>24</v>
      </c>
      <c r="W42" s="24" t="s">
        <v>23</v>
      </c>
      <c r="X42" s="24" t="s">
        <v>23</v>
      </c>
      <c r="Y42" s="15" t="s">
        <v>22</v>
      </c>
      <c r="Z42" s="15" t="s">
        <v>22</v>
      </c>
      <c r="AA42" s="15" t="s">
        <v>22</v>
      </c>
      <c r="AB42" s="24" t="s">
        <v>23</v>
      </c>
      <c r="AC42" s="24" t="s">
        <v>23</v>
      </c>
      <c r="AD42" s="116" t="s">
        <v>24</v>
      </c>
      <c r="AE42" s="116" t="s">
        <v>24</v>
      </c>
      <c r="AF42" s="117" t="s">
        <v>24</v>
      </c>
      <c r="AH42" s="46">
        <f>VLOOKUP(B42,'AUG25'!$B:$AK,36,0)</f>
        <v>19</v>
      </c>
      <c r="AI42" s="16">
        <f>COUNTIF(C42:AF42,"U")</f>
        <v>0</v>
      </c>
      <c r="AJ42" s="52">
        <f>AH42-AI42</f>
        <v>19</v>
      </c>
    </row>
    <row r="43" spans="1:36" ht="20.100000000000001" customHeight="1" thickBot="1">
      <c r="A43" s="302"/>
      <c r="B43" s="302"/>
      <c r="C43" s="98"/>
      <c r="D43" s="167"/>
      <c r="E43" s="167"/>
      <c r="F43" s="167"/>
      <c r="G43" s="167"/>
      <c r="H43" s="167"/>
      <c r="I43" s="167"/>
      <c r="J43" s="167"/>
      <c r="K43" s="167"/>
      <c r="L43" s="98"/>
      <c r="M43" s="98"/>
      <c r="N43" s="98"/>
      <c r="O43" s="98"/>
      <c r="P43" s="167"/>
      <c r="Q43" s="167"/>
      <c r="R43" s="167"/>
      <c r="S43" s="167"/>
      <c r="T43" s="167"/>
      <c r="U43" s="167"/>
      <c r="V43" s="167"/>
      <c r="W43" s="167"/>
      <c r="X43" s="167"/>
      <c r="Y43" s="98"/>
      <c r="Z43" s="98"/>
      <c r="AA43" s="98"/>
      <c r="AB43" s="167"/>
      <c r="AC43" s="167"/>
      <c r="AD43" s="167"/>
      <c r="AE43" s="167"/>
      <c r="AF43" s="167"/>
      <c r="AH43" s="72"/>
      <c r="AI43" s="72"/>
      <c r="AJ43" s="72"/>
    </row>
    <row r="44" spans="1:36" ht="24.95" customHeight="1">
      <c r="A44" s="599" t="s">
        <v>198</v>
      </c>
      <c r="B44" s="600"/>
      <c r="C44" s="600"/>
      <c r="D44" s="600"/>
      <c r="E44" s="600"/>
      <c r="F44" s="600"/>
      <c r="G44" s="600"/>
      <c r="H44" s="600"/>
      <c r="I44" s="600"/>
      <c r="J44" s="600"/>
      <c r="K44" s="600"/>
      <c r="L44" s="600"/>
      <c r="M44" s="600"/>
      <c r="N44" s="600"/>
      <c r="O44" s="600"/>
      <c r="P44" s="600"/>
      <c r="Q44" s="600"/>
      <c r="R44" s="600"/>
      <c r="S44" s="600"/>
      <c r="T44" s="600"/>
      <c r="U44" s="600"/>
      <c r="V44" s="600"/>
      <c r="W44" s="600"/>
      <c r="X44" s="600"/>
      <c r="Y44" s="600"/>
      <c r="Z44" s="600"/>
      <c r="AA44" s="600"/>
      <c r="AB44" s="600"/>
      <c r="AC44" s="600"/>
      <c r="AD44" s="639"/>
      <c r="AE44" s="639"/>
      <c r="AF44" s="640"/>
      <c r="AH44" s="72"/>
      <c r="AI44" s="72"/>
      <c r="AJ44" s="72"/>
    </row>
    <row r="45" spans="1:36" ht="19.5" customHeight="1">
      <c r="A45" s="893" t="s">
        <v>201</v>
      </c>
      <c r="B45" s="535" t="s">
        <v>202</v>
      </c>
      <c r="C45" s="1018"/>
      <c r="D45" s="990"/>
      <c r="E45" s="990"/>
      <c r="F45" s="990"/>
      <c r="G45" s="990"/>
      <c r="H45" s="990"/>
      <c r="I45" s="990"/>
      <c r="J45" s="990"/>
      <c r="K45" s="990"/>
      <c r="L45" s="990"/>
      <c r="M45" s="990"/>
      <c r="N45" s="990"/>
      <c r="O45" s="1133"/>
      <c r="P45" s="1133"/>
      <c r="Q45" s="990"/>
      <c r="R45" s="1019"/>
      <c r="S45" s="1002" t="s">
        <v>23</v>
      </c>
      <c r="T45" s="1002" t="s">
        <v>23</v>
      </c>
      <c r="U45" s="1003" t="s">
        <v>22</v>
      </c>
      <c r="V45" s="965" t="s">
        <v>19</v>
      </c>
      <c r="W45" s="966" t="s">
        <v>19</v>
      </c>
      <c r="X45" s="1004" t="s">
        <v>22</v>
      </c>
      <c r="Y45" s="982" t="s">
        <v>22</v>
      </c>
      <c r="Z45" s="1002" t="s">
        <v>23</v>
      </c>
      <c r="AA45" s="1002" t="s">
        <v>23</v>
      </c>
      <c r="AB45" s="1006" t="s">
        <v>24</v>
      </c>
      <c r="AC45" s="1007" t="s">
        <v>24</v>
      </c>
      <c r="AD45" s="1001" t="s">
        <v>24</v>
      </c>
      <c r="AE45" s="1017" t="s">
        <v>24</v>
      </c>
      <c r="AF45" s="1009" t="s">
        <v>23</v>
      </c>
      <c r="AH45" s="189">
        <v>11</v>
      </c>
      <c r="AI45" s="171">
        <f>COUNTIF(C45:AF45,"U")</f>
        <v>0</v>
      </c>
      <c r="AJ45" s="190">
        <f>AH45-AI45</f>
        <v>11</v>
      </c>
    </row>
    <row r="46" spans="1:36" ht="19.5" customHeight="1">
      <c r="A46" s="893" t="s">
        <v>111</v>
      </c>
      <c r="B46" s="535" t="s">
        <v>112</v>
      </c>
      <c r="C46" s="982" t="s">
        <v>22</v>
      </c>
      <c r="D46" s="982" t="s">
        <v>22</v>
      </c>
      <c r="E46" s="982" t="s">
        <v>22</v>
      </c>
      <c r="F46" s="1002" t="s">
        <v>23</v>
      </c>
      <c r="G46" s="1016" t="s">
        <v>23</v>
      </c>
      <c r="H46" s="1007" t="s">
        <v>24</v>
      </c>
      <c r="I46" s="1001" t="s">
        <v>24</v>
      </c>
      <c r="J46" s="1017" t="s">
        <v>24</v>
      </c>
      <c r="K46" s="1005" t="s">
        <v>24</v>
      </c>
      <c r="L46" s="1002" t="s">
        <v>23</v>
      </c>
      <c r="M46" s="1002" t="s">
        <v>23</v>
      </c>
      <c r="N46" s="1003" t="s">
        <v>22</v>
      </c>
      <c r="O46" s="1134" t="s">
        <v>147</v>
      </c>
      <c r="P46" s="1135" t="s">
        <v>22</v>
      </c>
      <c r="Q46" s="1004" t="s">
        <v>22</v>
      </c>
      <c r="R46" s="1002" t="s">
        <v>23</v>
      </c>
      <c r="S46" s="29" t="s">
        <v>23</v>
      </c>
      <c r="T46" s="382" t="s">
        <v>147</v>
      </c>
      <c r="U46" s="994" t="s">
        <v>34</v>
      </c>
      <c r="V46" s="967" t="s">
        <v>34</v>
      </c>
      <c r="W46" s="359" t="s">
        <v>53</v>
      </c>
      <c r="X46" s="81" t="s">
        <v>23</v>
      </c>
      <c r="Y46" s="29" t="s">
        <v>23</v>
      </c>
      <c r="Z46" s="92" t="s">
        <v>34</v>
      </c>
      <c r="AA46" s="92" t="s">
        <v>34</v>
      </c>
      <c r="AB46" s="994" t="s">
        <v>34</v>
      </c>
      <c r="AC46" s="967" t="s">
        <v>34</v>
      </c>
      <c r="AD46" s="78" t="s">
        <v>23</v>
      </c>
      <c r="AE46" s="81" t="s">
        <v>23</v>
      </c>
      <c r="AF46" s="80" t="s">
        <v>24</v>
      </c>
      <c r="AH46" s="191">
        <f>VLOOKUP(B46,'AUG25'!$B:$AK,36,0)</f>
        <v>13</v>
      </c>
      <c r="AI46" s="169">
        <f t="shared" ref="AI46:AI52" si="8">COUNTIF(C46:AF46,"U")</f>
        <v>6</v>
      </c>
      <c r="AJ46" s="192">
        <f t="shared" ref="AJ46:AJ52" si="9">AH46-AI46</f>
        <v>7</v>
      </c>
    </row>
    <row r="47" spans="1:36" ht="19.5" customHeight="1">
      <c r="A47" s="893" t="s">
        <v>133</v>
      </c>
      <c r="B47" s="535" t="s">
        <v>134</v>
      </c>
      <c r="C47" s="28" t="s">
        <v>24</v>
      </c>
      <c r="D47" s="29" t="s">
        <v>23</v>
      </c>
      <c r="E47" s="29" t="s">
        <v>23</v>
      </c>
      <c r="F47" s="85" t="s">
        <v>63</v>
      </c>
      <c r="G47" s="993" t="s">
        <v>63</v>
      </c>
      <c r="H47" s="996" t="s">
        <v>63</v>
      </c>
      <c r="I47" s="86" t="s">
        <v>63</v>
      </c>
      <c r="J47" s="81" t="s">
        <v>23</v>
      </c>
      <c r="K47" s="29" t="s">
        <v>23</v>
      </c>
      <c r="L47" s="28" t="s">
        <v>24</v>
      </c>
      <c r="M47" s="28" t="s">
        <v>24</v>
      </c>
      <c r="N47" s="978" t="s">
        <v>24</v>
      </c>
      <c r="O47" s="1136" t="s">
        <v>24</v>
      </c>
      <c r="P47" s="151" t="s">
        <v>23</v>
      </c>
      <c r="Q47" s="81" t="s">
        <v>23</v>
      </c>
      <c r="R47" s="6" t="s">
        <v>22</v>
      </c>
      <c r="S47" s="6" t="s">
        <v>22</v>
      </c>
      <c r="T47" s="28" t="s">
        <v>24</v>
      </c>
      <c r="U47" s="28" t="s">
        <v>24</v>
      </c>
      <c r="V47" s="77" t="s">
        <v>23</v>
      </c>
      <c r="W47" s="78" t="s">
        <v>23</v>
      </c>
      <c r="X47" s="1011" t="s">
        <v>147</v>
      </c>
      <c r="Y47" s="382" t="s">
        <v>147</v>
      </c>
      <c r="Z47" s="382" t="s">
        <v>147</v>
      </c>
      <c r="AA47" s="382" t="s">
        <v>147</v>
      </c>
      <c r="AB47" s="79" t="s">
        <v>23</v>
      </c>
      <c r="AC47" s="77" t="s">
        <v>23</v>
      </c>
      <c r="AD47" s="9" t="s">
        <v>22</v>
      </c>
      <c r="AE47" s="2" t="s">
        <v>22</v>
      </c>
      <c r="AF47" s="158" t="s">
        <v>19</v>
      </c>
      <c r="AH47" s="191">
        <f>VLOOKUP(B47,'AUG25'!$B:$AK,36,0)</f>
        <v>4</v>
      </c>
      <c r="AI47" s="169">
        <f t="shared" si="8"/>
        <v>0</v>
      </c>
      <c r="AJ47" s="192">
        <f t="shared" si="9"/>
        <v>4</v>
      </c>
    </row>
    <row r="48" spans="1:36" ht="19.5" customHeight="1">
      <c r="A48" s="893" t="s">
        <v>140</v>
      </c>
      <c r="B48" s="535" t="s">
        <v>141</v>
      </c>
      <c r="C48" s="29" t="s">
        <v>23</v>
      </c>
      <c r="D48" s="8" t="s">
        <v>83</v>
      </c>
      <c r="E48" s="8" t="s">
        <v>83</v>
      </c>
      <c r="F48" s="8" t="s">
        <v>24</v>
      </c>
      <c r="G48" s="1010" t="s">
        <v>24</v>
      </c>
      <c r="H48" s="77" t="s">
        <v>23</v>
      </c>
      <c r="I48" s="78" t="s">
        <v>23</v>
      </c>
      <c r="J48" s="2" t="s">
        <v>22</v>
      </c>
      <c r="K48" s="6" t="s">
        <v>22</v>
      </c>
      <c r="L48" s="6" t="s">
        <v>22</v>
      </c>
      <c r="M48" s="6" t="s">
        <v>22</v>
      </c>
      <c r="N48" s="79" t="s">
        <v>23</v>
      </c>
      <c r="O48" s="150" t="s">
        <v>23</v>
      </c>
      <c r="P48" s="1137" t="s">
        <v>24</v>
      </c>
      <c r="Q48" s="3" t="s">
        <v>24</v>
      </c>
      <c r="R48" s="28" t="s">
        <v>24</v>
      </c>
      <c r="S48" s="28" t="s">
        <v>24</v>
      </c>
      <c r="T48" s="29" t="s">
        <v>23</v>
      </c>
      <c r="U48" s="79" t="s">
        <v>23</v>
      </c>
      <c r="V48" s="5" t="s">
        <v>22</v>
      </c>
      <c r="W48" s="276" t="s">
        <v>103</v>
      </c>
      <c r="X48" s="2" t="s">
        <v>22</v>
      </c>
      <c r="Y48" s="6" t="s">
        <v>22</v>
      </c>
      <c r="Z48" s="29" t="s">
        <v>23</v>
      </c>
      <c r="AA48" s="29" t="s">
        <v>23</v>
      </c>
      <c r="AB48" s="1014" t="s">
        <v>147</v>
      </c>
      <c r="AC48" s="1012" t="s">
        <v>147</v>
      </c>
      <c r="AD48" s="903" t="s">
        <v>147</v>
      </c>
      <c r="AE48" s="1011" t="s">
        <v>147</v>
      </c>
      <c r="AF48" s="78" t="s">
        <v>23</v>
      </c>
      <c r="AH48" s="191">
        <f>VLOOKUP(B48,'AUG25'!$B:$AK,36,0)</f>
        <v>15</v>
      </c>
      <c r="AI48" s="169">
        <f t="shared" si="8"/>
        <v>0</v>
      </c>
      <c r="AJ48" s="192">
        <f t="shared" si="9"/>
        <v>15</v>
      </c>
    </row>
    <row r="49" spans="1:36" ht="19.5" customHeight="1">
      <c r="A49" s="893" t="s">
        <v>151</v>
      </c>
      <c r="B49" s="535" t="s">
        <v>152</v>
      </c>
      <c r="C49" s="85" t="s">
        <v>63</v>
      </c>
      <c r="D49" s="85" t="s">
        <v>63</v>
      </c>
      <c r="E49" s="85" t="s">
        <v>63</v>
      </c>
      <c r="F49" s="29" t="s">
        <v>23</v>
      </c>
      <c r="G49" s="79" t="s">
        <v>23</v>
      </c>
      <c r="H49" s="27" t="s">
        <v>24</v>
      </c>
      <c r="I49" s="80" t="s">
        <v>24</v>
      </c>
      <c r="J49" s="3" t="s">
        <v>24</v>
      </c>
      <c r="K49" s="28" t="s">
        <v>24</v>
      </c>
      <c r="L49" s="29" t="s">
        <v>23</v>
      </c>
      <c r="M49" s="29" t="s">
        <v>23</v>
      </c>
      <c r="N49" s="32" t="s">
        <v>22</v>
      </c>
      <c r="O49" s="1112" t="s">
        <v>22</v>
      </c>
      <c r="P49" s="141" t="s">
        <v>22</v>
      </c>
      <c r="Q49" s="2" t="s">
        <v>22</v>
      </c>
      <c r="R49" s="29" t="s">
        <v>23</v>
      </c>
      <c r="S49" s="29" t="s">
        <v>23</v>
      </c>
      <c r="T49" s="28" t="s">
        <v>24</v>
      </c>
      <c r="U49" s="978" t="s">
        <v>24</v>
      </c>
      <c r="V49" s="1164" t="s">
        <v>68</v>
      </c>
      <c r="W49" s="978" t="s">
        <v>24</v>
      </c>
      <c r="X49" s="81" t="s">
        <v>23</v>
      </c>
      <c r="Y49" s="29" t="s">
        <v>23</v>
      </c>
      <c r="Z49" s="85" t="s">
        <v>63</v>
      </c>
      <c r="AA49" s="85" t="s">
        <v>63</v>
      </c>
      <c r="AB49" s="993" t="s">
        <v>63</v>
      </c>
      <c r="AC49" s="996" t="s">
        <v>63</v>
      </c>
      <c r="AD49" s="78" t="s">
        <v>23</v>
      </c>
      <c r="AE49" s="81" t="s">
        <v>23</v>
      </c>
      <c r="AF49" s="903" t="s">
        <v>147</v>
      </c>
      <c r="AH49" s="191">
        <f>VLOOKUP(B49,'AUG25'!$B:$AK,36,0)</f>
        <v>-2</v>
      </c>
      <c r="AI49" s="169">
        <f t="shared" si="8"/>
        <v>0</v>
      </c>
      <c r="AJ49" s="192">
        <f t="shared" si="9"/>
        <v>-2</v>
      </c>
    </row>
    <row r="50" spans="1:36" ht="19.5" customHeight="1">
      <c r="A50" s="893" t="s">
        <v>113</v>
      </c>
      <c r="B50" s="535" t="s">
        <v>114</v>
      </c>
      <c r="C50" s="92" t="s">
        <v>34</v>
      </c>
      <c r="D50" s="29" t="s">
        <v>23</v>
      </c>
      <c r="E50" s="29" t="s">
        <v>23</v>
      </c>
      <c r="F50" s="92" t="s">
        <v>34</v>
      </c>
      <c r="G50" s="994" t="s">
        <v>34</v>
      </c>
      <c r="H50" s="967" t="s">
        <v>34</v>
      </c>
      <c r="I50" s="93" t="s">
        <v>34</v>
      </c>
      <c r="J50" s="81" t="s">
        <v>23</v>
      </c>
      <c r="K50" s="29" t="s">
        <v>23</v>
      </c>
      <c r="L50" s="28" t="s">
        <v>24</v>
      </c>
      <c r="M50" s="28" t="s">
        <v>24</v>
      </c>
      <c r="N50" s="978" t="s">
        <v>24</v>
      </c>
      <c r="O50" s="1136" t="s">
        <v>24</v>
      </c>
      <c r="P50" s="151" t="s">
        <v>23</v>
      </c>
      <c r="Q50" s="81" t="s">
        <v>23</v>
      </c>
      <c r="R50" s="85" t="s">
        <v>63</v>
      </c>
      <c r="S50" s="85" t="s">
        <v>63</v>
      </c>
      <c r="T50" s="85" t="s">
        <v>63</v>
      </c>
      <c r="U50" s="993" t="s">
        <v>63</v>
      </c>
      <c r="V50" s="77" t="s">
        <v>23</v>
      </c>
      <c r="W50" s="78" t="s">
        <v>23</v>
      </c>
      <c r="X50" s="3" t="s">
        <v>24</v>
      </c>
      <c r="Y50" s="28" t="s">
        <v>24</v>
      </c>
      <c r="Z50" s="28" t="s">
        <v>24</v>
      </c>
      <c r="AA50" s="28" t="s">
        <v>24</v>
      </c>
      <c r="AB50" s="79" t="s">
        <v>23</v>
      </c>
      <c r="AC50" s="77" t="s">
        <v>23</v>
      </c>
      <c r="AD50" s="86" t="s">
        <v>63</v>
      </c>
      <c r="AE50" s="995" t="s">
        <v>63</v>
      </c>
      <c r="AF50" s="86" t="s">
        <v>63</v>
      </c>
      <c r="AH50" s="191">
        <f>VLOOKUP(B50,'AUG25'!$B:$AK,36,0)</f>
        <v>2</v>
      </c>
      <c r="AI50" s="169">
        <f t="shared" si="8"/>
        <v>5</v>
      </c>
      <c r="AJ50" s="192">
        <f t="shared" si="9"/>
        <v>-3</v>
      </c>
    </row>
    <row r="51" spans="1:36" ht="19.5" customHeight="1">
      <c r="A51" s="893" t="s">
        <v>117</v>
      </c>
      <c r="B51" s="535" t="s">
        <v>118</v>
      </c>
      <c r="C51" s="6" t="s">
        <v>22</v>
      </c>
      <c r="D51" s="6" t="s">
        <v>22</v>
      </c>
      <c r="E51" s="6" t="s">
        <v>22</v>
      </c>
      <c r="F51" s="29" t="s">
        <v>23</v>
      </c>
      <c r="G51" s="79" t="s">
        <v>23</v>
      </c>
      <c r="H51" s="1012" t="s">
        <v>147</v>
      </c>
      <c r="I51" s="903" t="s">
        <v>147</v>
      </c>
      <c r="J51" s="1011" t="s">
        <v>147</v>
      </c>
      <c r="K51" s="382" t="s">
        <v>147</v>
      </c>
      <c r="L51" s="29" t="s">
        <v>23</v>
      </c>
      <c r="M51" s="29" t="s">
        <v>23</v>
      </c>
      <c r="N51" s="993" t="s">
        <v>63</v>
      </c>
      <c r="O51" s="1138" t="s">
        <v>63</v>
      </c>
      <c r="P51" s="212" t="s">
        <v>63</v>
      </c>
      <c r="Q51" s="995" t="s">
        <v>63</v>
      </c>
      <c r="R51" s="29" t="s">
        <v>23</v>
      </c>
      <c r="S51" s="29" t="s">
        <v>23</v>
      </c>
      <c r="T51" s="28" t="s">
        <v>24</v>
      </c>
      <c r="U51" s="978" t="s">
        <v>24</v>
      </c>
      <c r="V51" s="27" t="s">
        <v>24</v>
      </c>
      <c r="W51" s="80" t="s">
        <v>24</v>
      </c>
      <c r="X51" s="81" t="s">
        <v>23</v>
      </c>
      <c r="Y51" s="29" t="s">
        <v>23</v>
      </c>
      <c r="Z51" s="6" t="s">
        <v>22</v>
      </c>
      <c r="AA51" s="6" t="s">
        <v>22</v>
      </c>
      <c r="AB51" s="32" t="s">
        <v>22</v>
      </c>
      <c r="AC51" s="5" t="s">
        <v>22</v>
      </c>
      <c r="AD51" s="78" t="s">
        <v>23</v>
      </c>
      <c r="AE51" s="1015" t="s">
        <v>53</v>
      </c>
      <c r="AF51" s="359" t="s">
        <v>148</v>
      </c>
      <c r="AH51" s="191">
        <f>VLOOKUP(B51,'AUG25'!$B:$AK,36,0)</f>
        <v>-4</v>
      </c>
      <c r="AI51" s="169">
        <f t="shared" si="8"/>
        <v>0</v>
      </c>
      <c r="AJ51" s="192">
        <f t="shared" si="9"/>
        <v>-4</v>
      </c>
    </row>
    <row r="52" spans="1:36" ht="19.5" customHeight="1">
      <c r="A52" s="894" t="s">
        <v>119</v>
      </c>
      <c r="B52" s="550" t="s">
        <v>120</v>
      </c>
      <c r="C52" s="76" t="s">
        <v>24</v>
      </c>
      <c r="D52" s="83" t="s">
        <v>23</v>
      </c>
      <c r="E52" s="83" t="s">
        <v>23</v>
      </c>
      <c r="F52" s="15" t="s">
        <v>22</v>
      </c>
      <c r="G52" s="955" t="s">
        <v>22</v>
      </c>
      <c r="H52" s="14" t="s">
        <v>22</v>
      </c>
      <c r="I52" s="39" t="s">
        <v>22</v>
      </c>
      <c r="J52" s="960" t="s">
        <v>23</v>
      </c>
      <c r="K52" s="83" t="s">
        <v>23</v>
      </c>
      <c r="L52" s="393" t="s">
        <v>147</v>
      </c>
      <c r="M52" s="393" t="s">
        <v>147</v>
      </c>
      <c r="N52" s="1013" t="s">
        <v>147</v>
      </c>
      <c r="O52" s="1139" t="s">
        <v>22</v>
      </c>
      <c r="P52" s="471" t="s">
        <v>23</v>
      </c>
      <c r="Q52" s="960" t="s">
        <v>23</v>
      </c>
      <c r="R52" s="15" t="s">
        <v>22</v>
      </c>
      <c r="S52" s="15" t="s">
        <v>22</v>
      </c>
      <c r="T52" s="15" t="s">
        <v>22</v>
      </c>
      <c r="U52" s="955" t="s">
        <v>22</v>
      </c>
      <c r="V52" s="82" t="s">
        <v>23</v>
      </c>
      <c r="W52" s="84" t="s">
        <v>23</v>
      </c>
      <c r="X52" s="999" t="s">
        <v>24</v>
      </c>
      <c r="Y52" s="76" t="s">
        <v>24</v>
      </c>
      <c r="Z52" s="76" t="s">
        <v>24</v>
      </c>
      <c r="AA52" s="76" t="s">
        <v>24</v>
      </c>
      <c r="AB52" s="998" t="s">
        <v>23</v>
      </c>
      <c r="AC52" s="82" t="s">
        <v>23</v>
      </c>
      <c r="AD52" s="39" t="s">
        <v>22</v>
      </c>
      <c r="AE52" s="1000" t="s">
        <v>22</v>
      </c>
      <c r="AF52" s="39" t="s">
        <v>22</v>
      </c>
      <c r="AH52" s="1121">
        <f>VLOOKUP(B52,'AUG25'!$B:$AK,36,0)</f>
        <v>18</v>
      </c>
      <c r="AI52" s="176">
        <f t="shared" si="8"/>
        <v>0</v>
      </c>
      <c r="AJ52" s="487">
        <f t="shared" si="9"/>
        <v>18</v>
      </c>
    </row>
    <row r="53" spans="1:36" ht="9.9499999999999993" customHeight="1">
      <c r="A53" s="1"/>
      <c r="B53" s="1"/>
      <c r="C53" s="902"/>
      <c r="D53" s="902"/>
      <c r="E53" s="902"/>
      <c r="F53" s="902"/>
      <c r="G53" s="902"/>
      <c r="H53" s="902"/>
      <c r="I53" s="902"/>
      <c r="J53" s="902"/>
      <c r="K53" s="902"/>
      <c r="L53" s="902"/>
      <c r="M53" s="902"/>
      <c r="N53" s="902"/>
      <c r="O53" s="902"/>
      <c r="P53" s="902"/>
      <c r="Q53" s="902"/>
      <c r="R53" s="902"/>
      <c r="S53" s="902"/>
      <c r="T53" s="902"/>
      <c r="U53" s="902"/>
      <c r="V53" s="902"/>
      <c r="W53" s="902"/>
      <c r="X53" s="902"/>
      <c r="Y53" s="902"/>
      <c r="Z53" s="902"/>
      <c r="AA53" s="902"/>
      <c r="AB53" s="902"/>
      <c r="AC53" s="902"/>
      <c r="AD53" s="902"/>
      <c r="AE53" s="902"/>
      <c r="AF53" s="902"/>
      <c r="AH53" s="902"/>
      <c r="AI53" s="902"/>
      <c r="AJ53" s="902"/>
    </row>
    <row r="54" spans="1:36" ht="18">
      <c r="A54" s="882" t="s">
        <v>22</v>
      </c>
      <c r="B54" s="883"/>
      <c r="C54" s="56">
        <f t="shared" ref="C54:AF54" si="10">COUNTIF(C5:C52,$A$54)</f>
        <v>9</v>
      </c>
      <c r="D54" s="56">
        <f t="shared" si="10"/>
        <v>9</v>
      </c>
      <c r="E54" s="56">
        <f t="shared" si="10"/>
        <v>7</v>
      </c>
      <c r="F54" s="56">
        <f t="shared" si="10"/>
        <v>6</v>
      </c>
      <c r="G54" s="56">
        <f t="shared" si="10"/>
        <v>6</v>
      </c>
      <c r="H54" s="56">
        <f t="shared" si="10"/>
        <v>7</v>
      </c>
      <c r="I54" s="56">
        <f t="shared" si="10"/>
        <v>6</v>
      </c>
      <c r="J54" s="56">
        <f t="shared" si="10"/>
        <v>7</v>
      </c>
      <c r="K54" s="56">
        <f t="shared" si="10"/>
        <v>7</v>
      </c>
      <c r="L54" s="56">
        <f t="shared" si="10"/>
        <v>8</v>
      </c>
      <c r="M54" s="56">
        <f t="shared" si="10"/>
        <v>8</v>
      </c>
      <c r="N54" s="56">
        <f t="shared" si="10"/>
        <v>9</v>
      </c>
      <c r="O54" s="56">
        <f t="shared" si="10"/>
        <v>10</v>
      </c>
      <c r="P54" s="56">
        <f t="shared" si="10"/>
        <v>8</v>
      </c>
      <c r="Q54" s="56">
        <f t="shared" si="10"/>
        <v>8</v>
      </c>
      <c r="R54" s="56">
        <f t="shared" si="10"/>
        <v>9</v>
      </c>
      <c r="S54" s="56">
        <f t="shared" si="10"/>
        <v>9</v>
      </c>
      <c r="T54" s="56">
        <f t="shared" si="10"/>
        <v>7</v>
      </c>
      <c r="U54" s="56">
        <f t="shared" si="10"/>
        <v>10</v>
      </c>
      <c r="V54" s="56">
        <f t="shared" si="10"/>
        <v>9</v>
      </c>
      <c r="W54" s="56">
        <f t="shared" si="10"/>
        <v>7</v>
      </c>
      <c r="X54" s="56">
        <f t="shared" si="10"/>
        <v>8</v>
      </c>
      <c r="Y54" s="56">
        <f t="shared" si="10"/>
        <v>8</v>
      </c>
      <c r="Z54" s="56">
        <f t="shared" si="10"/>
        <v>7</v>
      </c>
      <c r="AA54" s="56">
        <f t="shared" si="10"/>
        <v>9</v>
      </c>
      <c r="AB54" s="56">
        <f t="shared" si="10"/>
        <v>10</v>
      </c>
      <c r="AC54" s="56">
        <f t="shared" si="10"/>
        <v>8</v>
      </c>
      <c r="AD54" s="56">
        <f t="shared" si="10"/>
        <v>9</v>
      </c>
      <c r="AE54" s="56">
        <f t="shared" si="10"/>
        <v>10</v>
      </c>
      <c r="AF54" s="57">
        <f t="shared" si="10"/>
        <v>7</v>
      </c>
      <c r="AH54" s="902"/>
      <c r="AI54" s="902"/>
      <c r="AJ54" s="902"/>
    </row>
    <row r="55" spans="1:36" ht="18">
      <c r="A55" s="884" t="s">
        <v>147</v>
      </c>
      <c r="B55" s="880"/>
      <c r="C55" s="35">
        <f t="shared" ref="C55:AF55" si="11">COUNTIF(C5:C52,$A$55)</f>
        <v>0</v>
      </c>
      <c r="D55" s="35">
        <f t="shared" si="11"/>
        <v>0</v>
      </c>
      <c r="E55" s="35">
        <f t="shared" si="11"/>
        <v>0</v>
      </c>
      <c r="F55" s="35">
        <f t="shared" si="11"/>
        <v>0</v>
      </c>
      <c r="G55" s="35">
        <f t="shared" si="11"/>
        <v>0</v>
      </c>
      <c r="H55" s="35">
        <f t="shared" si="11"/>
        <v>1</v>
      </c>
      <c r="I55" s="35">
        <f t="shared" si="11"/>
        <v>1</v>
      </c>
      <c r="J55" s="35">
        <f t="shared" si="11"/>
        <v>1</v>
      </c>
      <c r="K55" s="35">
        <f t="shared" si="11"/>
        <v>1</v>
      </c>
      <c r="L55" s="35">
        <f t="shared" si="11"/>
        <v>1</v>
      </c>
      <c r="M55" s="35">
        <f t="shared" si="11"/>
        <v>1</v>
      </c>
      <c r="N55" s="35">
        <f t="shared" si="11"/>
        <v>1</v>
      </c>
      <c r="O55" s="35">
        <f t="shared" si="11"/>
        <v>1</v>
      </c>
      <c r="P55" s="35">
        <f t="shared" si="11"/>
        <v>0</v>
      </c>
      <c r="Q55" s="35">
        <f t="shared" si="11"/>
        <v>0</v>
      </c>
      <c r="R55" s="35">
        <f t="shared" si="11"/>
        <v>0</v>
      </c>
      <c r="S55" s="35">
        <f t="shared" si="11"/>
        <v>0</v>
      </c>
      <c r="T55" s="35">
        <f t="shared" si="11"/>
        <v>1</v>
      </c>
      <c r="U55" s="35">
        <f t="shared" si="11"/>
        <v>0</v>
      </c>
      <c r="V55" s="35">
        <f t="shared" si="11"/>
        <v>0</v>
      </c>
      <c r="W55" s="35">
        <f t="shared" si="11"/>
        <v>0</v>
      </c>
      <c r="X55" s="35">
        <f t="shared" si="11"/>
        <v>1</v>
      </c>
      <c r="Y55" s="35">
        <f t="shared" si="11"/>
        <v>1</v>
      </c>
      <c r="Z55" s="35">
        <f t="shared" si="11"/>
        <v>1</v>
      </c>
      <c r="AA55" s="35">
        <f t="shared" si="11"/>
        <v>1</v>
      </c>
      <c r="AB55" s="35">
        <f t="shared" si="11"/>
        <v>1</v>
      </c>
      <c r="AC55" s="35">
        <f t="shared" si="11"/>
        <v>1</v>
      </c>
      <c r="AD55" s="35">
        <f t="shared" si="11"/>
        <v>1</v>
      </c>
      <c r="AE55" s="35">
        <f t="shared" si="11"/>
        <v>1</v>
      </c>
      <c r="AF55" s="38">
        <f t="shared" si="11"/>
        <v>1</v>
      </c>
      <c r="AH55" s="902"/>
      <c r="AI55" s="902"/>
      <c r="AJ55" s="902"/>
    </row>
    <row r="56" spans="1:36" ht="18">
      <c r="A56" s="885" t="s">
        <v>24</v>
      </c>
      <c r="B56" s="881"/>
      <c r="C56" s="35">
        <f>COUNTIF(C5:C52,"P14")+COUNTIF(C5:C52,"P14EW")</f>
        <v>8</v>
      </c>
      <c r="D56" s="35">
        <f t="shared" ref="D56:AF56" si="12">COUNTIF(D5:D52,"P14")+COUNTIF(D5:D52,"P14EW")</f>
        <v>6</v>
      </c>
      <c r="E56" s="35">
        <f t="shared" si="12"/>
        <v>7</v>
      </c>
      <c r="F56" s="35">
        <f t="shared" si="12"/>
        <v>7</v>
      </c>
      <c r="G56" s="35">
        <f t="shared" si="12"/>
        <v>6</v>
      </c>
      <c r="H56" s="35">
        <f t="shared" si="12"/>
        <v>10</v>
      </c>
      <c r="I56" s="35">
        <f t="shared" si="12"/>
        <v>8</v>
      </c>
      <c r="J56" s="35">
        <f t="shared" si="12"/>
        <v>7</v>
      </c>
      <c r="K56" s="35">
        <f t="shared" si="12"/>
        <v>7</v>
      </c>
      <c r="L56" s="35">
        <f t="shared" si="12"/>
        <v>6</v>
      </c>
      <c r="M56" s="35">
        <f t="shared" si="12"/>
        <v>7</v>
      </c>
      <c r="N56" s="35">
        <f t="shared" si="12"/>
        <v>9</v>
      </c>
      <c r="O56" s="35">
        <f t="shared" si="12"/>
        <v>8</v>
      </c>
      <c r="P56" s="35">
        <f t="shared" si="12"/>
        <v>7</v>
      </c>
      <c r="Q56" s="35">
        <f t="shared" si="12"/>
        <v>7</v>
      </c>
      <c r="R56" s="35">
        <f t="shared" si="12"/>
        <v>7</v>
      </c>
      <c r="S56" s="35">
        <f t="shared" si="12"/>
        <v>7</v>
      </c>
      <c r="T56" s="35">
        <f t="shared" si="12"/>
        <v>10</v>
      </c>
      <c r="U56" s="35">
        <f t="shared" si="12"/>
        <v>9</v>
      </c>
      <c r="V56" s="35">
        <f t="shared" si="12"/>
        <v>9</v>
      </c>
      <c r="W56" s="35">
        <f t="shared" si="12"/>
        <v>8</v>
      </c>
      <c r="X56" s="35">
        <f t="shared" si="12"/>
        <v>7</v>
      </c>
      <c r="Y56" s="35">
        <f t="shared" si="12"/>
        <v>9</v>
      </c>
      <c r="Z56" s="35">
        <f t="shared" si="12"/>
        <v>8</v>
      </c>
      <c r="AA56" s="35">
        <f t="shared" si="12"/>
        <v>9</v>
      </c>
      <c r="AB56" s="35">
        <f t="shared" si="12"/>
        <v>7</v>
      </c>
      <c r="AC56" s="35">
        <f t="shared" si="12"/>
        <v>9</v>
      </c>
      <c r="AD56" s="35">
        <f t="shared" si="12"/>
        <v>10</v>
      </c>
      <c r="AE56" s="35">
        <f t="shared" si="12"/>
        <v>9</v>
      </c>
      <c r="AF56" s="38">
        <f t="shared" si="12"/>
        <v>8</v>
      </c>
      <c r="AH56" s="902"/>
      <c r="AI56" s="902"/>
      <c r="AJ56" s="902"/>
    </row>
    <row r="57" spans="1:36" ht="20.25" thickBot="1">
      <c r="A57" s="886" t="s">
        <v>63</v>
      </c>
      <c r="B57" s="887"/>
      <c r="C57" s="16">
        <f t="shared" ref="C57:AF57" si="13">COUNTIF(C5:C52,$A$57)</f>
        <v>3</v>
      </c>
      <c r="D57" s="16">
        <f t="shared" si="13"/>
        <v>3</v>
      </c>
      <c r="E57" s="16">
        <f t="shared" si="13"/>
        <v>2</v>
      </c>
      <c r="F57" s="16">
        <f t="shared" si="13"/>
        <v>2</v>
      </c>
      <c r="G57" s="16">
        <f t="shared" si="13"/>
        <v>2</v>
      </c>
      <c r="H57" s="16">
        <f t="shared" si="13"/>
        <v>2</v>
      </c>
      <c r="I57" s="16">
        <f t="shared" si="13"/>
        <v>3</v>
      </c>
      <c r="J57" s="16">
        <f t="shared" si="13"/>
        <v>2</v>
      </c>
      <c r="K57" s="16">
        <f t="shared" si="13"/>
        <v>2</v>
      </c>
      <c r="L57" s="16">
        <f t="shared" si="13"/>
        <v>2</v>
      </c>
      <c r="M57" s="16">
        <f t="shared" si="13"/>
        <v>2</v>
      </c>
      <c r="N57" s="16">
        <f t="shared" si="13"/>
        <v>3</v>
      </c>
      <c r="O57" s="16">
        <f t="shared" si="13"/>
        <v>3</v>
      </c>
      <c r="P57" s="16">
        <f t="shared" si="13"/>
        <v>3</v>
      </c>
      <c r="Q57" s="16">
        <f t="shared" si="13"/>
        <v>3</v>
      </c>
      <c r="R57" s="16">
        <f t="shared" si="13"/>
        <v>3</v>
      </c>
      <c r="S57" s="16">
        <f t="shared" si="13"/>
        <v>2</v>
      </c>
      <c r="T57" s="16">
        <f t="shared" si="13"/>
        <v>2</v>
      </c>
      <c r="U57" s="16">
        <f t="shared" si="13"/>
        <v>2</v>
      </c>
      <c r="V57" s="16">
        <f t="shared" si="13"/>
        <v>1</v>
      </c>
      <c r="W57" s="16">
        <f t="shared" si="13"/>
        <v>2</v>
      </c>
      <c r="X57" s="16">
        <f t="shared" si="13"/>
        <v>2</v>
      </c>
      <c r="Y57" s="16">
        <f t="shared" si="13"/>
        <v>2</v>
      </c>
      <c r="Z57" s="16">
        <f t="shared" si="13"/>
        <v>3</v>
      </c>
      <c r="AA57" s="16">
        <f t="shared" si="13"/>
        <v>2</v>
      </c>
      <c r="AB57" s="16">
        <f t="shared" si="13"/>
        <v>2</v>
      </c>
      <c r="AC57" s="16">
        <f t="shared" si="13"/>
        <v>2</v>
      </c>
      <c r="AD57" s="16">
        <f t="shared" si="13"/>
        <v>2</v>
      </c>
      <c r="AE57" s="16">
        <f t="shared" si="13"/>
        <v>2</v>
      </c>
      <c r="AF57" s="52">
        <f t="shared" si="13"/>
        <v>2</v>
      </c>
      <c r="AH57" s="902"/>
      <c r="AI57" s="902"/>
      <c r="AJ57" s="902"/>
    </row>
    <row r="58" spans="1:36" ht="20.100000000000001" customHeight="1" thickBot="1">
      <c r="C58" s="902"/>
      <c r="D58" s="902"/>
      <c r="E58" s="902"/>
      <c r="F58" s="902"/>
      <c r="G58" s="902"/>
      <c r="H58" s="902"/>
      <c r="I58" s="902"/>
      <c r="J58" s="902"/>
      <c r="K58" s="902"/>
      <c r="L58" s="902"/>
      <c r="M58" s="902"/>
      <c r="N58" s="902"/>
      <c r="O58" s="902"/>
      <c r="P58" s="902"/>
      <c r="Q58" s="902"/>
      <c r="R58" s="902"/>
      <c r="S58" s="902"/>
      <c r="T58" s="902"/>
      <c r="U58" s="902"/>
      <c r="V58" s="902"/>
      <c r="W58" s="902"/>
      <c r="X58" s="902"/>
      <c r="Y58" s="902"/>
      <c r="Z58" s="902"/>
      <c r="AA58" s="902"/>
      <c r="AB58" s="902"/>
      <c r="AC58" s="902"/>
      <c r="AD58" s="902"/>
      <c r="AE58" s="902"/>
      <c r="AF58" s="902"/>
      <c r="AH58" s="902"/>
      <c r="AI58" s="902"/>
      <c r="AJ58" s="902"/>
    </row>
    <row r="59" spans="1:36" ht="24.95" customHeight="1" thickBot="1">
      <c r="A59" s="910" t="s">
        <v>126</v>
      </c>
      <c r="B59" s="911"/>
      <c r="C59" s="912"/>
      <c r="D59" s="912"/>
      <c r="E59" s="912"/>
      <c r="F59" s="912"/>
      <c r="G59" s="912"/>
      <c r="H59" s="912"/>
      <c r="I59" s="912"/>
      <c r="J59" s="912"/>
      <c r="K59" s="912"/>
      <c r="L59" s="912"/>
      <c r="M59" s="912"/>
      <c r="N59" s="912"/>
      <c r="O59" s="912"/>
      <c r="P59" s="912"/>
      <c r="Q59" s="912"/>
      <c r="R59" s="912"/>
      <c r="S59" s="912"/>
      <c r="T59" s="912"/>
      <c r="U59" s="912"/>
      <c r="V59" s="912"/>
      <c r="W59" s="912"/>
      <c r="X59" s="912"/>
      <c r="Y59" s="912"/>
      <c r="Z59" s="912"/>
      <c r="AA59" s="912"/>
      <c r="AB59" s="912"/>
      <c r="AC59" s="912"/>
      <c r="AD59" s="912"/>
      <c r="AE59" s="912"/>
      <c r="AF59" s="913"/>
      <c r="AH59" s="902"/>
      <c r="AI59" s="902"/>
      <c r="AJ59" s="902"/>
    </row>
    <row r="60" spans="1:36" ht="18.75" customHeight="1">
      <c r="A60" s="893" t="s">
        <v>127</v>
      </c>
      <c r="B60" s="535" t="s">
        <v>128</v>
      </c>
      <c r="C60" s="8" t="s">
        <v>83</v>
      </c>
      <c r="D60" s="25" t="s">
        <v>23</v>
      </c>
      <c r="E60" s="25" t="s">
        <v>23</v>
      </c>
      <c r="F60" s="7" t="s">
        <v>125</v>
      </c>
      <c r="G60" s="7" t="s">
        <v>125</v>
      </c>
      <c r="H60" s="7" t="s">
        <v>125</v>
      </c>
      <c r="I60" s="7" t="s">
        <v>125</v>
      </c>
      <c r="J60" s="25" t="s">
        <v>23</v>
      </c>
      <c r="K60" s="25" t="s">
        <v>23</v>
      </c>
      <c r="L60" s="8" t="s">
        <v>83</v>
      </c>
      <c r="M60" s="8" t="s">
        <v>83</v>
      </c>
      <c r="N60" s="8" t="s">
        <v>83</v>
      </c>
      <c r="O60" s="8" t="s">
        <v>83</v>
      </c>
      <c r="P60" s="25" t="s">
        <v>23</v>
      </c>
      <c r="Q60" s="25" t="s">
        <v>23</v>
      </c>
      <c r="R60" s="7" t="s">
        <v>125</v>
      </c>
      <c r="S60" s="7" t="s">
        <v>125</v>
      </c>
      <c r="T60" s="7" t="s">
        <v>125</v>
      </c>
      <c r="U60" s="7" t="s">
        <v>125</v>
      </c>
      <c r="V60" s="25" t="s">
        <v>23</v>
      </c>
      <c r="W60" s="25" t="s">
        <v>23</v>
      </c>
      <c r="X60" s="8" t="s">
        <v>83</v>
      </c>
      <c r="Y60" s="8" t="s">
        <v>83</v>
      </c>
      <c r="Z60" s="8" t="s">
        <v>83</v>
      </c>
      <c r="AA60" s="8" t="s">
        <v>83</v>
      </c>
      <c r="AB60" s="25" t="s">
        <v>23</v>
      </c>
      <c r="AC60" s="25" t="s">
        <v>23</v>
      </c>
      <c r="AD60" s="7" t="s">
        <v>125</v>
      </c>
      <c r="AE60" s="7" t="s">
        <v>125</v>
      </c>
      <c r="AF60" s="12" t="s">
        <v>125</v>
      </c>
      <c r="AH60" s="4">
        <f>VLOOKUP(B60,'AUG25'!$B:$AK,36,0)</f>
        <v>12</v>
      </c>
      <c r="AI60" s="56">
        <f t="shared" ref="AI60" si="14">COUNTIF(C60:AF60,"U")</f>
        <v>0</v>
      </c>
      <c r="AJ60" s="57">
        <f t="shared" ref="AJ60:AJ64" si="15">AH60-AI60</f>
        <v>12</v>
      </c>
    </row>
    <row r="61" spans="1:36" ht="18.75" customHeight="1">
      <c r="A61" s="893" t="s">
        <v>129</v>
      </c>
      <c r="B61" s="535" t="s">
        <v>130</v>
      </c>
      <c r="C61" s="7" t="s">
        <v>125</v>
      </c>
      <c r="D61" s="7" t="s">
        <v>125</v>
      </c>
      <c r="E61" s="7" t="s">
        <v>125</v>
      </c>
      <c r="F61" s="25" t="s">
        <v>23</v>
      </c>
      <c r="G61" s="25" t="s">
        <v>23</v>
      </c>
      <c r="H61" s="8" t="s">
        <v>83</v>
      </c>
      <c r="I61" s="8" t="s">
        <v>83</v>
      </c>
      <c r="J61" s="8" t="s">
        <v>83</v>
      </c>
      <c r="K61" s="8" t="s">
        <v>83</v>
      </c>
      <c r="L61" s="25" t="s">
        <v>23</v>
      </c>
      <c r="M61" s="25" t="s">
        <v>23</v>
      </c>
      <c r="N61" s="7" t="s">
        <v>103</v>
      </c>
      <c r="O61" s="7" t="s">
        <v>125</v>
      </c>
      <c r="P61" s="7" t="s">
        <v>125</v>
      </c>
      <c r="Q61" s="7" t="s">
        <v>125</v>
      </c>
      <c r="R61" s="25" t="s">
        <v>23</v>
      </c>
      <c r="S61" s="25" t="s">
        <v>23</v>
      </c>
      <c r="T61" s="8" t="s">
        <v>83</v>
      </c>
      <c r="U61" s="8" t="s">
        <v>83</v>
      </c>
      <c r="V61" s="8" t="s">
        <v>83</v>
      </c>
      <c r="W61" s="8" t="s">
        <v>83</v>
      </c>
      <c r="X61" s="25" t="s">
        <v>23</v>
      </c>
      <c r="Y61" s="25" t="s">
        <v>23</v>
      </c>
      <c r="Z61" s="7" t="s">
        <v>125</v>
      </c>
      <c r="AA61" s="7" t="s">
        <v>125</v>
      </c>
      <c r="AB61" s="7" t="s">
        <v>125</v>
      </c>
      <c r="AC61" s="7" t="s">
        <v>125</v>
      </c>
      <c r="AD61" s="25" t="s">
        <v>23</v>
      </c>
      <c r="AE61" s="25" t="s">
        <v>23</v>
      </c>
      <c r="AF61" s="11" t="s">
        <v>83</v>
      </c>
      <c r="AH61" s="37">
        <f>VLOOKUP(B61,'AUG25'!$B:$AK,36,0)</f>
        <v>6</v>
      </c>
      <c r="AI61" s="35">
        <f>COUNTIF(C61:AF61,"U")</f>
        <v>0</v>
      </c>
      <c r="AJ61" s="38">
        <f t="shared" si="15"/>
        <v>6</v>
      </c>
    </row>
    <row r="62" spans="1:36" ht="18.75" customHeight="1">
      <c r="A62" s="893" t="s">
        <v>187</v>
      </c>
      <c r="B62" s="535" t="s">
        <v>188</v>
      </c>
      <c r="C62" s="25" t="s">
        <v>23</v>
      </c>
      <c r="D62" s="92" t="s">
        <v>34</v>
      </c>
      <c r="E62" s="92" t="s">
        <v>34</v>
      </c>
      <c r="F62" s="8" t="s">
        <v>83</v>
      </c>
      <c r="G62" s="8" t="s">
        <v>83</v>
      </c>
      <c r="H62" s="25" t="s">
        <v>23</v>
      </c>
      <c r="I62" s="25" t="s">
        <v>23</v>
      </c>
      <c r="J62" s="276" t="s">
        <v>103</v>
      </c>
      <c r="K62" s="276" t="s">
        <v>103</v>
      </c>
      <c r="L62" s="276" t="s">
        <v>103</v>
      </c>
      <c r="M62" s="276" t="s">
        <v>103</v>
      </c>
      <c r="N62" s="25" t="s">
        <v>23</v>
      </c>
      <c r="O62" s="25" t="s">
        <v>23</v>
      </c>
      <c r="P62" s="8" t="s">
        <v>83</v>
      </c>
      <c r="Q62" s="8" t="s">
        <v>83</v>
      </c>
      <c r="R62" s="8" t="s">
        <v>83</v>
      </c>
      <c r="S62" s="8" t="s">
        <v>83</v>
      </c>
      <c r="T62" s="25" t="s">
        <v>23</v>
      </c>
      <c r="U62" s="25" t="s">
        <v>23</v>
      </c>
      <c r="V62" s="276" t="s">
        <v>103</v>
      </c>
      <c r="W62" s="1123" t="s">
        <v>53</v>
      </c>
      <c r="X62" s="276" t="s">
        <v>103</v>
      </c>
      <c r="Y62" s="276" t="s">
        <v>103</v>
      </c>
      <c r="Z62" s="25" t="s">
        <v>23</v>
      </c>
      <c r="AA62" s="25" t="s">
        <v>23</v>
      </c>
      <c r="AB62" s="8" t="s">
        <v>83</v>
      </c>
      <c r="AC62" s="8" t="s">
        <v>83</v>
      </c>
      <c r="AD62" s="8" t="s">
        <v>83</v>
      </c>
      <c r="AE62" s="8" t="s">
        <v>83</v>
      </c>
      <c r="AF62" s="36" t="s">
        <v>23</v>
      </c>
      <c r="AH62" s="37">
        <f>VLOOKUP(B62,'AUG25'!$B:$AK,36,0)</f>
        <v>6</v>
      </c>
      <c r="AI62" s="35">
        <f>COUNTIF(C62:AF62,"U")</f>
        <v>2</v>
      </c>
      <c r="AJ62" s="38">
        <f t="shared" ref="AJ62:AJ63" si="16">AH62-AI62</f>
        <v>4</v>
      </c>
    </row>
    <row r="63" spans="1:36" ht="18.75" customHeight="1">
      <c r="A63" s="893" t="s">
        <v>121</v>
      </c>
      <c r="B63" s="535" t="s">
        <v>122</v>
      </c>
      <c r="C63" s="158" t="s">
        <v>19</v>
      </c>
      <c r="D63" s="158" t="s">
        <v>19</v>
      </c>
      <c r="E63" s="158" t="s">
        <v>19</v>
      </c>
      <c r="F63" s="158" t="s">
        <v>19</v>
      </c>
      <c r="G63" s="158" t="s">
        <v>19</v>
      </c>
      <c r="H63" s="158" t="s">
        <v>19</v>
      </c>
      <c r="I63" s="158" t="s">
        <v>19</v>
      </c>
      <c r="J63" s="158" t="s">
        <v>19</v>
      </c>
      <c r="K63" s="158" t="s">
        <v>19</v>
      </c>
      <c r="L63" s="158" t="s">
        <v>19</v>
      </c>
      <c r="M63" s="158" t="s">
        <v>19</v>
      </c>
      <c r="N63" s="158" t="s">
        <v>19</v>
      </c>
      <c r="O63" s="158" t="s">
        <v>19</v>
      </c>
      <c r="P63" s="158" t="s">
        <v>19</v>
      </c>
      <c r="Q63" s="158" t="s">
        <v>19</v>
      </c>
      <c r="R63" s="158" t="s">
        <v>19</v>
      </c>
      <c r="S63" s="158" t="s">
        <v>19</v>
      </c>
      <c r="T63" s="158" t="s">
        <v>19</v>
      </c>
      <c r="U63" s="158" t="s">
        <v>19</v>
      </c>
      <c r="V63" s="158" t="s">
        <v>19</v>
      </c>
      <c r="W63" s="158" t="s">
        <v>19</v>
      </c>
      <c r="X63" s="158" t="s">
        <v>19</v>
      </c>
      <c r="Y63" s="158" t="s">
        <v>19</v>
      </c>
      <c r="Z63" s="158" t="s">
        <v>19</v>
      </c>
      <c r="AA63" s="158" t="s">
        <v>19</v>
      </c>
      <c r="AB63" s="158" t="s">
        <v>19</v>
      </c>
      <c r="AC63" s="158" t="s">
        <v>19</v>
      </c>
      <c r="AD63" s="158" t="s">
        <v>19</v>
      </c>
      <c r="AE63" s="158" t="s">
        <v>19</v>
      </c>
      <c r="AF63" s="136" t="s">
        <v>19</v>
      </c>
      <c r="AH63" s="37">
        <f>VLOOKUP(B63,'AUG25'!$B:$AK,36,0)</f>
        <v>0</v>
      </c>
      <c r="AI63" s="35">
        <f>COUNTIF(C63:AF63,"U")</f>
        <v>0</v>
      </c>
      <c r="AJ63" s="38">
        <f t="shared" si="16"/>
        <v>0</v>
      </c>
    </row>
    <row r="64" spans="1:36" ht="18.75" customHeight="1" thickBot="1">
      <c r="A64" s="894" t="s">
        <v>131</v>
      </c>
      <c r="B64" s="550" t="s">
        <v>132</v>
      </c>
      <c r="C64" s="844" t="s">
        <v>108</v>
      </c>
      <c r="D64" s="844" t="s">
        <v>108</v>
      </c>
      <c r="E64" s="844" t="s">
        <v>108</v>
      </c>
      <c r="F64" s="844" t="s">
        <v>108</v>
      </c>
      <c r="G64" s="844" t="s">
        <v>108</v>
      </c>
      <c r="H64" s="24" t="s">
        <v>23</v>
      </c>
      <c r="I64" s="24" t="s">
        <v>23</v>
      </c>
      <c r="J64" s="399" t="s">
        <v>34</v>
      </c>
      <c r="K64" s="399" t="s">
        <v>34</v>
      </c>
      <c r="L64" s="399" t="s">
        <v>34</v>
      </c>
      <c r="M64" s="399" t="s">
        <v>34</v>
      </c>
      <c r="N64" s="24" t="s">
        <v>23</v>
      </c>
      <c r="O64" s="24" t="s">
        <v>23</v>
      </c>
      <c r="P64" s="399" t="s">
        <v>34</v>
      </c>
      <c r="Q64" s="399" t="s">
        <v>34</v>
      </c>
      <c r="R64" s="399" t="s">
        <v>34</v>
      </c>
      <c r="S64" s="399" t="s">
        <v>34</v>
      </c>
      <c r="T64" s="24" t="s">
        <v>23</v>
      </c>
      <c r="U64" s="24" t="s">
        <v>23</v>
      </c>
      <c r="V64" s="399" t="s">
        <v>34</v>
      </c>
      <c r="W64" s="399" t="s">
        <v>34</v>
      </c>
      <c r="X64" s="765" t="s">
        <v>144</v>
      </c>
      <c r="Y64" s="1165" t="s">
        <v>68</v>
      </c>
      <c r="Z64" s="24" t="s">
        <v>23</v>
      </c>
      <c r="AA64" s="24" t="s">
        <v>23</v>
      </c>
      <c r="AB64" s="76" t="s">
        <v>24</v>
      </c>
      <c r="AC64" s="76" t="s">
        <v>24</v>
      </c>
      <c r="AD64" s="76" t="s">
        <v>24</v>
      </c>
      <c r="AE64" s="76" t="s">
        <v>24</v>
      </c>
      <c r="AF64" s="33" t="s">
        <v>23</v>
      </c>
      <c r="AH64" s="46">
        <f>VLOOKUP(B64,'AUG25'!$B:$AK,36,0)</f>
        <v>22</v>
      </c>
      <c r="AI64" s="16">
        <f>COUNTIF(C64:AF64,"U")</f>
        <v>10</v>
      </c>
      <c r="AJ64" s="52">
        <f t="shared" si="15"/>
        <v>12</v>
      </c>
    </row>
    <row r="65" spans="1:36" ht="9.9499999999999993" customHeight="1" thickBot="1">
      <c r="A65" s="1"/>
      <c r="B65" s="1"/>
      <c r="C65" s="902"/>
      <c r="D65" s="902"/>
      <c r="E65" s="902"/>
      <c r="F65" s="902"/>
      <c r="G65" s="902"/>
      <c r="H65" s="902"/>
      <c r="I65" s="902"/>
      <c r="J65" s="902"/>
      <c r="K65" s="902"/>
      <c r="L65" s="902"/>
      <c r="M65" s="902"/>
      <c r="N65" s="902"/>
      <c r="O65" s="902"/>
      <c r="P65" s="902"/>
      <c r="Q65" s="902"/>
      <c r="R65" s="902"/>
      <c r="S65" s="902"/>
      <c r="T65" s="902"/>
      <c r="U65" s="902"/>
      <c r="V65" s="902"/>
      <c r="W65" s="902"/>
      <c r="X65" s="902"/>
      <c r="Y65" s="902"/>
      <c r="Z65" s="902"/>
      <c r="AA65" s="902"/>
      <c r="AB65" s="902"/>
      <c r="AC65" s="902"/>
      <c r="AD65" s="902"/>
      <c r="AE65" s="902"/>
      <c r="AF65" s="902"/>
    </row>
    <row r="66" spans="1:36" ht="18">
      <c r="A66" s="888" t="s">
        <v>125</v>
      </c>
      <c r="B66" s="889"/>
      <c r="C66" s="56">
        <f>COUNTIF(C60:C64,"H05")+COUNTIF(C46:C52,"P05")</f>
        <v>1</v>
      </c>
      <c r="D66" s="56">
        <f t="shared" ref="D66:I66" si="17">COUNTIF(D60:D64,"H05")+COUNTIF(D46:D52,"P05")</f>
        <v>1</v>
      </c>
      <c r="E66" s="56">
        <f t="shared" si="17"/>
        <v>1</v>
      </c>
      <c r="F66" s="56">
        <f t="shared" si="17"/>
        <v>1</v>
      </c>
      <c r="G66" s="56">
        <f t="shared" si="17"/>
        <v>1</v>
      </c>
      <c r="H66" s="56">
        <f t="shared" si="17"/>
        <v>1</v>
      </c>
      <c r="I66" s="56">
        <f t="shared" si="17"/>
        <v>1</v>
      </c>
      <c r="J66" s="56">
        <f>COUNTIF(J60:J64,"H05")+COUNTIF(J46:J52,"P05")+COUNTIF(J60:J64, "P05")</f>
        <v>1</v>
      </c>
      <c r="K66" s="56">
        <f t="shared" ref="K66:AF66" si="18">COUNTIF(K60:K64,"H05")+COUNTIF(K46:K52,"P05")+COUNTIF(K60:K64, "P05")</f>
        <v>1</v>
      </c>
      <c r="L66" s="56">
        <f t="shared" si="18"/>
        <v>1</v>
      </c>
      <c r="M66" s="56">
        <f t="shared" si="18"/>
        <v>1</v>
      </c>
      <c r="N66" s="56">
        <f t="shared" si="18"/>
        <v>1</v>
      </c>
      <c r="O66" s="56">
        <f t="shared" si="18"/>
        <v>1</v>
      </c>
      <c r="P66" s="56">
        <f t="shared" si="18"/>
        <v>1</v>
      </c>
      <c r="Q66" s="56">
        <f t="shared" si="18"/>
        <v>1</v>
      </c>
      <c r="R66" s="56">
        <f t="shared" si="18"/>
        <v>1</v>
      </c>
      <c r="S66" s="56">
        <f t="shared" si="18"/>
        <v>1</v>
      </c>
      <c r="T66" s="56">
        <f t="shared" si="18"/>
        <v>1</v>
      </c>
      <c r="U66" s="56">
        <f t="shared" si="18"/>
        <v>1</v>
      </c>
      <c r="V66" s="56">
        <f t="shared" si="18"/>
        <v>1</v>
      </c>
      <c r="W66" s="56">
        <f t="shared" si="18"/>
        <v>1</v>
      </c>
      <c r="X66" s="56">
        <f t="shared" si="18"/>
        <v>1</v>
      </c>
      <c r="Y66" s="56">
        <f t="shared" si="18"/>
        <v>1</v>
      </c>
      <c r="Z66" s="56">
        <f t="shared" si="18"/>
        <v>1</v>
      </c>
      <c r="AA66" s="56">
        <f t="shared" si="18"/>
        <v>1</v>
      </c>
      <c r="AB66" s="56">
        <f t="shared" si="18"/>
        <v>1</v>
      </c>
      <c r="AC66" s="56">
        <f t="shared" si="18"/>
        <v>1</v>
      </c>
      <c r="AD66" s="56">
        <f t="shared" si="18"/>
        <v>1</v>
      </c>
      <c r="AE66" s="56">
        <f t="shared" si="18"/>
        <v>1</v>
      </c>
      <c r="AF66" s="56">
        <f t="shared" si="18"/>
        <v>1</v>
      </c>
    </row>
    <row r="67" spans="1:36" ht="18.75" thickBot="1">
      <c r="A67" s="890" t="s">
        <v>83</v>
      </c>
      <c r="B67" s="891"/>
      <c r="C67" s="16">
        <f>COUNTIF(C60:C64,$A$67)+COUNTIF(C46:C52,$A$67)</f>
        <v>1</v>
      </c>
      <c r="D67" s="16">
        <f t="shared" ref="D67:AF67" si="19">COUNTIF(D60:D64,$A$67)+COUNTIF(D46:D52,$A$67)</f>
        <v>1</v>
      </c>
      <c r="E67" s="16">
        <f t="shared" si="19"/>
        <v>1</v>
      </c>
      <c r="F67" s="16">
        <f t="shared" si="19"/>
        <v>1</v>
      </c>
      <c r="G67" s="16">
        <f t="shared" si="19"/>
        <v>1</v>
      </c>
      <c r="H67" s="16">
        <f t="shared" si="19"/>
        <v>1</v>
      </c>
      <c r="I67" s="16">
        <f t="shared" si="19"/>
        <v>1</v>
      </c>
      <c r="J67" s="16">
        <f t="shared" si="19"/>
        <v>1</v>
      </c>
      <c r="K67" s="16">
        <f t="shared" si="19"/>
        <v>1</v>
      </c>
      <c r="L67" s="16">
        <f t="shared" si="19"/>
        <v>1</v>
      </c>
      <c r="M67" s="16">
        <f t="shared" si="19"/>
        <v>1</v>
      </c>
      <c r="N67" s="16">
        <f t="shared" si="19"/>
        <v>1</v>
      </c>
      <c r="O67" s="16">
        <f t="shared" si="19"/>
        <v>1</v>
      </c>
      <c r="P67" s="16">
        <f t="shared" si="19"/>
        <v>1</v>
      </c>
      <c r="Q67" s="16">
        <f t="shared" si="19"/>
        <v>1</v>
      </c>
      <c r="R67" s="16">
        <f t="shared" si="19"/>
        <v>1</v>
      </c>
      <c r="S67" s="16">
        <f t="shared" si="19"/>
        <v>1</v>
      </c>
      <c r="T67" s="16">
        <f t="shared" si="19"/>
        <v>1</v>
      </c>
      <c r="U67" s="16">
        <f t="shared" si="19"/>
        <v>1</v>
      </c>
      <c r="V67" s="16">
        <f t="shared" si="19"/>
        <v>1</v>
      </c>
      <c r="W67" s="16">
        <f t="shared" si="19"/>
        <v>1</v>
      </c>
      <c r="X67" s="16">
        <f t="shared" si="19"/>
        <v>1</v>
      </c>
      <c r="Y67" s="16">
        <f t="shared" si="19"/>
        <v>1</v>
      </c>
      <c r="Z67" s="16">
        <f t="shared" si="19"/>
        <v>1</v>
      </c>
      <c r="AA67" s="16">
        <f t="shared" si="19"/>
        <v>1</v>
      </c>
      <c r="AB67" s="16">
        <f t="shared" si="19"/>
        <v>1</v>
      </c>
      <c r="AC67" s="16">
        <f t="shared" si="19"/>
        <v>1</v>
      </c>
      <c r="AD67" s="16">
        <f t="shared" si="19"/>
        <v>1</v>
      </c>
      <c r="AE67" s="16">
        <f t="shared" si="19"/>
        <v>1</v>
      </c>
      <c r="AF67" s="52">
        <f t="shared" si="19"/>
        <v>1</v>
      </c>
    </row>
    <row r="68" spans="1:36">
      <c r="B68" s="846"/>
      <c r="C68" s="846"/>
      <c r="D68" s="846"/>
      <c r="E68" s="846"/>
      <c r="F68" s="846"/>
      <c r="G68" s="846"/>
      <c r="H68" s="846"/>
      <c r="I68" s="846"/>
      <c r="J68" s="846"/>
      <c r="K68" s="846"/>
      <c r="L68" s="846"/>
      <c r="M68" s="846"/>
      <c r="N68" s="846"/>
      <c r="O68" s="846"/>
      <c r="P68" s="846"/>
      <c r="Q68" s="846"/>
      <c r="R68" s="846"/>
      <c r="S68" s="846"/>
      <c r="T68" s="846"/>
      <c r="U68" s="846"/>
      <c r="V68" s="846"/>
      <c r="W68" s="846"/>
      <c r="X68" s="846"/>
      <c r="Y68" s="846"/>
      <c r="Z68" s="846"/>
      <c r="AA68" s="846"/>
      <c r="AB68" s="846"/>
      <c r="AC68" s="846"/>
      <c r="AD68" s="846"/>
      <c r="AE68" s="846"/>
      <c r="AF68" s="846"/>
      <c r="AG68" s="846"/>
      <c r="AH68" s="846"/>
      <c r="AI68" s="846"/>
      <c r="AJ68" s="846"/>
    </row>
    <row r="70" spans="1:36">
      <c r="B70" s="922"/>
      <c r="C70" s="922"/>
      <c r="D70" s="922"/>
      <c r="E70" s="922"/>
      <c r="F70" s="922"/>
      <c r="G70" s="922"/>
      <c r="H70" s="922"/>
      <c r="I70" s="922"/>
      <c r="J70" s="922"/>
      <c r="K70" s="922"/>
      <c r="L70" s="922"/>
      <c r="M70" s="922"/>
      <c r="N70" s="922"/>
      <c r="O70" s="922"/>
      <c r="P70" s="922"/>
      <c r="Q70" s="922"/>
      <c r="R70" s="922"/>
      <c r="S70" s="922"/>
      <c r="T70" s="922"/>
      <c r="U70" s="922"/>
      <c r="V70" s="922"/>
      <c r="W70" s="922"/>
      <c r="X70" s="922"/>
      <c r="Y70" s="922"/>
      <c r="Z70" s="922"/>
      <c r="AA70" s="922"/>
      <c r="AB70" s="922"/>
      <c r="AC70" s="922"/>
      <c r="AD70" s="922"/>
      <c r="AE70" s="922"/>
      <c r="AF70" s="922"/>
      <c r="AG70" s="922"/>
      <c r="AH70" s="922"/>
      <c r="AI70" s="922"/>
      <c r="AJ70" s="922"/>
    </row>
  </sheetData>
  <mergeCells count="3">
    <mergeCell ref="AH3:AH4"/>
    <mergeCell ref="AI3:AI4"/>
    <mergeCell ref="AJ3:AJ4"/>
  </mergeCells>
  <conditionalFormatting sqref="C57:AF57">
    <cfRule type="cellIs" dxfId="16" priority="2" operator="lessThan">
      <formula>1.5</formula>
    </cfRule>
    <cfRule type="cellIs" dxfId="15" priority="3" operator="lessThan">
      <formula>2.5</formula>
    </cfRule>
  </conditionalFormatting>
  <conditionalFormatting sqref="C66:AF67">
    <cfRule type="cellIs" dxfId="14" priority="1" operator="lessThan">
      <formula>0.5</formula>
    </cfRule>
  </conditionalFormatting>
  <conditionalFormatting sqref="AH24:AH25">
    <cfRule type="cellIs" dxfId="13" priority="4" operator="equal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AD78-A7C4-4BC0-9499-4D7CCFCDAC67}">
  <dimension ref="A1:AK69"/>
  <sheetViews>
    <sheetView showGridLines="0" zoomScale="70" zoomScaleNormal="70" workbookViewId="0">
      <pane xSplit="2" ySplit="4" topLeftCell="M39" activePane="bottomRight" state="frozen"/>
      <selection pane="bottomRight" activeCell="A48" sqref="A48:XFD48"/>
      <selection pane="bottomLeft" activeCell="A5" sqref="A5"/>
      <selection pane="topRight" activeCell="C1" sqref="C1"/>
    </sheetView>
  </sheetViews>
  <sheetFormatPr defaultColWidth="9.140625" defaultRowHeight="15"/>
  <cols>
    <col min="1" max="1" width="42.5703125" customWidth="1"/>
    <col min="2" max="2" width="42.5703125" hidden="1" customWidth="1"/>
    <col min="36" max="36" width="10.140625" bestFit="1" customWidth="1"/>
  </cols>
  <sheetData>
    <row r="1" spans="1:37" ht="20.100000000000001" customHeight="1" thickBot="1">
      <c r="A1" s="906"/>
      <c r="B1" s="584" t="s">
        <v>0</v>
      </c>
      <c r="C1" s="829" t="s">
        <v>1</v>
      </c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  <c r="U1" s="830"/>
      <c r="V1" s="830"/>
      <c r="W1" s="830"/>
      <c r="X1" s="830"/>
      <c r="Y1" s="830"/>
      <c r="Z1" s="830"/>
      <c r="AA1" s="830"/>
      <c r="AB1" s="830"/>
      <c r="AC1" s="830"/>
      <c r="AD1" s="830"/>
      <c r="AE1" s="830"/>
      <c r="AF1" s="830"/>
      <c r="AG1" s="831"/>
    </row>
    <row r="2" spans="1:37" ht="30" customHeight="1" thickBot="1">
      <c r="A2" s="588" t="s">
        <v>2</v>
      </c>
      <c r="B2" s="552"/>
      <c r="C2" s="907" t="s">
        <v>203</v>
      </c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  <c r="O2" s="857"/>
      <c r="P2" s="857"/>
      <c r="Q2" s="857"/>
      <c r="R2" s="857"/>
      <c r="S2" s="857"/>
      <c r="T2" s="857"/>
      <c r="U2" s="857"/>
      <c r="V2" s="857"/>
      <c r="W2" s="857"/>
      <c r="X2" s="857"/>
      <c r="Y2" s="857"/>
      <c r="Z2" s="857"/>
      <c r="AA2" s="857"/>
      <c r="AB2" s="857"/>
      <c r="AC2" s="857"/>
      <c r="AD2" s="857"/>
      <c r="AE2" s="857"/>
      <c r="AF2" s="857"/>
      <c r="AG2" s="866"/>
      <c r="AI2" s="618" t="s">
        <v>5</v>
      </c>
      <c r="AJ2" s="619"/>
      <c r="AK2" s="620"/>
    </row>
    <row r="3" spans="1:37" ht="24.95" customHeight="1">
      <c r="A3" s="590" t="s">
        <v>0</v>
      </c>
      <c r="B3" s="464" t="s">
        <v>0</v>
      </c>
      <c r="C3" s="629" t="s">
        <v>6</v>
      </c>
      <c r="D3" s="629" t="s">
        <v>7</v>
      </c>
      <c r="E3" s="629" t="s">
        <v>8</v>
      </c>
      <c r="F3" s="628" t="s">
        <v>9</v>
      </c>
      <c r="G3" s="914" t="s">
        <v>10</v>
      </c>
      <c r="H3" s="629" t="s">
        <v>11</v>
      </c>
      <c r="I3" s="629" t="s">
        <v>12</v>
      </c>
      <c r="J3" s="629" t="s">
        <v>6</v>
      </c>
      <c r="K3" s="629" t="s">
        <v>7</v>
      </c>
      <c r="L3" s="629" t="s">
        <v>8</v>
      </c>
      <c r="M3" s="628" t="s">
        <v>9</v>
      </c>
      <c r="N3" s="628" t="s">
        <v>10</v>
      </c>
      <c r="O3" s="629" t="s">
        <v>11</v>
      </c>
      <c r="P3" s="629" t="s">
        <v>12</v>
      </c>
      <c r="Q3" s="629" t="s">
        <v>6</v>
      </c>
      <c r="R3" s="629" t="s">
        <v>7</v>
      </c>
      <c r="S3" s="629" t="s">
        <v>8</v>
      </c>
      <c r="T3" s="628" t="s">
        <v>9</v>
      </c>
      <c r="U3" s="628" t="s">
        <v>10</v>
      </c>
      <c r="V3" s="629" t="s">
        <v>11</v>
      </c>
      <c r="W3" s="629" t="s">
        <v>12</v>
      </c>
      <c r="X3" s="629" t="s">
        <v>6</v>
      </c>
      <c r="Y3" s="629" t="s">
        <v>7</v>
      </c>
      <c r="Z3" s="629" t="s">
        <v>8</v>
      </c>
      <c r="AA3" s="628" t="s">
        <v>9</v>
      </c>
      <c r="AB3" s="628" t="s">
        <v>10</v>
      </c>
      <c r="AC3" s="629" t="s">
        <v>11</v>
      </c>
      <c r="AD3" s="629" t="s">
        <v>12</v>
      </c>
      <c r="AE3" s="629" t="s">
        <v>6</v>
      </c>
      <c r="AF3" s="629" t="s">
        <v>7</v>
      </c>
      <c r="AG3" s="684" t="s">
        <v>8</v>
      </c>
      <c r="AI3" s="1401">
        <v>2025</v>
      </c>
      <c r="AJ3" s="1397" t="s">
        <v>13</v>
      </c>
      <c r="AK3" s="1399" t="s">
        <v>14</v>
      </c>
    </row>
    <row r="4" spans="1:37" ht="24.95" customHeight="1" thickBot="1">
      <c r="A4" s="591" t="s">
        <v>15</v>
      </c>
      <c r="B4" s="466" t="s">
        <v>16</v>
      </c>
      <c r="C4" s="915">
        <v>1</v>
      </c>
      <c r="D4" s="915">
        <v>2</v>
      </c>
      <c r="E4" s="915">
        <v>3</v>
      </c>
      <c r="F4" s="916">
        <v>4</v>
      </c>
      <c r="G4" s="917">
        <v>5</v>
      </c>
      <c r="H4" s="915">
        <v>6</v>
      </c>
      <c r="I4" s="915">
        <v>7</v>
      </c>
      <c r="J4" s="915">
        <v>8</v>
      </c>
      <c r="K4" s="915">
        <v>9</v>
      </c>
      <c r="L4" s="915">
        <v>10</v>
      </c>
      <c r="M4" s="916">
        <v>11</v>
      </c>
      <c r="N4" s="916">
        <v>12</v>
      </c>
      <c r="O4" s="915">
        <v>13</v>
      </c>
      <c r="P4" s="915">
        <v>14</v>
      </c>
      <c r="Q4" s="915">
        <v>15</v>
      </c>
      <c r="R4" s="915">
        <v>16</v>
      </c>
      <c r="S4" s="915">
        <v>17</v>
      </c>
      <c r="T4" s="916">
        <v>18</v>
      </c>
      <c r="U4" s="916">
        <v>19</v>
      </c>
      <c r="V4" s="915">
        <v>20</v>
      </c>
      <c r="W4" s="915">
        <v>21</v>
      </c>
      <c r="X4" s="915">
        <v>22</v>
      </c>
      <c r="Y4" s="915">
        <v>23</v>
      </c>
      <c r="Z4" s="915">
        <v>24</v>
      </c>
      <c r="AA4" s="916">
        <v>25</v>
      </c>
      <c r="AB4" s="916">
        <v>26</v>
      </c>
      <c r="AC4" s="915">
        <v>27</v>
      </c>
      <c r="AD4" s="915">
        <v>28</v>
      </c>
      <c r="AE4" s="915">
        <v>29</v>
      </c>
      <c r="AF4" s="915">
        <v>30</v>
      </c>
      <c r="AG4" s="919">
        <v>31</v>
      </c>
      <c r="AI4" s="1405"/>
      <c r="AJ4" s="1406"/>
      <c r="AK4" s="1407"/>
    </row>
    <row r="5" spans="1:37" ht="18.75" customHeight="1">
      <c r="A5" s="718" t="s">
        <v>17</v>
      </c>
      <c r="B5" s="696" t="s">
        <v>18</v>
      </c>
      <c r="C5" s="157" t="s">
        <v>191</v>
      </c>
      <c r="D5" s="157" t="s">
        <v>191</v>
      </c>
      <c r="E5" s="157" t="s">
        <v>191</v>
      </c>
      <c r="F5" s="157" t="s">
        <v>191</v>
      </c>
      <c r="G5" s="157" t="s">
        <v>191</v>
      </c>
      <c r="H5" s="157" t="s">
        <v>191</v>
      </c>
      <c r="I5" s="157" t="s">
        <v>191</v>
      </c>
      <c r="J5" s="157" t="s">
        <v>191</v>
      </c>
      <c r="K5" s="157" t="s">
        <v>191</v>
      </c>
      <c r="L5" s="157" t="s">
        <v>191</v>
      </c>
      <c r="M5" s="157" t="s">
        <v>191</v>
      </c>
      <c r="N5" s="157" t="s">
        <v>191</v>
      </c>
      <c r="O5" s="157" t="s">
        <v>191</v>
      </c>
      <c r="P5" s="157" t="s">
        <v>191</v>
      </c>
      <c r="Q5" s="157" t="s">
        <v>191</v>
      </c>
      <c r="R5" s="157" t="s">
        <v>191</v>
      </c>
      <c r="S5" s="157" t="s">
        <v>191</v>
      </c>
      <c r="T5" s="157" t="s">
        <v>191</v>
      </c>
      <c r="U5" s="157" t="s">
        <v>191</v>
      </c>
      <c r="V5" s="157" t="s">
        <v>191</v>
      </c>
      <c r="W5" s="157" t="s">
        <v>191</v>
      </c>
      <c r="X5" s="157" t="s">
        <v>191</v>
      </c>
      <c r="Y5" s="157" t="s">
        <v>191</v>
      </c>
      <c r="Z5" s="157" t="s">
        <v>191</v>
      </c>
      <c r="AA5" s="157" t="s">
        <v>191</v>
      </c>
      <c r="AB5" s="157" t="s">
        <v>191</v>
      </c>
      <c r="AC5" s="157" t="s">
        <v>191</v>
      </c>
      <c r="AD5" s="157" t="s">
        <v>191</v>
      </c>
      <c r="AE5" s="157" t="s">
        <v>191</v>
      </c>
      <c r="AF5" s="157" t="s">
        <v>191</v>
      </c>
      <c r="AG5" s="157" t="s">
        <v>191</v>
      </c>
      <c r="AI5" s="4">
        <f>VLOOKUP(B5,'SEP25'!B:AJ,35,0)</f>
        <v>22</v>
      </c>
      <c r="AJ5" s="218">
        <f>COUNTIF(C5:AG5,"u")</f>
        <v>0</v>
      </c>
      <c r="AK5" s="221">
        <f>AI5-AJ5</f>
        <v>22</v>
      </c>
    </row>
    <row r="6" spans="1:37" ht="19.5" customHeight="1">
      <c r="A6" s="718" t="s">
        <v>20</v>
      </c>
      <c r="B6" s="696" t="s">
        <v>21</v>
      </c>
      <c r="C6" s="6" t="s">
        <v>22</v>
      </c>
      <c r="D6" s="6" t="s">
        <v>22</v>
      </c>
      <c r="E6" s="6" t="s">
        <v>22</v>
      </c>
      <c r="F6" s="562" t="s">
        <v>23</v>
      </c>
      <c r="G6" s="562" t="s">
        <v>23</v>
      </c>
      <c r="H6" s="1122" t="s">
        <v>144</v>
      </c>
      <c r="I6" s="1122" t="s">
        <v>144</v>
      </c>
      <c r="J6" s="1122" t="s">
        <v>181</v>
      </c>
      <c r="K6" s="28" t="s">
        <v>24</v>
      </c>
      <c r="L6" s="28" t="s">
        <v>24</v>
      </c>
      <c r="M6" s="562" t="s">
        <v>23</v>
      </c>
      <c r="N6" s="562" t="s">
        <v>23</v>
      </c>
      <c r="O6" s="6" t="s">
        <v>22</v>
      </c>
      <c r="P6" s="6" t="s">
        <v>22</v>
      </c>
      <c r="Q6" s="6" t="s">
        <v>22</v>
      </c>
      <c r="R6" s="6" t="s">
        <v>22</v>
      </c>
      <c r="S6" s="562" t="s">
        <v>23</v>
      </c>
      <c r="T6" s="562" t="s">
        <v>23</v>
      </c>
      <c r="U6" s="1268" t="s">
        <v>23</v>
      </c>
      <c r="V6" s="157" t="s">
        <v>19</v>
      </c>
      <c r="W6" s="1269" t="s">
        <v>19</v>
      </c>
      <c r="X6" s="6" t="s">
        <v>22</v>
      </c>
      <c r="Y6" s="6" t="s">
        <v>22</v>
      </c>
      <c r="Z6" s="562" t="s">
        <v>23</v>
      </c>
      <c r="AA6" s="6" t="s">
        <v>22</v>
      </c>
      <c r="AB6" s="6" t="s">
        <v>22</v>
      </c>
      <c r="AC6" s="6" t="s">
        <v>22</v>
      </c>
      <c r="AD6" s="6" t="s">
        <v>22</v>
      </c>
      <c r="AE6" s="562" t="s">
        <v>23</v>
      </c>
      <c r="AF6" s="562" t="s">
        <v>23</v>
      </c>
      <c r="AG6" s="1203" t="s">
        <v>146</v>
      </c>
      <c r="AI6" s="227">
        <f>VLOOKUP(B6,'SEP25'!B:AJ,35,0)</f>
        <v>3</v>
      </c>
      <c r="AJ6" s="225">
        <f>COUNTIF(C6:AG6,"u")</f>
        <v>0</v>
      </c>
      <c r="AK6" s="230">
        <f>AI6-AJ6</f>
        <v>3</v>
      </c>
    </row>
    <row r="7" spans="1:37" ht="18.75" customHeight="1">
      <c r="A7" s="602" t="s">
        <v>26</v>
      </c>
      <c r="B7" s="535" t="s">
        <v>27</v>
      </c>
      <c r="C7" s="29" t="s">
        <v>23</v>
      </c>
      <c r="D7" s="29" t="s">
        <v>23</v>
      </c>
      <c r="E7" s="6" t="s">
        <v>22</v>
      </c>
      <c r="F7" s="6" t="s">
        <v>22</v>
      </c>
      <c r="G7" s="6" t="s">
        <v>22</v>
      </c>
      <c r="H7" s="157" t="s">
        <v>19</v>
      </c>
      <c r="I7" s="29" t="s">
        <v>23</v>
      </c>
      <c r="J7" s="29" t="s">
        <v>23</v>
      </c>
      <c r="K7" s="1062" t="s">
        <v>24</v>
      </c>
      <c r="L7" s="1062" t="s">
        <v>24</v>
      </c>
      <c r="M7" s="1062" t="s">
        <v>24</v>
      </c>
      <c r="N7" s="1062" t="s">
        <v>24</v>
      </c>
      <c r="O7" s="29" t="s">
        <v>23</v>
      </c>
      <c r="P7" s="29" t="s">
        <v>23</v>
      </c>
      <c r="Q7" s="6" t="s">
        <v>22</v>
      </c>
      <c r="R7" s="6" t="s">
        <v>22</v>
      </c>
      <c r="S7" s="6" t="s">
        <v>22</v>
      </c>
      <c r="T7" s="92" t="s">
        <v>34</v>
      </c>
      <c r="U7" s="29" t="s">
        <v>23</v>
      </c>
      <c r="V7" s="29" t="s">
        <v>23</v>
      </c>
      <c r="W7" s="111" t="s">
        <v>24</v>
      </c>
      <c r="X7" s="111" t="s">
        <v>24</v>
      </c>
      <c r="Y7" s="111" t="s">
        <v>24</v>
      </c>
      <c r="Z7" s="29" t="s">
        <v>23</v>
      </c>
      <c r="AA7" s="29" t="s">
        <v>23</v>
      </c>
      <c r="AB7" s="85" t="s">
        <v>63</v>
      </c>
      <c r="AC7" s="85" t="s">
        <v>63</v>
      </c>
      <c r="AD7" s="85" t="s">
        <v>63</v>
      </c>
      <c r="AE7" s="85" t="s">
        <v>63</v>
      </c>
      <c r="AF7" s="85" t="s">
        <v>63</v>
      </c>
      <c r="AG7" s="78" t="s">
        <v>23</v>
      </c>
      <c r="AI7" s="227">
        <f>VLOOKUP(B7,'SEP25'!B:AJ,35,0)</f>
        <v>6</v>
      </c>
      <c r="AJ7" s="225">
        <f>COUNTIF(C7:AG7,"u")</f>
        <v>1</v>
      </c>
      <c r="AK7" s="230">
        <f>AI7-AJ7</f>
        <v>5</v>
      </c>
    </row>
    <row r="8" spans="1:37" ht="18.75" customHeight="1">
      <c r="A8" s="602" t="s">
        <v>28</v>
      </c>
      <c r="B8" s="535" t="s">
        <v>29</v>
      </c>
      <c r="C8" s="6" t="s">
        <v>22</v>
      </c>
      <c r="D8" s="6" t="s">
        <v>22</v>
      </c>
      <c r="E8" s="6" t="s">
        <v>22</v>
      </c>
      <c r="F8" s="6" t="s">
        <v>22</v>
      </c>
      <c r="G8" s="29" t="s">
        <v>23</v>
      </c>
      <c r="H8" s="29" t="s">
        <v>23</v>
      </c>
      <c r="I8" s="111" t="s">
        <v>24</v>
      </c>
      <c r="J8" s="111" t="s">
        <v>24</v>
      </c>
      <c r="K8" s="111" t="s">
        <v>24</v>
      </c>
      <c r="L8" s="111" t="s">
        <v>24</v>
      </c>
      <c r="M8" s="29" t="s">
        <v>23</v>
      </c>
      <c r="N8" s="29" t="s">
        <v>23</v>
      </c>
      <c r="O8" s="6" t="s">
        <v>22</v>
      </c>
      <c r="P8" s="6" t="s">
        <v>22</v>
      </c>
      <c r="Q8" s="1074" t="s">
        <v>22</v>
      </c>
      <c r="R8" s="1074" t="s">
        <v>22</v>
      </c>
      <c r="S8" s="29" t="s">
        <v>23</v>
      </c>
      <c r="T8" s="29" t="s">
        <v>23</v>
      </c>
      <c r="U8" s="111" t="s">
        <v>24</v>
      </c>
      <c r="V8" s="111" t="s">
        <v>24</v>
      </c>
      <c r="W8" s="111" t="s">
        <v>24</v>
      </c>
      <c r="X8" s="111" t="s">
        <v>24</v>
      </c>
      <c r="Y8" s="29" t="s">
        <v>23</v>
      </c>
      <c r="Z8" s="29" t="s">
        <v>23</v>
      </c>
      <c r="AA8" s="6" t="s">
        <v>22</v>
      </c>
      <c r="AB8" s="6" t="s">
        <v>22</v>
      </c>
      <c r="AC8" s="6" t="s">
        <v>22</v>
      </c>
      <c r="AD8" s="6" t="s">
        <v>22</v>
      </c>
      <c r="AE8" s="29" t="s">
        <v>23</v>
      </c>
      <c r="AF8" s="29" t="s">
        <v>23</v>
      </c>
      <c r="AG8" s="119" t="s">
        <v>24</v>
      </c>
      <c r="AI8" s="227">
        <f>VLOOKUP(B8,'SEP25'!B:AJ,35,0)</f>
        <v>5</v>
      </c>
      <c r="AJ8" s="225">
        <f t="shared" ref="AJ8:AJ9" si="0">COUNTIF(C8:AG8,"u")</f>
        <v>0</v>
      </c>
      <c r="AK8" s="230">
        <f t="shared" ref="AK8:AK9" si="1">AI8-AJ8</f>
        <v>5</v>
      </c>
    </row>
    <row r="9" spans="1:37" ht="18.75" customHeight="1">
      <c r="A9" s="602" t="s">
        <v>32</v>
      </c>
      <c r="B9" s="535" t="s">
        <v>33</v>
      </c>
      <c r="C9" s="6" t="s">
        <v>22</v>
      </c>
      <c r="D9" s="6" t="s">
        <v>22</v>
      </c>
      <c r="E9" s="29" t="s">
        <v>23</v>
      </c>
      <c r="F9" s="29" t="s">
        <v>23</v>
      </c>
      <c r="G9" s="918" t="s">
        <v>30</v>
      </c>
      <c r="H9" s="92" t="s">
        <v>34</v>
      </c>
      <c r="I9" s="92" t="s">
        <v>34</v>
      </c>
      <c r="J9" s="92" t="s">
        <v>34</v>
      </c>
      <c r="K9" s="29" t="s">
        <v>23</v>
      </c>
      <c r="L9" s="29" t="s">
        <v>23</v>
      </c>
      <c r="M9" s="92" t="s">
        <v>34</v>
      </c>
      <c r="N9" s="92" t="s">
        <v>34</v>
      </c>
      <c r="O9" s="6" t="s">
        <v>22</v>
      </c>
      <c r="P9" s="6" t="s">
        <v>22</v>
      </c>
      <c r="Q9" s="29" t="s">
        <v>23</v>
      </c>
      <c r="R9" s="29" t="s">
        <v>23</v>
      </c>
      <c r="S9" s="111" t="s">
        <v>24</v>
      </c>
      <c r="T9" s="111" t="s">
        <v>24</v>
      </c>
      <c r="U9" s="111" t="s">
        <v>24</v>
      </c>
      <c r="V9" s="111" t="s">
        <v>24</v>
      </c>
      <c r="W9" s="29" t="s">
        <v>23</v>
      </c>
      <c r="X9" s="29" t="s">
        <v>23</v>
      </c>
      <c r="Y9" s="6" t="s">
        <v>22</v>
      </c>
      <c r="Z9" s="6" t="s">
        <v>22</v>
      </c>
      <c r="AA9" s="6" t="s">
        <v>22</v>
      </c>
      <c r="AB9" s="6" t="s">
        <v>22</v>
      </c>
      <c r="AC9" s="29" t="s">
        <v>23</v>
      </c>
      <c r="AD9" s="29" t="s">
        <v>23</v>
      </c>
      <c r="AE9" s="111" t="s">
        <v>24</v>
      </c>
      <c r="AF9" s="111" t="s">
        <v>24</v>
      </c>
      <c r="AG9" s="119" t="s">
        <v>24</v>
      </c>
      <c r="AI9" s="227">
        <f>VLOOKUP(B9,'SEP25'!B:AJ,35,0)</f>
        <v>9</v>
      </c>
      <c r="AJ9" s="225">
        <f t="shared" si="0"/>
        <v>5</v>
      </c>
      <c r="AK9" s="230">
        <f t="shared" si="1"/>
        <v>4</v>
      </c>
    </row>
    <row r="10" spans="1:37" ht="18.75" customHeight="1">
      <c r="A10" s="602" t="s">
        <v>35</v>
      </c>
      <c r="B10" s="535" t="s">
        <v>36</v>
      </c>
      <c r="C10" s="29" t="s">
        <v>23</v>
      </c>
      <c r="D10" s="29" t="s">
        <v>23</v>
      </c>
      <c r="E10" s="111" t="s">
        <v>24</v>
      </c>
      <c r="F10" s="111" t="s">
        <v>24</v>
      </c>
      <c r="G10" s="111" t="s">
        <v>24</v>
      </c>
      <c r="H10" s="111" t="s">
        <v>24</v>
      </c>
      <c r="I10" s="29" t="s">
        <v>23</v>
      </c>
      <c r="J10" s="29" t="s">
        <v>23</v>
      </c>
      <c r="K10" s="157" t="s">
        <v>19</v>
      </c>
      <c r="L10" s="6" t="s">
        <v>22</v>
      </c>
      <c r="M10" s="6" t="s">
        <v>22</v>
      </c>
      <c r="N10" s="6" t="s">
        <v>22</v>
      </c>
      <c r="O10" s="29" t="s">
        <v>23</v>
      </c>
      <c r="P10" s="29" t="s">
        <v>23</v>
      </c>
      <c r="Q10" s="111" t="s">
        <v>24</v>
      </c>
      <c r="R10" s="111" t="s">
        <v>24</v>
      </c>
      <c r="S10" s="111" t="s">
        <v>24</v>
      </c>
      <c r="T10" s="111" t="s">
        <v>24</v>
      </c>
      <c r="U10" s="29" t="s">
        <v>23</v>
      </c>
      <c r="V10" s="29" t="s">
        <v>23</v>
      </c>
      <c r="W10" s="85" t="s">
        <v>103</v>
      </c>
      <c r="X10" s="92" t="s">
        <v>34</v>
      </c>
      <c r="Y10" s="92" t="s">
        <v>34</v>
      </c>
      <c r="Z10" s="6" t="s">
        <v>22</v>
      </c>
      <c r="AA10" s="29" t="s">
        <v>23</v>
      </c>
      <c r="AB10" s="29" t="s">
        <v>23</v>
      </c>
      <c r="AC10" s="111" t="s">
        <v>24</v>
      </c>
      <c r="AD10" s="111" t="s">
        <v>24</v>
      </c>
      <c r="AE10" s="111" t="s">
        <v>24</v>
      </c>
      <c r="AF10" s="111" t="s">
        <v>24</v>
      </c>
      <c r="AG10" s="78" t="s">
        <v>23</v>
      </c>
      <c r="AI10" s="227">
        <f>VLOOKUP(B10,'SEP25'!B:AJ,35,0)</f>
        <v>4</v>
      </c>
      <c r="AJ10" s="225">
        <f>COUNTIF(C10:AG10,"u")</f>
        <v>2</v>
      </c>
      <c r="AK10" s="230">
        <f>AI10-AJ10</f>
        <v>2</v>
      </c>
    </row>
    <row r="11" spans="1:37" ht="18.75" customHeight="1">
      <c r="A11" s="602" t="s">
        <v>37</v>
      </c>
      <c r="B11" s="535" t="s">
        <v>38</v>
      </c>
      <c r="C11" s="111" t="s">
        <v>24</v>
      </c>
      <c r="D11" s="111" t="s">
        <v>24</v>
      </c>
      <c r="E11" s="111" t="s">
        <v>24</v>
      </c>
      <c r="F11" s="1125" t="s">
        <v>23</v>
      </c>
      <c r="G11" s="29" t="s">
        <v>23</v>
      </c>
      <c r="H11" s="29" t="s">
        <v>23</v>
      </c>
      <c r="I11" s="6" t="s">
        <v>22</v>
      </c>
      <c r="J11" s="6" t="s">
        <v>22</v>
      </c>
      <c r="K11" s="6" t="s">
        <v>22</v>
      </c>
      <c r="L11" s="30" t="s">
        <v>53</v>
      </c>
      <c r="M11" s="29" t="s">
        <v>23</v>
      </c>
      <c r="N11" s="29" t="s">
        <v>23</v>
      </c>
      <c r="O11" s="92" t="s">
        <v>34</v>
      </c>
      <c r="P11" s="92" t="s">
        <v>34</v>
      </c>
      <c r="Q11" s="92" t="s">
        <v>34</v>
      </c>
      <c r="R11" s="92" t="s">
        <v>34</v>
      </c>
      <c r="S11" s="29" t="s">
        <v>23</v>
      </c>
      <c r="T11" s="29" t="s">
        <v>23</v>
      </c>
      <c r="U11" s="92" t="s">
        <v>34</v>
      </c>
      <c r="V11" s="92" t="s">
        <v>34</v>
      </c>
      <c r="W11" s="92" t="s">
        <v>34</v>
      </c>
      <c r="X11" s="92" t="s">
        <v>34</v>
      </c>
      <c r="Y11" s="29" t="s">
        <v>23</v>
      </c>
      <c r="Z11" s="29" t="s">
        <v>23</v>
      </c>
      <c r="AA11" s="92" t="s">
        <v>34</v>
      </c>
      <c r="AB11" s="92" t="s">
        <v>34</v>
      </c>
      <c r="AC11" s="111" t="s">
        <v>24</v>
      </c>
      <c r="AD11" s="111" t="s">
        <v>24</v>
      </c>
      <c r="AE11" s="29" t="s">
        <v>23</v>
      </c>
      <c r="AF11" s="29" t="s">
        <v>23</v>
      </c>
      <c r="AG11" s="9" t="s">
        <v>22</v>
      </c>
      <c r="AI11" s="227">
        <f>VLOOKUP(B11,'SEP25'!B:AJ,35,0)</f>
        <v>14</v>
      </c>
      <c r="AJ11" s="225">
        <f>COUNTIF(C11:AG11,"u")</f>
        <v>10</v>
      </c>
      <c r="AK11" s="230">
        <f>AI11-AJ11</f>
        <v>4</v>
      </c>
    </row>
    <row r="12" spans="1:37" ht="19.5" customHeight="1" thickBot="1">
      <c r="A12" s="680" t="s">
        <v>43</v>
      </c>
      <c r="B12" s="550" t="s">
        <v>44</v>
      </c>
      <c r="C12" s="116" t="s">
        <v>24</v>
      </c>
      <c r="D12" s="116" t="s">
        <v>24</v>
      </c>
      <c r="E12" s="83" t="s">
        <v>23</v>
      </c>
      <c r="F12" s="83" t="s">
        <v>23</v>
      </c>
      <c r="G12" s="15" t="s">
        <v>22</v>
      </c>
      <c r="H12" s="15" t="s">
        <v>22</v>
      </c>
      <c r="I12" s="15" t="s">
        <v>22</v>
      </c>
      <c r="J12" s="610" t="s">
        <v>19</v>
      </c>
      <c r="K12" s="83" t="s">
        <v>23</v>
      </c>
      <c r="L12" s="83" t="s">
        <v>23</v>
      </c>
      <c r="M12" s="116" t="s">
        <v>24</v>
      </c>
      <c r="N12" s="116" t="s">
        <v>24</v>
      </c>
      <c r="O12" s="116" t="s">
        <v>24</v>
      </c>
      <c r="P12" s="116" t="s">
        <v>24</v>
      </c>
      <c r="Q12" s="83" t="s">
        <v>23</v>
      </c>
      <c r="R12" s="83" t="s">
        <v>23</v>
      </c>
      <c r="S12" s="1077" t="s">
        <v>22</v>
      </c>
      <c r="T12" s="1077" t="s">
        <v>22</v>
      </c>
      <c r="U12" s="15" t="s">
        <v>22</v>
      </c>
      <c r="V12" s="15" t="s">
        <v>22</v>
      </c>
      <c r="W12" s="1132" t="s">
        <v>144</v>
      </c>
      <c r="X12" s="83" t="s">
        <v>23</v>
      </c>
      <c r="Y12" s="116" t="s">
        <v>24</v>
      </c>
      <c r="Z12" s="116" t="s">
        <v>24</v>
      </c>
      <c r="AA12" s="116" t="s">
        <v>24</v>
      </c>
      <c r="AB12" s="116" t="s">
        <v>24</v>
      </c>
      <c r="AC12" s="83" t="s">
        <v>23</v>
      </c>
      <c r="AD12" s="83" t="s">
        <v>23</v>
      </c>
      <c r="AE12" s="15" t="s">
        <v>22</v>
      </c>
      <c r="AF12" s="15" t="s">
        <v>22</v>
      </c>
      <c r="AG12" s="1131" t="s">
        <v>23</v>
      </c>
      <c r="AI12" s="241">
        <f>VLOOKUP(B12,'SEP25'!B:AJ,35,0)</f>
        <v>4</v>
      </c>
      <c r="AJ12" s="283">
        <f>COUNTIF(C12:AG12,"u")</f>
        <v>0</v>
      </c>
      <c r="AK12" s="288">
        <f>AI12-AJ12</f>
        <v>4</v>
      </c>
    </row>
    <row r="13" spans="1:37" ht="20.100000000000001" customHeight="1" thickBot="1">
      <c r="A13" s="242"/>
      <c r="B13" s="242"/>
      <c r="C13" s="244"/>
      <c r="D13" s="244"/>
      <c r="E13" s="243"/>
      <c r="F13" s="243"/>
      <c r="G13" s="245"/>
      <c r="H13" s="245"/>
      <c r="I13" s="245"/>
      <c r="J13" s="245"/>
      <c r="K13" s="243"/>
      <c r="L13" s="243"/>
      <c r="M13" s="244"/>
      <c r="N13" s="244"/>
      <c r="O13" s="244"/>
      <c r="P13" s="244"/>
      <c r="Q13" s="243"/>
      <c r="R13" s="243"/>
      <c r="S13" s="245"/>
      <c r="T13" s="245"/>
      <c r="U13" s="245"/>
      <c r="V13" s="245"/>
      <c r="W13" s="243"/>
      <c r="X13" s="243"/>
      <c r="Y13" s="244"/>
      <c r="Z13" s="244"/>
      <c r="AA13" s="244"/>
      <c r="AB13" s="244"/>
      <c r="AC13" s="243"/>
      <c r="AD13" s="243"/>
      <c r="AE13" s="245"/>
      <c r="AF13" s="245"/>
      <c r="AG13" s="245"/>
      <c r="AI13" s="247"/>
      <c r="AJ13" s="247"/>
      <c r="AK13" s="247"/>
    </row>
    <row r="14" spans="1:37" ht="24.95" customHeight="1">
      <c r="A14" s="599" t="s">
        <v>196</v>
      </c>
      <c r="B14" s="600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650"/>
      <c r="AE14" s="650"/>
      <c r="AF14" s="878"/>
      <c r="AG14" s="651"/>
      <c r="AI14" s="247"/>
      <c r="AJ14" s="247"/>
      <c r="AK14" s="247"/>
    </row>
    <row r="15" spans="1:37" ht="18.75" customHeight="1">
      <c r="A15" s="602" t="s">
        <v>192</v>
      </c>
      <c r="B15" s="896" t="s">
        <v>193</v>
      </c>
      <c r="C15" s="1182" t="s">
        <v>165</v>
      </c>
      <c r="D15" s="1183" t="s">
        <v>165</v>
      </c>
      <c r="E15" s="1183" t="s">
        <v>165</v>
      </c>
      <c r="F15" s="1025" t="s">
        <v>23</v>
      </c>
      <c r="G15" s="1025" t="s">
        <v>23</v>
      </c>
      <c r="H15" s="1183" t="s">
        <v>165</v>
      </c>
      <c r="I15" s="1183" t="s">
        <v>165</v>
      </c>
      <c r="J15" s="1183" t="s">
        <v>165</v>
      </c>
      <c r="K15" s="1183" t="s">
        <v>165</v>
      </c>
      <c r="L15" s="1183" t="s">
        <v>165</v>
      </c>
      <c r="M15" s="1025" t="s">
        <v>23</v>
      </c>
      <c r="N15" s="1025" t="s">
        <v>23</v>
      </c>
      <c r="O15" s="1183" t="s">
        <v>165</v>
      </c>
      <c r="P15" s="1183" t="s">
        <v>165</v>
      </c>
      <c r="Q15" s="1183" t="s">
        <v>165</v>
      </c>
      <c r="R15" s="1183" t="s">
        <v>165</v>
      </c>
      <c r="S15" s="1183" t="s">
        <v>165</v>
      </c>
      <c r="T15" s="1025" t="s">
        <v>23</v>
      </c>
      <c r="U15" s="1025" t="s">
        <v>23</v>
      </c>
      <c r="V15" s="1183" t="s">
        <v>165</v>
      </c>
      <c r="W15" s="1183" t="s">
        <v>165</v>
      </c>
      <c r="X15" s="1183" t="s">
        <v>165</v>
      </c>
      <c r="Y15" s="1183" t="s">
        <v>165</v>
      </c>
      <c r="Z15" s="1183" t="s">
        <v>165</v>
      </c>
      <c r="AA15" s="1025" t="s">
        <v>23</v>
      </c>
      <c r="AB15" s="1025" t="s">
        <v>23</v>
      </c>
      <c r="AC15" s="1183" t="s">
        <v>165</v>
      </c>
      <c r="AD15" s="1183" t="s">
        <v>165</v>
      </c>
      <c r="AE15" s="1183" t="s">
        <v>165</v>
      </c>
      <c r="AF15" s="1183" t="s">
        <v>165</v>
      </c>
      <c r="AG15" s="1184" t="s">
        <v>165</v>
      </c>
      <c r="AH15" s="48"/>
      <c r="AI15" s="220">
        <f>VLOOKUP(B15,'SEP25'!B:AJ,35,0)</f>
        <v>-11</v>
      </c>
      <c r="AJ15" s="218">
        <f>COUNTIF(C15:AG15:AG22,"u")</f>
        <v>3</v>
      </c>
      <c r="AK15" s="221">
        <f t="shared" ref="AK15:AK22" si="2">AI15-AJ15</f>
        <v>-14</v>
      </c>
    </row>
    <row r="16" spans="1:37" ht="18.75" customHeight="1">
      <c r="A16" s="602" t="s">
        <v>51</v>
      </c>
      <c r="B16" s="1191" t="s">
        <v>52</v>
      </c>
      <c r="C16" s="1185" t="s">
        <v>144</v>
      </c>
      <c r="D16" s="367" t="s">
        <v>144</v>
      </c>
      <c r="E16" s="367" t="s">
        <v>144</v>
      </c>
      <c r="F16" s="29" t="s">
        <v>23</v>
      </c>
      <c r="G16" s="29" t="s">
        <v>23</v>
      </c>
      <c r="H16" s="367" t="s">
        <v>144</v>
      </c>
      <c r="I16" s="367" t="s">
        <v>144</v>
      </c>
      <c r="J16" s="367" t="s">
        <v>144</v>
      </c>
      <c r="K16" s="367" t="s">
        <v>144</v>
      </c>
      <c r="L16" s="367" t="s">
        <v>144</v>
      </c>
      <c r="M16" s="29" t="s">
        <v>23</v>
      </c>
      <c r="N16" s="29" t="s">
        <v>23</v>
      </c>
      <c r="O16" s="367" t="s">
        <v>144</v>
      </c>
      <c r="P16" s="367" t="s">
        <v>181</v>
      </c>
      <c r="Q16" s="232" t="s">
        <v>22</v>
      </c>
      <c r="R16" s="367" t="s">
        <v>144</v>
      </c>
      <c r="S16" s="1183" t="s">
        <v>165</v>
      </c>
      <c r="T16" s="29" t="s">
        <v>23</v>
      </c>
      <c r="U16" s="29" t="s">
        <v>23</v>
      </c>
      <c r="V16" s="232" t="s">
        <v>22</v>
      </c>
      <c r="W16" s="232" t="s">
        <v>22</v>
      </c>
      <c r="X16" s="232" t="s">
        <v>22</v>
      </c>
      <c r="Y16" s="232" t="s">
        <v>22</v>
      </c>
      <c r="Z16" s="367" t="s">
        <v>100</v>
      </c>
      <c r="AA16" s="29" t="s">
        <v>23</v>
      </c>
      <c r="AB16" s="29" t="s">
        <v>23</v>
      </c>
      <c r="AC16" s="367" t="s">
        <v>144</v>
      </c>
      <c r="AD16" s="367" t="s">
        <v>144</v>
      </c>
      <c r="AE16" s="367" t="s">
        <v>144</v>
      </c>
      <c r="AF16" s="367" t="s">
        <v>144</v>
      </c>
      <c r="AG16" s="1186" t="s">
        <v>144</v>
      </c>
      <c r="AH16" s="48"/>
      <c r="AI16" s="227">
        <f>VLOOKUP(B16,'SEP25'!B:AJ,35,0)</f>
        <v>3</v>
      </c>
      <c r="AJ16" s="225">
        <f t="shared" ref="AJ16:AJ22" si="3">COUNTIF(C16:AG16,"U")</f>
        <v>0</v>
      </c>
      <c r="AK16" s="230">
        <f t="shared" si="2"/>
        <v>3</v>
      </c>
    </row>
    <row r="17" spans="1:37" ht="18.75" customHeight="1">
      <c r="A17" s="602" t="s">
        <v>54</v>
      </c>
      <c r="B17" s="1191" t="s">
        <v>55</v>
      </c>
      <c r="C17" s="1042" t="s">
        <v>108</v>
      </c>
      <c r="D17" s="108" t="s">
        <v>108</v>
      </c>
      <c r="E17" s="108" t="s">
        <v>108</v>
      </c>
      <c r="F17" s="108" t="s">
        <v>108</v>
      </c>
      <c r="G17" s="108" t="s">
        <v>108</v>
      </c>
      <c r="H17" s="108" t="s">
        <v>108</v>
      </c>
      <c r="I17" s="108" t="s">
        <v>108</v>
      </c>
      <c r="J17" s="108" t="s">
        <v>108</v>
      </c>
      <c r="K17" s="108" t="s">
        <v>108</v>
      </c>
      <c r="L17" s="108" t="s">
        <v>108</v>
      </c>
      <c r="M17" s="108" t="s">
        <v>108</v>
      </c>
      <c r="N17" s="108" t="s">
        <v>108</v>
      </c>
      <c r="O17" s="108" t="s">
        <v>108</v>
      </c>
      <c r="P17" s="108" t="s">
        <v>108</v>
      </c>
      <c r="Q17" s="108" t="s">
        <v>108</v>
      </c>
      <c r="R17" s="108" t="s">
        <v>108</v>
      </c>
      <c r="S17" s="108" t="s">
        <v>108</v>
      </c>
      <c r="T17" s="108" t="s">
        <v>108</v>
      </c>
      <c r="U17" s="108" t="s">
        <v>108</v>
      </c>
      <c r="V17" s="108" t="s">
        <v>108</v>
      </c>
      <c r="W17" s="108" t="s">
        <v>108</v>
      </c>
      <c r="X17" s="108" t="s">
        <v>108</v>
      </c>
      <c r="Y17" s="108" t="s">
        <v>108</v>
      </c>
      <c r="Z17" s="108" t="s">
        <v>108</v>
      </c>
      <c r="AA17" s="108" t="s">
        <v>108</v>
      </c>
      <c r="AB17" s="108" t="s">
        <v>108</v>
      </c>
      <c r="AC17" s="108" t="s">
        <v>108</v>
      </c>
      <c r="AD17" s="108" t="s">
        <v>108</v>
      </c>
      <c r="AE17" s="108" t="s">
        <v>108</v>
      </c>
      <c r="AF17" s="108" t="s">
        <v>108</v>
      </c>
      <c r="AG17" s="1043" t="s">
        <v>108</v>
      </c>
      <c r="AH17" s="48"/>
      <c r="AI17" s="227">
        <f>VLOOKUP(B17,'SEP25'!B:AJ,35,0)</f>
        <v>7</v>
      </c>
      <c r="AJ17" s="225">
        <f t="shared" si="3"/>
        <v>0</v>
      </c>
      <c r="AK17" s="230">
        <f t="shared" si="2"/>
        <v>7</v>
      </c>
    </row>
    <row r="18" spans="1:37" ht="18.75" customHeight="1">
      <c r="A18" s="602" t="s">
        <v>157</v>
      </c>
      <c r="B18" s="1191" t="s">
        <v>158</v>
      </c>
      <c r="C18" s="1091" t="s">
        <v>22</v>
      </c>
      <c r="D18" s="232" t="s">
        <v>22</v>
      </c>
      <c r="E18" s="232" t="s">
        <v>22</v>
      </c>
      <c r="F18" s="400" t="s">
        <v>23</v>
      </c>
      <c r="G18" s="400" t="s">
        <v>23</v>
      </c>
      <c r="H18" s="28" t="s">
        <v>24</v>
      </c>
      <c r="I18" s="28" t="s">
        <v>24</v>
      </c>
      <c r="J18" s="28" t="s">
        <v>24</v>
      </c>
      <c r="K18" s="28" t="s">
        <v>24</v>
      </c>
      <c r="L18" s="400" t="s">
        <v>23</v>
      </c>
      <c r="M18" s="400" t="s">
        <v>23</v>
      </c>
      <c r="N18" s="232" t="s">
        <v>22</v>
      </c>
      <c r="O18" s="232" t="s">
        <v>22</v>
      </c>
      <c r="P18" s="232" t="s">
        <v>22</v>
      </c>
      <c r="Q18" s="28" t="s">
        <v>24</v>
      </c>
      <c r="R18" s="400" t="s">
        <v>23</v>
      </c>
      <c r="S18" s="400" t="s">
        <v>23</v>
      </c>
      <c r="T18" s="28" t="s">
        <v>24</v>
      </c>
      <c r="U18" s="28" t="s">
        <v>24</v>
      </c>
      <c r="V18" s="28" t="s">
        <v>24</v>
      </c>
      <c r="W18" s="28" t="s">
        <v>24</v>
      </c>
      <c r="X18" s="400" t="s">
        <v>23</v>
      </c>
      <c r="Y18" s="400" t="s">
        <v>23</v>
      </c>
      <c r="Z18" s="232" t="s">
        <v>22</v>
      </c>
      <c r="AA18" s="232" t="s">
        <v>22</v>
      </c>
      <c r="AB18" s="232" t="s">
        <v>22</v>
      </c>
      <c r="AC18" s="232" t="s">
        <v>22</v>
      </c>
      <c r="AD18" s="400" t="s">
        <v>23</v>
      </c>
      <c r="AE18" s="400" t="s">
        <v>23</v>
      </c>
      <c r="AF18" s="28" t="s">
        <v>24</v>
      </c>
      <c r="AG18" s="1036" t="s">
        <v>24</v>
      </c>
      <c r="AH18" s="48"/>
      <c r="AI18" s="227">
        <f>VLOOKUP(B18,'SEP25'!B:AJ,35,0)</f>
        <v>11</v>
      </c>
      <c r="AJ18" s="225">
        <f t="shared" si="3"/>
        <v>0</v>
      </c>
      <c r="AK18" s="230">
        <f t="shared" si="2"/>
        <v>11</v>
      </c>
    </row>
    <row r="19" spans="1:37" ht="18.75" customHeight="1">
      <c r="A19" s="602" t="s">
        <v>166</v>
      </c>
      <c r="B19" s="1191" t="s">
        <v>167</v>
      </c>
      <c r="C19" s="1187" t="s">
        <v>23</v>
      </c>
      <c r="D19" s="28" t="s">
        <v>24</v>
      </c>
      <c r="E19" s="28" t="s">
        <v>24</v>
      </c>
      <c r="F19" s="28" t="s">
        <v>24</v>
      </c>
      <c r="G19" s="28" t="s">
        <v>24</v>
      </c>
      <c r="H19" s="400" t="s">
        <v>23</v>
      </c>
      <c r="I19" s="400" t="s">
        <v>23</v>
      </c>
      <c r="J19" s="232" t="s">
        <v>22</v>
      </c>
      <c r="K19" s="232" t="s">
        <v>22</v>
      </c>
      <c r="L19" s="232" t="s">
        <v>22</v>
      </c>
      <c r="M19" s="232" t="s">
        <v>22</v>
      </c>
      <c r="N19" s="400" t="s">
        <v>23</v>
      </c>
      <c r="O19" s="400" t="s">
        <v>23</v>
      </c>
      <c r="P19" s="660" t="s">
        <v>23</v>
      </c>
      <c r="Q19" s="92" t="s">
        <v>34</v>
      </c>
      <c r="R19" s="232" t="s">
        <v>22</v>
      </c>
      <c r="S19" s="232" t="s">
        <v>22</v>
      </c>
      <c r="T19" s="232" t="s">
        <v>22</v>
      </c>
      <c r="U19" s="232" t="s">
        <v>22</v>
      </c>
      <c r="V19" s="400" t="s">
        <v>23</v>
      </c>
      <c r="W19" s="400" t="s">
        <v>23</v>
      </c>
      <c r="X19" s="28" t="s">
        <v>24</v>
      </c>
      <c r="Y19" s="28" t="s">
        <v>24</v>
      </c>
      <c r="Z19" s="28" t="s">
        <v>24</v>
      </c>
      <c r="AA19" s="28" t="s">
        <v>24</v>
      </c>
      <c r="AB19" s="400" t="s">
        <v>23</v>
      </c>
      <c r="AC19" s="400" t="s">
        <v>23</v>
      </c>
      <c r="AD19" s="232" t="s">
        <v>22</v>
      </c>
      <c r="AE19" s="232" t="s">
        <v>22</v>
      </c>
      <c r="AF19" s="232" t="s">
        <v>22</v>
      </c>
      <c r="AG19" s="1097" t="s">
        <v>22</v>
      </c>
      <c r="AH19" s="48"/>
      <c r="AI19" s="227">
        <f>VLOOKUP(B19,'SEP25'!B:AJ,35,0)</f>
        <v>5</v>
      </c>
      <c r="AJ19" s="225">
        <f t="shared" si="3"/>
        <v>1</v>
      </c>
      <c r="AK19" s="230">
        <f t="shared" si="2"/>
        <v>4</v>
      </c>
    </row>
    <row r="20" spans="1:37" ht="18.75" customHeight="1">
      <c r="A20" s="602" t="s">
        <v>155</v>
      </c>
      <c r="B20" s="1191" t="s">
        <v>156</v>
      </c>
      <c r="C20" s="1037" t="s">
        <v>24</v>
      </c>
      <c r="D20" s="400" t="s">
        <v>23</v>
      </c>
      <c r="E20" s="400" t="s">
        <v>23</v>
      </c>
      <c r="F20" s="232" t="s">
        <v>22</v>
      </c>
      <c r="G20" s="232" t="s">
        <v>22</v>
      </c>
      <c r="H20" s="232" t="s">
        <v>22</v>
      </c>
      <c r="I20" s="332" t="s">
        <v>68</v>
      </c>
      <c r="J20" s="400" t="s">
        <v>23</v>
      </c>
      <c r="K20" s="400" t="s">
        <v>23</v>
      </c>
      <c r="L20" s="28" t="s">
        <v>24</v>
      </c>
      <c r="M20" s="28" t="s">
        <v>24</v>
      </c>
      <c r="N20" s="28" t="s">
        <v>24</v>
      </c>
      <c r="O20" s="28" t="s">
        <v>24</v>
      </c>
      <c r="P20" s="400" t="s">
        <v>23</v>
      </c>
      <c r="Q20" s="400" t="s">
        <v>23</v>
      </c>
      <c r="R20" s="332" t="s">
        <v>19</v>
      </c>
      <c r="S20" s="332" t="s">
        <v>19</v>
      </c>
      <c r="T20" s="332" t="s">
        <v>19</v>
      </c>
      <c r="U20" s="332" t="s">
        <v>19</v>
      </c>
      <c r="V20" s="332" t="s">
        <v>19</v>
      </c>
      <c r="W20" s="332" t="s">
        <v>19</v>
      </c>
      <c r="X20" s="332" t="s">
        <v>19</v>
      </c>
      <c r="Y20" s="28" t="s">
        <v>24</v>
      </c>
      <c r="Z20" s="28" t="s">
        <v>24</v>
      </c>
      <c r="AA20" s="28" t="s">
        <v>24</v>
      </c>
      <c r="AB20" s="400" t="s">
        <v>23</v>
      </c>
      <c r="AC20" s="400" t="s">
        <v>23</v>
      </c>
      <c r="AD20" s="232" t="s">
        <v>22</v>
      </c>
      <c r="AE20" s="232" t="s">
        <v>22</v>
      </c>
      <c r="AF20" s="232" t="s">
        <v>22</v>
      </c>
      <c r="AG20" s="1097" t="s">
        <v>22</v>
      </c>
      <c r="AH20" s="48"/>
      <c r="AI20" s="227">
        <v>4</v>
      </c>
      <c r="AJ20" s="225">
        <f t="shared" si="3"/>
        <v>0</v>
      </c>
      <c r="AK20" s="230">
        <f t="shared" si="2"/>
        <v>4</v>
      </c>
    </row>
    <row r="21" spans="1:37" ht="18.75" customHeight="1">
      <c r="A21" s="602" t="s">
        <v>159</v>
      </c>
      <c r="B21" s="1191" t="s">
        <v>160</v>
      </c>
      <c r="C21" s="1187" t="s">
        <v>23</v>
      </c>
      <c r="D21" s="28" t="s">
        <v>24</v>
      </c>
      <c r="E21" s="267" t="s">
        <v>34</v>
      </c>
      <c r="F21" s="879" t="s">
        <v>34</v>
      </c>
      <c r="G21" s="909" t="s">
        <v>30</v>
      </c>
      <c r="H21" s="400" t="s">
        <v>23</v>
      </c>
      <c r="I21" s="400" t="s">
        <v>23</v>
      </c>
      <c r="J21" s="232" t="s">
        <v>22</v>
      </c>
      <c r="K21" s="232" t="s">
        <v>22</v>
      </c>
      <c r="L21" s="232" t="s">
        <v>22</v>
      </c>
      <c r="M21" s="232" t="s">
        <v>22</v>
      </c>
      <c r="N21" s="400" t="s">
        <v>23</v>
      </c>
      <c r="O21" s="400" t="s">
        <v>23</v>
      </c>
      <c r="P21" s="28" t="s">
        <v>24</v>
      </c>
      <c r="Q21" s="28" t="s">
        <v>24</v>
      </c>
      <c r="R21" s="28" t="s">
        <v>24</v>
      </c>
      <c r="S21" s="28" t="s">
        <v>24</v>
      </c>
      <c r="T21" s="400" t="s">
        <v>23</v>
      </c>
      <c r="U21" s="400" t="s">
        <v>23</v>
      </c>
      <c r="V21" s="232" t="s">
        <v>22</v>
      </c>
      <c r="W21" s="232" t="s">
        <v>22</v>
      </c>
      <c r="X21" s="232" t="s">
        <v>22</v>
      </c>
      <c r="Y21" s="232" t="s">
        <v>22</v>
      </c>
      <c r="Z21" s="400" t="s">
        <v>23</v>
      </c>
      <c r="AA21" s="400" t="s">
        <v>23</v>
      </c>
      <c r="AB21" s="28" t="s">
        <v>24</v>
      </c>
      <c r="AC21" s="28" t="s">
        <v>24</v>
      </c>
      <c r="AD21" s="28" t="s">
        <v>24</v>
      </c>
      <c r="AE21" s="28" t="s">
        <v>24</v>
      </c>
      <c r="AF21" s="400" t="s">
        <v>23</v>
      </c>
      <c r="AG21" s="1188" t="s">
        <v>23</v>
      </c>
      <c r="AH21" s="48"/>
      <c r="AI21" s="227">
        <v>5</v>
      </c>
      <c r="AJ21" s="225">
        <f t="shared" si="3"/>
        <v>2</v>
      </c>
      <c r="AK21" s="230">
        <f t="shared" si="2"/>
        <v>3</v>
      </c>
    </row>
    <row r="22" spans="1:37" ht="19.5" customHeight="1">
      <c r="A22" s="921" t="s">
        <v>46</v>
      </c>
      <c r="B22" s="1192" t="s">
        <v>47</v>
      </c>
      <c r="C22" s="1189" t="s">
        <v>186</v>
      </c>
      <c r="D22" s="1162" t="s">
        <v>186</v>
      </c>
      <c r="E22" s="1162" t="s">
        <v>186</v>
      </c>
      <c r="F22" s="1162" t="s">
        <v>186</v>
      </c>
      <c r="G22" s="1162" t="s">
        <v>186</v>
      </c>
      <c r="H22" s="1162" t="s">
        <v>186</v>
      </c>
      <c r="I22" s="1162" t="s">
        <v>186</v>
      </c>
      <c r="J22" s="1162" t="s">
        <v>186</v>
      </c>
      <c r="K22" s="1162" t="s">
        <v>186</v>
      </c>
      <c r="L22" s="1162" t="s">
        <v>186</v>
      </c>
      <c r="M22" s="1162" t="s">
        <v>186</v>
      </c>
      <c r="N22" s="1162" t="s">
        <v>186</v>
      </c>
      <c r="O22" s="1162" t="s">
        <v>186</v>
      </c>
      <c r="P22" s="1162" t="s">
        <v>186</v>
      </c>
      <c r="Q22" s="1162" t="s">
        <v>186</v>
      </c>
      <c r="R22" s="1162" t="s">
        <v>186</v>
      </c>
      <c r="S22" s="1162" t="s">
        <v>186</v>
      </c>
      <c r="T22" s="1162" t="s">
        <v>186</v>
      </c>
      <c r="U22" s="1162" t="s">
        <v>186</v>
      </c>
      <c r="V22" s="1162" t="s">
        <v>186</v>
      </c>
      <c r="W22" s="1162" t="s">
        <v>186</v>
      </c>
      <c r="X22" s="1162" t="s">
        <v>186</v>
      </c>
      <c r="Y22" s="1162" t="s">
        <v>186</v>
      </c>
      <c r="Z22" s="1162" t="s">
        <v>186</v>
      </c>
      <c r="AA22" s="1162" t="s">
        <v>186</v>
      </c>
      <c r="AB22" s="1162" t="s">
        <v>186</v>
      </c>
      <c r="AC22" s="1162" t="s">
        <v>186</v>
      </c>
      <c r="AD22" s="1162" t="s">
        <v>186</v>
      </c>
      <c r="AE22" s="1162" t="s">
        <v>186</v>
      </c>
      <c r="AF22" s="1162" t="s">
        <v>186</v>
      </c>
      <c r="AG22" s="1190" t="s">
        <v>186</v>
      </c>
      <c r="AH22" s="48"/>
      <c r="AI22" s="241">
        <f>VLOOKUP(B22,'SEP25'!B:AJ,35,0)</f>
        <v>15</v>
      </c>
      <c r="AJ22" s="283">
        <f t="shared" si="3"/>
        <v>0</v>
      </c>
      <c r="AK22" s="288">
        <f t="shared" si="2"/>
        <v>15</v>
      </c>
    </row>
    <row r="23" spans="1:37" ht="20.100000000000001" customHeight="1">
      <c r="A23" s="242"/>
      <c r="B23" s="242"/>
      <c r="C23" s="262"/>
      <c r="D23" s="262"/>
      <c r="E23" s="262"/>
      <c r="F23" s="243"/>
      <c r="G23" s="243"/>
      <c r="H23" s="262"/>
      <c r="I23" s="245"/>
      <c r="J23" s="245"/>
      <c r="K23" s="245"/>
      <c r="L23" s="243"/>
      <c r="M23" s="243"/>
      <c r="N23" s="244"/>
      <c r="O23" s="244"/>
      <c r="P23" s="244"/>
      <c r="Q23" s="244"/>
      <c r="R23" s="243"/>
      <c r="S23" s="243"/>
      <c r="T23" s="245"/>
      <c r="U23" s="245"/>
      <c r="V23" s="245"/>
      <c r="W23" s="245"/>
      <c r="X23" s="243"/>
      <c r="Y23" s="243"/>
      <c r="Z23" s="244"/>
      <c r="AA23" s="244"/>
      <c r="AB23" s="244"/>
      <c r="AC23" s="244"/>
      <c r="AE23" s="246"/>
      <c r="AF23" s="258"/>
      <c r="AG23" s="248"/>
      <c r="AH23" s="48"/>
      <c r="AI23" s="247"/>
      <c r="AJ23" s="247"/>
      <c r="AK23" s="247"/>
    </row>
    <row r="24" spans="1:37" ht="24.95" customHeight="1" thickBot="1">
      <c r="A24" s="599" t="s">
        <v>60</v>
      </c>
      <c r="B24" s="600"/>
      <c r="C24" s="600"/>
      <c r="D24" s="600"/>
      <c r="E24" s="600"/>
      <c r="F24" s="600"/>
      <c r="G24" s="600"/>
      <c r="H24" s="600"/>
      <c r="I24" s="600"/>
      <c r="J24" s="600"/>
      <c r="K24" s="600"/>
      <c r="L24" s="600"/>
      <c r="M24" s="600"/>
      <c r="N24" s="600"/>
      <c r="O24" s="600"/>
      <c r="P24" s="600"/>
      <c r="Q24" s="600"/>
      <c r="R24" s="600"/>
      <c r="S24" s="600"/>
      <c r="T24" s="600"/>
      <c r="U24" s="600"/>
      <c r="V24" s="600"/>
      <c r="W24" s="600"/>
      <c r="X24" s="600"/>
      <c r="Y24" s="600"/>
      <c r="Z24" s="600"/>
      <c r="AA24" s="600"/>
      <c r="AB24" s="600"/>
      <c r="AC24" s="600"/>
      <c r="AD24" s="639"/>
      <c r="AE24" s="639"/>
      <c r="AF24" s="761"/>
      <c r="AG24" s="640"/>
      <c r="AH24" s="48"/>
      <c r="AI24" s="247"/>
      <c r="AJ24" s="247"/>
      <c r="AK24" s="247"/>
    </row>
    <row r="25" spans="1:37" ht="18.75" customHeight="1">
      <c r="A25" s="602" t="s">
        <v>64</v>
      </c>
      <c r="B25" s="535" t="s">
        <v>65</v>
      </c>
      <c r="C25" s="92" t="s">
        <v>34</v>
      </c>
      <c r="D25" s="92" t="s">
        <v>34</v>
      </c>
      <c r="E25" s="92" t="s">
        <v>34</v>
      </c>
      <c r="F25" s="92" t="s">
        <v>34</v>
      </c>
      <c r="G25" s="29" t="s">
        <v>23</v>
      </c>
      <c r="H25" s="29" t="s">
        <v>23</v>
      </c>
      <c r="I25" s="92" t="s">
        <v>34</v>
      </c>
      <c r="J25" s="92" t="s">
        <v>34</v>
      </c>
      <c r="K25" s="92" t="s">
        <v>34</v>
      </c>
      <c r="L25" s="92" t="s">
        <v>34</v>
      </c>
      <c r="M25" s="29" t="s">
        <v>23</v>
      </c>
      <c r="N25" s="29" t="s">
        <v>23</v>
      </c>
      <c r="O25" s="92" t="s">
        <v>34</v>
      </c>
      <c r="P25" s="92" t="s">
        <v>34</v>
      </c>
      <c r="Q25" s="92" t="s">
        <v>34</v>
      </c>
      <c r="R25" s="92" t="s">
        <v>34</v>
      </c>
      <c r="S25" s="29" t="s">
        <v>23</v>
      </c>
      <c r="T25" s="29" t="s">
        <v>23</v>
      </c>
      <c r="U25" s="28" t="s">
        <v>24</v>
      </c>
      <c r="V25" s="28" t="s">
        <v>24</v>
      </c>
      <c r="W25" s="28" t="s">
        <v>24</v>
      </c>
      <c r="X25" s="28" t="s">
        <v>24</v>
      </c>
      <c r="Y25" s="29" t="s">
        <v>23</v>
      </c>
      <c r="Z25" s="29" t="s">
        <v>23</v>
      </c>
      <c r="AA25" s="6" t="s">
        <v>22</v>
      </c>
      <c r="AB25" s="6" t="s">
        <v>22</v>
      </c>
      <c r="AC25" s="6" t="s">
        <v>22</v>
      </c>
      <c r="AD25" s="6" t="s">
        <v>22</v>
      </c>
      <c r="AE25" s="29" t="s">
        <v>23</v>
      </c>
      <c r="AF25" s="29" t="s">
        <v>23</v>
      </c>
      <c r="AG25" s="86" t="s">
        <v>63</v>
      </c>
      <c r="AI25" s="220">
        <f>VLOOKUP(B25,'SEP25'!B:AJ,35,0)</f>
        <v>14</v>
      </c>
      <c r="AJ25" s="218">
        <f t="shared" ref="AJ25:AJ36" si="4">COUNTIF(C25:AG25,"u")</f>
        <v>12</v>
      </c>
      <c r="AK25" s="221">
        <f t="shared" ref="AK25:AK36" si="5">AI25-AJ25</f>
        <v>2</v>
      </c>
    </row>
    <row r="26" spans="1:37" ht="18.75" customHeight="1">
      <c r="A26" s="602" t="s">
        <v>66</v>
      </c>
      <c r="B26" s="535" t="s">
        <v>67</v>
      </c>
      <c r="C26" s="6" t="s">
        <v>22</v>
      </c>
      <c r="D26" s="29" t="s">
        <v>23</v>
      </c>
      <c r="E26" s="29" t="s">
        <v>23</v>
      </c>
      <c r="F26" s="85" t="s">
        <v>63</v>
      </c>
      <c r="G26" s="85" t="s">
        <v>63</v>
      </c>
      <c r="H26" s="85" t="s">
        <v>63</v>
      </c>
      <c r="I26" s="85" t="s">
        <v>63</v>
      </c>
      <c r="J26" s="85" t="s">
        <v>63</v>
      </c>
      <c r="K26" s="29" t="s">
        <v>23</v>
      </c>
      <c r="L26" s="29" t="s">
        <v>23</v>
      </c>
      <c r="M26" s="28" t="s">
        <v>24</v>
      </c>
      <c r="N26" s="28" t="s">
        <v>24</v>
      </c>
      <c r="O26" s="28" t="s">
        <v>24</v>
      </c>
      <c r="P26" s="28" t="s">
        <v>24</v>
      </c>
      <c r="Q26" s="29" t="s">
        <v>23</v>
      </c>
      <c r="R26" s="29" t="s">
        <v>23</v>
      </c>
      <c r="S26" s="6" t="s">
        <v>22</v>
      </c>
      <c r="T26" s="6" t="s">
        <v>22</v>
      </c>
      <c r="U26" s="6" t="s">
        <v>22</v>
      </c>
      <c r="V26" s="6" t="s">
        <v>22</v>
      </c>
      <c r="W26" s="29" t="s">
        <v>23</v>
      </c>
      <c r="X26" s="29" t="s">
        <v>23</v>
      </c>
      <c r="Y26" s="28" t="s">
        <v>24</v>
      </c>
      <c r="Z26" s="28" t="s">
        <v>24</v>
      </c>
      <c r="AA26" s="28" t="s">
        <v>24</v>
      </c>
      <c r="AB26" s="28" t="s">
        <v>24</v>
      </c>
      <c r="AC26" s="29" t="s">
        <v>23</v>
      </c>
      <c r="AD26" s="29" t="s">
        <v>23</v>
      </c>
      <c r="AE26" s="6" t="s">
        <v>22</v>
      </c>
      <c r="AF26" s="6" t="s">
        <v>22</v>
      </c>
      <c r="AG26" s="9" t="s">
        <v>22</v>
      </c>
      <c r="AI26" s="227">
        <f>VLOOKUP(B26,'SEP25'!B:AJ,35,0)</f>
        <v>10</v>
      </c>
      <c r="AJ26" s="225">
        <f t="shared" si="4"/>
        <v>0</v>
      </c>
      <c r="AK26" s="230">
        <f t="shared" si="5"/>
        <v>10</v>
      </c>
    </row>
    <row r="27" spans="1:37" ht="18.75" customHeight="1">
      <c r="A27" s="602" t="s">
        <v>69</v>
      </c>
      <c r="B27" s="535" t="s">
        <v>70</v>
      </c>
      <c r="C27" s="29" t="s">
        <v>23</v>
      </c>
      <c r="D27" s="29" t="s">
        <v>23</v>
      </c>
      <c r="E27" s="6" t="s">
        <v>22</v>
      </c>
      <c r="F27" s="6" t="s">
        <v>22</v>
      </c>
      <c r="G27" s="1074" t="s">
        <v>22</v>
      </c>
      <c r="H27" s="1074" t="s">
        <v>22</v>
      </c>
      <c r="I27" s="29" t="s">
        <v>23</v>
      </c>
      <c r="J27" s="29" t="s">
        <v>23</v>
      </c>
      <c r="K27" s="85" t="s">
        <v>63</v>
      </c>
      <c r="L27" s="85" t="s">
        <v>63</v>
      </c>
      <c r="M27" s="85" t="s">
        <v>63</v>
      </c>
      <c r="N27" s="85" t="s">
        <v>63</v>
      </c>
      <c r="O27" s="29" t="s">
        <v>23</v>
      </c>
      <c r="P27" s="29" t="s">
        <v>23</v>
      </c>
      <c r="Q27" s="28" t="s">
        <v>24</v>
      </c>
      <c r="R27" s="28" t="s">
        <v>24</v>
      </c>
      <c r="S27" s="28" t="s">
        <v>24</v>
      </c>
      <c r="T27" s="28" t="s">
        <v>24</v>
      </c>
      <c r="U27" s="29" t="s">
        <v>23</v>
      </c>
      <c r="V27" s="29" t="s">
        <v>23</v>
      </c>
      <c r="W27" s="6" t="s">
        <v>22</v>
      </c>
      <c r="X27" s="6" t="s">
        <v>22</v>
      </c>
      <c r="Y27" s="6" t="s">
        <v>22</v>
      </c>
      <c r="Z27" s="1074" t="s">
        <v>22</v>
      </c>
      <c r="AA27" s="29" t="s">
        <v>23</v>
      </c>
      <c r="AB27" s="29" t="s">
        <v>23</v>
      </c>
      <c r="AC27" s="28" t="s">
        <v>24</v>
      </c>
      <c r="AD27" s="28" t="s">
        <v>24</v>
      </c>
      <c r="AE27" s="92" t="s">
        <v>34</v>
      </c>
      <c r="AF27" s="92" t="s">
        <v>34</v>
      </c>
      <c r="AG27" s="78" t="s">
        <v>23</v>
      </c>
      <c r="AI27" s="227">
        <v>13</v>
      </c>
      <c r="AJ27" s="225">
        <f t="shared" si="4"/>
        <v>2</v>
      </c>
      <c r="AK27" s="230">
        <f t="shared" si="5"/>
        <v>11</v>
      </c>
    </row>
    <row r="28" spans="1:37" ht="18.75" customHeight="1">
      <c r="A28" s="602" t="s">
        <v>71</v>
      </c>
      <c r="B28" s="535" t="s">
        <v>72</v>
      </c>
      <c r="C28" s="1070" t="s">
        <v>24</v>
      </c>
      <c r="D28" s="1070" t="s">
        <v>24</v>
      </c>
      <c r="E28" s="1070" t="s">
        <v>24</v>
      </c>
      <c r="F28" s="1122" t="s">
        <v>147</v>
      </c>
      <c r="G28" s="29" t="s">
        <v>23</v>
      </c>
      <c r="H28" s="29" t="s">
        <v>23</v>
      </c>
      <c r="I28" s="1074" t="s">
        <v>22</v>
      </c>
      <c r="J28" s="1074" t="s">
        <v>22</v>
      </c>
      <c r="K28" s="1074" t="s">
        <v>22</v>
      </c>
      <c r="L28" s="1074" t="s">
        <v>22</v>
      </c>
      <c r="M28" s="29" t="s">
        <v>23</v>
      </c>
      <c r="N28" s="29" t="s">
        <v>23</v>
      </c>
      <c r="O28" s="85" t="s">
        <v>63</v>
      </c>
      <c r="P28" s="85" t="s">
        <v>63</v>
      </c>
      <c r="Q28" s="85" t="s">
        <v>63</v>
      </c>
      <c r="R28" s="85" t="s">
        <v>63</v>
      </c>
      <c r="S28" s="29" t="s">
        <v>23</v>
      </c>
      <c r="T28" s="29" t="s">
        <v>23</v>
      </c>
      <c r="U28" s="28" t="s">
        <v>24</v>
      </c>
      <c r="V28" s="28" t="s">
        <v>24</v>
      </c>
      <c r="W28" s="28" t="s">
        <v>83</v>
      </c>
      <c r="X28" s="28" t="s">
        <v>24</v>
      </c>
      <c r="Y28" s="29" t="s">
        <v>23</v>
      </c>
      <c r="Z28" s="29" t="s">
        <v>23</v>
      </c>
      <c r="AA28" s="1074" t="s">
        <v>22</v>
      </c>
      <c r="AB28" s="1074" t="s">
        <v>22</v>
      </c>
      <c r="AC28" s="1074" t="s">
        <v>22</v>
      </c>
      <c r="AD28" s="1074" t="s">
        <v>22</v>
      </c>
      <c r="AE28" s="29" t="s">
        <v>23</v>
      </c>
      <c r="AF28" s="29" t="s">
        <v>23</v>
      </c>
      <c r="AG28" s="80" t="s">
        <v>24</v>
      </c>
      <c r="AI28" s="227">
        <v>8</v>
      </c>
      <c r="AJ28" s="225">
        <f t="shared" si="4"/>
        <v>0</v>
      </c>
      <c r="AK28" s="230">
        <f t="shared" si="5"/>
        <v>8</v>
      </c>
    </row>
    <row r="29" spans="1:37" ht="18.75" customHeight="1">
      <c r="A29" s="602" t="s">
        <v>73</v>
      </c>
      <c r="B29" s="535" t="s">
        <v>74</v>
      </c>
      <c r="C29" s="6" t="s">
        <v>22</v>
      </c>
      <c r="D29" s="6" t="s">
        <v>22</v>
      </c>
      <c r="E29" s="29" t="s">
        <v>23</v>
      </c>
      <c r="F29" s="29" t="s">
        <v>23</v>
      </c>
      <c r="G29" s="1070" t="s">
        <v>24</v>
      </c>
      <c r="H29" s="1070" t="s">
        <v>24</v>
      </c>
      <c r="I29" s="1070" t="s">
        <v>24</v>
      </c>
      <c r="J29" s="1070" t="s">
        <v>24</v>
      </c>
      <c r="K29" s="29" t="s">
        <v>23</v>
      </c>
      <c r="L29" s="29" t="s">
        <v>23</v>
      </c>
      <c r="M29" s="157" t="s">
        <v>19</v>
      </c>
      <c r="N29" s="157" t="s">
        <v>19</v>
      </c>
      <c r="O29" s="1074" t="s">
        <v>22</v>
      </c>
      <c r="P29" s="1074" t="s">
        <v>22</v>
      </c>
      <c r="Q29" s="29" t="s">
        <v>23</v>
      </c>
      <c r="R29" s="29" t="s">
        <v>23</v>
      </c>
      <c r="S29" s="85" t="s">
        <v>63</v>
      </c>
      <c r="T29" s="85" t="s">
        <v>63</v>
      </c>
      <c r="U29" s="85" t="s">
        <v>63</v>
      </c>
      <c r="V29" s="85" t="s">
        <v>63</v>
      </c>
      <c r="W29" s="29" t="s">
        <v>23</v>
      </c>
      <c r="X29" s="29" t="s">
        <v>23</v>
      </c>
      <c r="Y29" s="28" t="s">
        <v>24</v>
      </c>
      <c r="Z29" s="28" t="s">
        <v>24</v>
      </c>
      <c r="AA29" s="28" t="s">
        <v>146</v>
      </c>
      <c r="AB29" s="28" t="s">
        <v>24</v>
      </c>
      <c r="AC29" s="29" t="s">
        <v>23</v>
      </c>
      <c r="AD29" s="29" t="s">
        <v>23</v>
      </c>
      <c r="AE29" s="1074" t="s">
        <v>22</v>
      </c>
      <c r="AF29" s="1074" t="s">
        <v>22</v>
      </c>
      <c r="AG29" s="1166" t="s">
        <v>22</v>
      </c>
      <c r="AI29" s="227">
        <v>11</v>
      </c>
      <c r="AJ29" s="225">
        <f t="shared" si="4"/>
        <v>0</v>
      </c>
      <c r="AK29" s="230">
        <f t="shared" si="5"/>
        <v>11</v>
      </c>
    </row>
    <row r="30" spans="1:37" ht="18.75" customHeight="1">
      <c r="A30" s="602" t="s">
        <v>75</v>
      </c>
      <c r="B30" s="535" t="s">
        <v>76</v>
      </c>
      <c r="C30" s="29" t="s">
        <v>23</v>
      </c>
      <c r="D30" s="29" t="s">
        <v>23</v>
      </c>
      <c r="E30" s="30" t="s">
        <v>53</v>
      </c>
      <c r="F30" s="6" t="s">
        <v>22</v>
      </c>
      <c r="G30" s="6" t="s">
        <v>22</v>
      </c>
      <c r="H30" s="6" t="s">
        <v>22</v>
      </c>
      <c r="I30" s="29" t="s">
        <v>23</v>
      </c>
      <c r="J30" s="29" t="s">
        <v>23</v>
      </c>
      <c r="K30" s="28" t="s">
        <v>24</v>
      </c>
      <c r="L30" s="28" t="s">
        <v>24</v>
      </c>
      <c r="M30" s="28" t="s">
        <v>24</v>
      </c>
      <c r="N30" s="28" t="s">
        <v>24</v>
      </c>
      <c r="O30" s="29" t="s">
        <v>23</v>
      </c>
      <c r="P30" s="29" t="s">
        <v>23</v>
      </c>
      <c r="Q30" s="6" t="s">
        <v>22</v>
      </c>
      <c r="R30" s="6" t="s">
        <v>22</v>
      </c>
      <c r="S30" s="6" t="s">
        <v>22</v>
      </c>
      <c r="T30" s="6" t="s">
        <v>22</v>
      </c>
      <c r="U30" s="29" t="s">
        <v>23</v>
      </c>
      <c r="V30" s="29" t="s">
        <v>23</v>
      </c>
      <c r="W30" s="85" t="s">
        <v>63</v>
      </c>
      <c r="X30" s="85" t="s">
        <v>63</v>
      </c>
      <c r="Y30" s="85" t="s">
        <v>63</v>
      </c>
      <c r="Z30" s="85" t="s">
        <v>63</v>
      </c>
      <c r="AA30" s="29" t="s">
        <v>23</v>
      </c>
      <c r="AB30" s="29" t="s">
        <v>23</v>
      </c>
      <c r="AC30" s="28" t="s">
        <v>24</v>
      </c>
      <c r="AD30" s="28" t="s">
        <v>24</v>
      </c>
      <c r="AE30" s="28" t="s">
        <v>24</v>
      </c>
      <c r="AF30" s="28" t="s">
        <v>24</v>
      </c>
      <c r="AG30" s="78" t="s">
        <v>23</v>
      </c>
      <c r="AI30" s="227">
        <f>VLOOKUP(B30,'SEP25'!B:AJ,35,0)</f>
        <v>10</v>
      </c>
      <c r="AJ30" s="225">
        <f t="shared" si="4"/>
        <v>0</v>
      </c>
      <c r="AK30" s="230">
        <f t="shared" si="5"/>
        <v>10</v>
      </c>
    </row>
    <row r="31" spans="1:37" ht="18.75" customHeight="1">
      <c r="A31" s="602" t="s">
        <v>77</v>
      </c>
      <c r="B31" s="535" t="s">
        <v>78</v>
      </c>
      <c r="C31" s="28" t="s">
        <v>24</v>
      </c>
      <c r="D31" s="28" t="s">
        <v>24</v>
      </c>
      <c r="E31" s="28" t="s">
        <v>24</v>
      </c>
      <c r="F31" s="28" t="s">
        <v>24</v>
      </c>
      <c r="G31" s="29" t="s">
        <v>23</v>
      </c>
      <c r="H31" s="29" t="s">
        <v>23</v>
      </c>
      <c r="I31" s="1122" t="s">
        <v>144</v>
      </c>
      <c r="J31" s="1122" t="s">
        <v>144</v>
      </c>
      <c r="K31" s="1122" t="s">
        <v>181</v>
      </c>
      <c r="L31" s="6" t="s">
        <v>22</v>
      </c>
      <c r="M31" s="29" t="s">
        <v>23</v>
      </c>
      <c r="N31" s="29" t="s">
        <v>23</v>
      </c>
      <c r="O31" s="28" t="s">
        <v>24</v>
      </c>
      <c r="P31" s="28" t="s">
        <v>24</v>
      </c>
      <c r="Q31" s="28" t="s">
        <v>24</v>
      </c>
      <c r="R31" s="28" t="s">
        <v>24</v>
      </c>
      <c r="S31" s="29" t="s">
        <v>23</v>
      </c>
      <c r="T31" s="29" t="s">
        <v>23</v>
      </c>
      <c r="U31" s="6" t="s">
        <v>22</v>
      </c>
      <c r="V31" s="6" t="s">
        <v>22</v>
      </c>
      <c r="W31" s="6" t="s">
        <v>22</v>
      </c>
      <c r="X31" s="6" t="s">
        <v>22</v>
      </c>
      <c r="Y31" s="29" t="s">
        <v>23</v>
      </c>
      <c r="Z31" s="29" t="s">
        <v>23</v>
      </c>
      <c r="AA31" s="85" t="s">
        <v>63</v>
      </c>
      <c r="AB31" s="85" t="s">
        <v>63</v>
      </c>
      <c r="AC31" s="85" t="s">
        <v>63</v>
      </c>
      <c r="AD31" s="85" t="s">
        <v>63</v>
      </c>
      <c r="AE31" s="29" t="s">
        <v>23</v>
      </c>
      <c r="AF31" s="29" t="s">
        <v>23</v>
      </c>
      <c r="AG31" s="80" t="s">
        <v>24</v>
      </c>
      <c r="AI31" s="227">
        <f>VLOOKUP(B31,'SEP25'!B:AJ,35,0)</f>
        <v>8</v>
      </c>
      <c r="AJ31" s="225">
        <f t="shared" si="4"/>
        <v>0</v>
      </c>
      <c r="AK31" s="230">
        <f t="shared" si="5"/>
        <v>8</v>
      </c>
    </row>
    <row r="32" spans="1:37" ht="18.75" customHeight="1">
      <c r="A32" s="602" t="s">
        <v>79</v>
      </c>
      <c r="B32" s="535" t="s">
        <v>80</v>
      </c>
      <c r="C32" s="85" t="s">
        <v>63</v>
      </c>
      <c r="D32" s="85" t="s">
        <v>63</v>
      </c>
      <c r="E32" s="85" t="s">
        <v>63</v>
      </c>
      <c r="F32" s="29" t="s">
        <v>23</v>
      </c>
      <c r="G32" s="29" t="s">
        <v>23</v>
      </c>
      <c r="H32" s="28" t="s">
        <v>24</v>
      </c>
      <c r="I32" s="28" t="s">
        <v>24</v>
      </c>
      <c r="J32" s="28" t="s">
        <v>24</v>
      </c>
      <c r="K32" s="29" t="s">
        <v>23</v>
      </c>
      <c r="L32" s="29" t="s">
        <v>23</v>
      </c>
      <c r="M32" s="6" t="s">
        <v>22</v>
      </c>
      <c r="N32" s="6" t="s">
        <v>22</v>
      </c>
      <c r="O32" s="6" t="s">
        <v>22</v>
      </c>
      <c r="P32" s="6" t="s">
        <v>22</v>
      </c>
      <c r="Q32" s="29" t="s">
        <v>23</v>
      </c>
      <c r="R32" s="29" t="s">
        <v>23</v>
      </c>
      <c r="S32" s="28" t="s">
        <v>24</v>
      </c>
      <c r="T32" s="28" t="s">
        <v>24</v>
      </c>
      <c r="U32" s="28" t="s">
        <v>24</v>
      </c>
      <c r="V32" s="92" t="s">
        <v>34</v>
      </c>
      <c r="W32" s="29" t="s">
        <v>23</v>
      </c>
      <c r="X32" s="29" t="s">
        <v>23</v>
      </c>
      <c r="Y32" s="30" t="s">
        <v>53</v>
      </c>
      <c r="Z32" s="92" t="s">
        <v>34</v>
      </c>
      <c r="AA32" s="92" t="s">
        <v>34</v>
      </c>
      <c r="AB32" s="92" t="s">
        <v>34</v>
      </c>
      <c r="AC32" s="29" t="s">
        <v>23</v>
      </c>
      <c r="AD32" s="29" t="s">
        <v>23</v>
      </c>
      <c r="AE32" s="85" t="s">
        <v>63</v>
      </c>
      <c r="AF32" s="85" t="s">
        <v>63</v>
      </c>
      <c r="AG32" s="86" t="s">
        <v>63</v>
      </c>
      <c r="AI32" s="227">
        <f>VLOOKUP(B32,'SEP25'!B:AJ,35,0)</f>
        <v>10</v>
      </c>
      <c r="AJ32" s="225">
        <f t="shared" si="4"/>
        <v>4</v>
      </c>
      <c r="AK32" s="230">
        <f t="shared" si="5"/>
        <v>6</v>
      </c>
    </row>
    <row r="33" spans="1:37" ht="18.75" customHeight="1">
      <c r="A33" s="602" t="s">
        <v>81</v>
      </c>
      <c r="B33" s="535" t="s">
        <v>82</v>
      </c>
      <c r="C33" s="108" t="s">
        <v>108</v>
      </c>
      <c r="D33" s="108" t="s">
        <v>108</v>
      </c>
      <c r="E33" s="108" t="s">
        <v>108</v>
      </c>
      <c r="F33" s="108" t="s">
        <v>108</v>
      </c>
      <c r="G33" s="108" t="s">
        <v>108</v>
      </c>
      <c r="H33" s="108" t="s">
        <v>108</v>
      </c>
      <c r="I33" s="108" t="s">
        <v>108</v>
      </c>
      <c r="J33" s="108" t="s">
        <v>108</v>
      </c>
      <c r="K33" s="108" t="s">
        <v>108</v>
      </c>
      <c r="L33" s="108" t="s">
        <v>108</v>
      </c>
      <c r="M33" s="108" t="s">
        <v>108</v>
      </c>
      <c r="N33" s="108" t="s">
        <v>108</v>
      </c>
      <c r="O33" s="108" t="s">
        <v>108</v>
      </c>
      <c r="P33" s="108" t="s">
        <v>108</v>
      </c>
      <c r="Q33" s="108" t="s">
        <v>108</v>
      </c>
      <c r="R33" s="108" t="s">
        <v>108</v>
      </c>
      <c r="S33" s="108" t="s">
        <v>108</v>
      </c>
      <c r="T33" s="108" t="s">
        <v>108</v>
      </c>
      <c r="U33" s="108" t="s">
        <v>108</v>
      </c>
      <c r="V33" s="108" t="s">
        <v>108</v>
      </c>
      <c r="W33" s="108" t="s">
        <v>108</v>
      </c>
      <c r="X33" s="108" t="s">
        <v>108</v>
      </c>
      <c r="Y33" s="108" t="s">
        <v>108</v>
      </c>
      <c r="Z33" s="108" t="s">
        <v>108</v>
      </c>
      <c r="AA33" s="108" t="s">
        <v>108</v>
      </c>
      <c r="AB33" s="108" t="s">
        <v>108</v>
      </c>
      <c r="AC33" s="108" t="s">
        <v>108</v>
      </c>
      <c r="AD33" s="108" t="s">
        <v>108</v>
      </c>
      <c r="AE33" s="108" t="s">
        <v>108</v>
      </c>
      <c r="AF33" s="108" t="s">
        <v>108</v>
      </c>
      <c r="AG33" s="78" t="s">
        <v>23</v>
      </c>
      <c r="AI33" s="227">
        <f>VLOOKUP(B33,'SEP25'!B:AJ,35,0)</f>
        <v>10</v>
      </c>
      <c r="AJ33" s="225">
        <f t="shared" si="4"/>
        <v>0</v>
      </c>
      <c r="AK33" s="230">
        <f t="shared" si="5"/>
        <v>10</v>
      </c>
    </row>
    <row r="34" spans="1:37" ht="18.75" customHeight="1">
      <c r="A34" s="602" t="s">
        <v>85</v>
      </c>
      <c r="B34" s="535" t="s">
        <v>86</v>
      </c>
      <c r="C34" s="1074" t="s">
        <v>22</v>
      </c>
      <c r="D34" s="1074" t="s">
        <v>22</v>
      </c>
      <c r="E34" s="1074" t="s">
        <v>22</v>
      </c>
      <c r="F34" s="1074" t="s">
        <v>22</v>
      </c>
      <c r="G34" s="29" t="s">
        <v>23</v>
      </c>
      <c r="H34" s="29" t="s">
        <v>23</v>
      </c>
      <c r="I34" s="85" t="s">
        <v>63</v>
      </c>
      <c r="J34" s="85" t="s">
        <v>63</v>
      </c>
      <c r="K34" s="85" t="s">
        <v>63</v>
      </c>
      <c r="L34" s="85" t="s">
        <v>63</v>
      </c>
      <c r="M34" s="29" t="s">
        <v>23</v>
      </c>
      <c r="N34" s="29" t="s">
        <v>23</v>
      </c>
      <c r="O34" s="28" t="s">
        <v>24</v>
      </c>
      <c r="P34" s="28" t="s">
        <v>24</v>
      </c>
      <c r="Q34" s="28" t="s">
        <v>24</v>
      </c>
      <c r="R34" s="28" t="s">
        <v>24</v>
      </c>
      <c r="S34" s="29" t="s">
        <v>23</v>
      </c>
      <c r="T34" s="29" t="s">
        <v>23</v>
      </c>
      <c r="U34" s="1074" t="s">
        <v>22</v>
      </c>
      <c r="V34" s="1074" t="s">
        <v>22</v>
      </c>
      <c r="W34" s="1074" t="s">
        <v>22</v>
      </c>
      <c r="X34" s="1074" t="s">
        <v>22</v>
      </c>
      <c r="Y34" s="29" t="s">
        <v>23</v>
      </c>
      <c r="Z34" s="29" t="s">
        <v>23</v>
      </c>
      <c r="AA34" s="28" t="s">
        <v>24</v>
      </c>
      <c r="AB34" s="28" t="s">
        <v>24</v>
      </c>
      <c r="AC34" s="28" t="s">
        <v>24</v>
      </c>
      <c r="AD34" s="28" t="s">
        <v>24</v>
      </c>
      <c r="AE34" s="29" t="s">
        <v>23</v>
      </c>
      <c r="AF34" s="29" t="s">
        <v>23</v>
      </c>
      <c r="AG34" s="93" t="s">
        <v>34</v>
      </c>
      <c r="AI34" s="227">
        <f>VLOOKUP(B34,'SEP25'!B:AJ,35,0)</f>
        <v>10</v>
      </c>
      <c r="AJ34" s="225">
        <f t="shared" si="4"/>
        <v>1</v>
      </c>
      <c r="AK34" s="230">
        <f t="shared" si="5"/>
        <v>9</v>
      </c>
    </row>
    <row r="35" spans="1:37" ht="18.75" customHeight="1">
      <c r="A35" s="602" t="s">
        <v>87</v>
      </c>
      <c r="B35" s="535" t="s">
        <v>88</v>
      </c>
      <c r="C35" s="28" t="s">
        <v>24</v>
      </c>
      <c r="D35" s="28" t="s">
        <v>24</v>
      </c>
      <c r="E35" s="29" t="s">
        <v>23</v>
      </c>
      <c r="F35" s="29" t="s">
        <v>23</v>
      </c>
      <c r="G35" s="6" t="s">
        <v>22</v>
      </c>
      <c r="H35" s="6" t="s">
        <v>22</v>
      </c>
      <c r="I35" s="6" t="s">
        <v>22</v>
      </c>
      <c r="J35" s="6" t="s">
        <v>22</v>
      </c>
      <c r="K35" s="29" t="s">
        <v>23</v>
      </c>
      <c r="L35" s="29" t="s">
        <v>23</v>
      </c>
      <c r="M35" s="85" t="s">
        <v>63</v>
      </c>
      <c r="N35" s="85" t="s">
        <v>63</v>
      </c>
      <c r="O35" s="85" t="s">
        <v>63</v>
      </c>
      <c r="P35" s="85" t="s">
        <v>63</v>
      </c>
      <c r="Q35" s="29" t="s">
        <v>23</v>
      </c>
      <c r="R35" s="29" t="s">
        <v>23</v>
      </c>
      <c r="S35" s="92" t="s">
        <v>34</v>
      </c>
      <c r="T35" s="30" t="s">
        <v>53</v>
      </c>
      <c r="U35" s="92" t="s">
        <v>34</v>
      </c>
      <c r="V35" s="92" t="s">
        <v>34</v>
      </c>
      <c r="W35" s="29" t="s">
        <v>23</v>
      </c>
      <c r="X35" s="29" t="s">
        <v>23</v>
      </c>
      <c r="Y35" s="157" t="s">
        <v>19</v>
      </c>
      <c r="Z35" s="6" t="s">
        <v>22</v>
      </c>
      <c r="AA35" s="6" t="s">
        <v>22</v>
      </c>
      <c r="AB35" s="6" t="s">
        <v>22</v>
      </c>
      <c r="AC35" s="29" t="s">
        <v>23</v>
      </c>
      <c r="AD35" s="29" t="s">
        <v>23</v>
      </c>
      <c r="AE35" s="28" t="s">
        <v>24</v>
      </c>
      <c r="AF35" s="28" t="s">
        <v>24</v>
      </c>
      <c r="AG35" s="80" t="s">
        <v>24</v>
      </c>
      <c r="AI35" s="227">
        <f>VLOOKUP(B35,'SEP25'!B:AJ,35,0)</f>
        <v>14</v>
      </c>
      <c r="AJ35" s="225">
        <f t="shared" si="4"/>
        <v>3</v>
      </c>
      <c r="AK35" s="230">
        <f t="shared" si="5"/>
        <v>11</v>
      </c>
    </row>
    <row r="36" spans="1:37" ht="18.75" customHeight="1" thickBot="1">
      <c r="A36" s="680" t="s">
        <v>90</v>
      </c>
      <c r="B36" s="550" t="s">
        <v>91</v>
      </c>
      <c r="C36" s="83" t="s">
        <v>23</v>
      </c>
      <c r="D36" s="83" t="s">
        <v>23</v>
      </c>
      <c r="E36" s="76" t="s">
        <v>24</v>
      </c>
      <c r="F36" s="76" t="s">
        <v>24</v>
      </c>
      <c r="G36" s="76" t="s">
        <v>24</v>
      </c>
      <c r="H36" s="76" t="s">
        <v>24</v>
      </c>
      <c r="I36" s="83" t="s">
        <v>23</v>
      </c>
      <c r="J36" s="83" t="s">
        <v>23</v>
      </c>
      <c r="K36" s="15" t="s">
        <v>22</v>
      </c>
      <c r="L36" s="15" t="s">
        <v>22</v>
      </c>
      <c r="M36" s="15" t="s">
        <v>22</v>
      </c>
      <c r="N36" s="15" t="s">
        <v>22</v>
      </c>
      <c r="O36" s="83" t="s">
        <v>23</v>
      </c>
      <c r="P36" s="83" t="s">
        <v>23</v>
      </c>
      <c r="Q36" s="383" t="s">
        <v>63</v>
      </c>
      <c r="R36" s="383" t="s">
        <v>63</v>
      </c>
      <c r="S36" s="383" t="s">
        <v>63</v>
      </c>
      <c r="T36" s="383" t="s">
        <v>63</v>
      </c>
      <c r="U36" s="83" t="s">
        <v>23</v>
      </c>
      <c r="V36" s="83" t="s">
        <v>23</v>
      </c>
      <c r="W36" s="76" t="s">
        <v>24</v>
      </c>
      <c r="X36" s="76" t="s">
        <v>24</v>
      </c>
      <c r="Y36" s="76" t="s">
        <v>24</v>
      </c>
      <c r="Z36" s="76" t="s">
        <v>24</v>
      </c>
      <c r="AA36" s="83" t="s">
        <v>23</v>
      </c>
      <c r="AB36" s="83" t="s">
        <v>23</v>
      </c>
      <c r="AC36" s="15" t="s">
        <v>22</v>
      </c>
      <c r="AD36" s="15" t="s">
        <v>22</v>
      </c>
      <c r="AE36" s="15" t="s">
        <v>22</v>
      </c>
      <c r="AF36" s="15" t="s">
        <v>22</v>
      </c>
      <c r="AG36" s="84" t="s">
        <v>23</v>
      </c>
      <c r="AI36" s="241">
        <v>18</v>
      </c>
      <c r="AJ36" s="283">
        <f t="shared" si="4"/>
        <v>0</v>
      </c>
      <c r="AK36" s="288">
        <f t="shared" si="5"/>
        <v>18</v>
      </c>
    </row>
    <row r="37" spans="1:37" ht="20.100000000000001" customHeight="1" thickBot="1">
      <c r="A37" s="249"/>
      <c r="B37" s="249"/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863"/>
      <c r="R37" s="863"/>
      <c r="S37" s="863"/>
      <c r="T37" s="863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I37" s="247"/>
      <c r="AJ37" s="247"/>
      <c r="AK37" s="247"/>
    </row>
    <row r="38" spans="1:37" ht="24.95" customHeight="1" thickBot="1">
      <c r="A38" s="581" t="s">
        <v>197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  <c r="P38" s="514"/>
      <c r="Q38" s="514"/>
      <c r="R38" s="514"/>
      <c r="S38" s="514"/>
      <c r="T38" s="514"/>
      <c r="U38" s="514"/>
      <c r="V38" s="514"/>
      <c r="W38" s="514"/>
      <c r="X38" s="514"/>
      <c r="Y38" s="514"/>
      <c r="Z38" s="514"/>
      <c r="AA38" s="514"/>
      <c r="AB38" s="514"/>
      <c r="AC38" s="514"/>
      <c r="AD38" s="650"/>
      <c r="AE38" s="650"/>
      <c r="AF38" s="878"/>
      <c r="AG38" s="651"/>
      <c r="AI38" s="247"/>
      <c r="AJ38" s="247"/>
      <c r="AK38" s="247"/>
    </row>
    <row r="39" spans="1:37" ht="19.5" customHeight="1">
      <c r="A39" s="602" t="s">
        <v>98</v>
      </c>
      <c r="B39" s="535" t="s">
        <v>99</v>
      </c>
      <c r="C39" s="29" t="s">
        <v>23</v>
      </c>
      <c r="D39" s="264" t="s">
        <v>24</v>
      </c>
      <c r="E39" s="264" t="s">
        <v>24</v>
      </c>
      <c r="F39" s="264" t="s">
        <v>24</v>
      </c>
      <c r="G39" s="264" t="s">
        <v>24</v>
      </c>
      <c r="H39" s="29" t="s">
        <v>23</v>
      </c>
      <c r="I39" s="87" t="s">
        <v>53</v>
      </c>
      <c r="J39" s="87" t="s">
        <v>148</v>
      </c>
      <c r="K39" s="232" t="s">
        <v>22</v>
      </c>
      <c r="L39" s="232" t="s">
        <v>22</v>
      </c>
      <c r="M39" s="232" t="s">
        <v>22</v>
      </c>
      <c r="N39" s="29" t="s">
        <v>23</v>
      </c>
      <c r="O39" s="29" t="s">
        <v>23</v>
      </c>
      <c r="P39" s="264" t="s">
        <v>24</v>
      </c>
      <c r="Q39" s="264" t="s">
        <v>24</v>
      </c>
      <c r="R39" s="264" t="s">
        <v>24</v>
      </c>
      <c r="S39" s="264" t="s">
        <v>24</v>
      </c>
      <c r="T39" s="29" t="s">
        <v>23</v>
      </c>
      <c r="U39" s="29" t="s">
        <v>23</v>
      </c>
      <c r="V39" s="232" t="s">
        <v>22</v>
      </c>
      <c r="W39" s="232" t="s">
        <v>22</v>
      </c>
      <c r="X39" s="232" t="s">
        <v>22</v>
      </c>
      <c r="Y39" s="232" t="s">
        <v>22</v>
      </c>
      <c r="Z39" s="29" t="s">
        <v>23</v>
      </c>
      <c r="AA39" s="29" t="s">
        <v>23</v>
      </c>
      <c r="AB39" s="264" t="s">
        <v>24</v>
      </c>
      <c r="AC39" s="264" t="s">
        <v>24</v>
      </c>
      <c r="AD39" s="264" t="s">
        <v>24</v>
      </c>
      <c r="AE39" s="264" t="s">
        <v>24</v>
      </c>
      <c r="AF39" s="29" t="s">
        <v>23</v>
      </c>
      <c r="AG39" s="78" t="s">
        <v>23</v>
      </c>
      <c r="AI39" s="220">
        <f>VLOOKUP(B39,'SEP25'!B:AJ,35,0)</f>
        <v>10</v>
      </c>
      <c r="AJ39" s="218">
        <f t="shared" ref="AJ39:AJ40" si="6">COUNTIF(C39:AG39,"u")</f>
        <v>0</v>
      </c>
      <c r="AK39" s="221">
        <f t="shared" ref="AK39:AK40" si="7">AI39-AJ39</f>
        <v>10</v>
      </c>
    </row>
    <row r="40" spans="1:37" ht="19.5" customHeight="1">
      <c r="A40" s="602" t="s">
        <v>123</v>
      </c>
      <c r="B40" s="535" t="s">
        <v>124</v>
      </c>
      <c r="C40" s="232" t="s">
        <v>22</v>
      </c>
      <c r="D40" s="232" t="s">
        <v>22</v>
      </c>
      <c r="E40" s="232" t="s">
        <v>22</v>
      </c>
      <c r="F40" s="29" t="s">
        <v>23</v>
      </c>
      <c r="G40" s="29" t="s">
        <v>23</v>
      </c>
      <c r="H40" s="264" t="s">
        <v>24</v>
      </c>
      <c r="I40" s="264" t="s">
        <v>24</v>
      </c>
      <c r="J40" s="264" t="s">
        <v>24</v>
      </c>
      <c r="K40" s="264" t="s">
        <v>24</v>
      </c>
      <c r="L40" s="29" t="s">
        <v>23</v>
      </c>
      <c r="M40" s="29" t="s">
        <v>23</v>
      </c>
      <c r="N40" s="232" t="s">
        <v>22</v>
      </c>
      <c r="O40" s="232" t="s">
        <v>22</v>
      </c>
      <c r="P40" s="232" t="s">
        <v>22</v>
      </c>
      <c r="Q40" s="232" t="s">
        <v>22</v>
      </c>
      <c r="R40" s="29" t="s">
        <v>23</v>
      </c>
      <c r="S40" s="29" t="s">
        <v>23</v>
      </c>
      <c r="T40" s="264" t="s">
        <v>24</v>
      </c>
      <c r="U40" s="264" t="s">
        <v>24</v>
      </c>
      <c r="V40" s="264" t="s">
        <v>24</v>
      </c>
      <c r="W40" s="264" t="s">
        <v>83</v>
      </c>
      <c r="X40" s="29" t="s">
        <v>23</v>
      </c>
      <c r="Y40" s="29" t="s">
        <v>23</v>
      </c>
      <c r="Z40" s="232" t="s">
        <v>22</v>
      </c>
      <c r="AA40" s="232" t="s">
        <v>22</v>
      </c>
      <c r="AB40" s="232" t="s">
        <v>22</v>
      </c>
      <c r="AC40" s="232" t="s">
        <v>22</v>
      </c>
      <c r="AD40" s="29" t="s">
        <v>23</v>
      </c>
      <c r="AE40" s="29" t="s">
        <v>23</v>
      </c>
      <c r="AF40" s="264" t="s">
        <v>24</v>
      </c>
      <c r="AG40" s="265" t="s">
        <v>24</v>
      </c>
      <c r="AI40" s="227">
        <f>VLOOKUP(B40,'SEP25'!B:AJ,35,0)</f>
        <v>11</v>
      </c>
      <c r="AJ40" s="225">
        <f t="shared" si="6"/>
        <v>0</v>
      </c>
      <c r="AK40" s="230">
        <f t="shared" si="7"/>
        <v>11</v>
      </c>
    </row>
    <row r="41" spans="1:37" ht="19.5" customHeight="1" thickBot="1">
      <c r="A41" s="680" t="s">
        <v>94</v>
      </c>
      <c r="B41" s="550" t="s">
        <v>95</v>
      </c>
      <c r="C41" s="237" t="s">
        <v>24</v>
      </c>
      <c r="D41" s="24" t="s">
        <v>23</v>
      </c>
      <c r="E41" s="24" t="s">
        <v>23</v>
      </c>
      <c r="F41" s="330" t="s">
        <v>34</v>
      </c>
      <c r="G41" s="745" t="s">
        <v>30</v>
      </c>
      <c r="H41" s="330" t="s">
        <v>34</v>
      </c>
      <c r="I41" s="330" t="s">
        <v>34</v>
      </c>
      <c r="J41" s="24" t="s">
        <v>23</v>
      </c>
      <c r="K41" s="24" t="s">
        <v>23</v>
      </c>
      <c r="L41" s="330" t="s">
        <v>34</v>
      </c>
      <c r="M41" s="330" t="s">
        <v>34</v>
      </c>
      <c r="N41" s="330" t="s">
        <v>34</v>
      </c>
      <c r="O41" s="330" t="s">
        <v>34</v>
      </c>
      <c r="P41" s="24" t="s">
        <v>23</v>
      </c>
      <c r="Q41" s="24" t="s">
        <v>23</v>
      </c>
      <c r="R41" s="330" t="s">
        <v>34</v>
      </c>
      <c r="S41" s="330" t="s">
        <v>34</v>
      </c>
      <c r="T41" s="330" t="s">
        <v>34</v>
      </c>
      <c r="U41" s="330" t="s">
        <v>34</v>
      </c>
      <c r="V41" s="24" t="s">
        <v>23</v>
      </c>
      <c r="W41" s="24" t="s">
        <v>23</v>
      </c>
      <c r="X41" s="237" t="s">
        <v>24</v>
      </c>
      <c r="Y41" s="237" t="s">
        <v>24</v>
      </c>
      <c r="Z41" s="237" t="s">
        <v>24</v>
      </c>
      <c r="AA41" s="237" t="s">
        <v>24</v>
      </c>
      <c r="AB41" s="24" t="s">
        <v>23</v>
      </c>
      <c r="AC41" s="24" t="s">
        <v>23</v>
      </c>
      <c r="AD41" s="223" t="s">
        <v>22</v>
      </c>
      <c r="AE41" s="223" t="s">
        <v>22</v>
      </c>
      <c r="AF41" s="223" t="s">
        <v>22</v>
      </c>
      <c r="AG41" s="222" t="s">
        <v>22</v>
      </c>
      <c r="AI41" s="241">
        <v>20</v>
      </c>
      <c r="AJ41" s="283">
        <f>COUNTIF(C41:AG41,"u")</f>
        <v>11</v>
      </c>
      <c r="AK41" s="288">
        <f>AI41-AJ41</f>
        <v>9</v>
      </c>
    </row>
    <row r="42" spans="1:37" ht="20.100000000000001" customHeight="1" thickBot="1">
      <c r="A42" s="249"/>
      <c r="B42" s="249"/>
      <c r="C42" s="303"/>
      <c r="D42" s="167"/>
      <c r="E42" s="167"/>
      <c r="F42" s="262"/>
      <c r="G42" s="262"/>
      <c r="H42" s="262"/>
      <c r="I42" s="262"/>
      <c r="J42" s="167"/>
      <c r="K42" s="167"/>
      <c r="L42" s="262"/>
      <c r="M42" s="262"/>
      <c r="N42" s="262"/>
      <c r="O42" s="262"/>
      <c r="P42" s="167"/>
      <c r="Q42" s="167"/>
      <c r="R42" s="262"/>
      <c r="S42" s="262"/>
      <c r="T42" s="262"/>
      <c r="U42" s="262"/>
      <c r="V42" s="167"/>
      <c r="W42" s="167"/>
      <c r="X42" s="303"/>
      <c r="Y42" s="303"/>
      <c r="Z42" s="303"/>
      <c r="AA42" s="303"/>
      <c r="AB42" s="167"/>
      <c r="AC42" s="167"/>
      <c r="AD42" s="244"/>
      <c r="AE42" s="244"/>
      <c r="AF42" s="244"/>
      <c r="AG42" s="244"/>
      <c r="AI42" s="247"/>
      <c r="AJ42" s="247"/>
      <c r="AK42" s="247"/>
    </row>
    <row r="43" spans="1:37" ht="24.95" customHeight="1">
      <c r="A43" s="599" t="s">
        <v>198</v>
      </c>
      <c r="B43" s="600"/>
      <c r="C43" s="514"/>
      <c r="D43" s="514"/>
      <c r="E43" s="514"/>
      <c r="F43" s="514"/>
      <c r="G43" s="514"/>
      <c r="H43" s="514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Y43" s="514"/>
      <c r="Z43" s="514"/>
      <c r="AA43" s="514"/>
      <c r="AB43" s="514"/>
      <c r="AC43" s="514"/>
      <c r="AD43" s="650"/>
      <c r="AE43" s="650"/>
      <c r="AF43" s="878"/>
      <c r="AG43" s="651"/>
      <c r="AI43" s="247"/>
      <c r="AJ43" s="247"/>
      <c r="AK43" s="247"/>
    </row>
    <row r="44" spans="1:37" ht="19.5" customHeight="1">
      <c r="A44" s="893" t="s">
        <v>201</v>
      </c>
      <c r="B44" s="896" t="s">
        <v>202</v>
      </c>
      <c r="C44" s="746" t="s">
        <v>23</v>
      </c>
      <c r="D44" s="1150" t="s">
        <v>22</v>
      </c>
      <c r="E44" s="1150" t="s">
        <v>22</v>
      </c>
      <c r="F44" s="1150" t="s">
        <v>22</v>
      </c>
      <c r="G44" s="1150" t="s">
        <v>22</v>
      </c>
      <c r="H44" s="1151" t="s">
        <v>23</v>
      </c>
      <c r="I44" s="1151" t="s">
        <v>23</v>
      </c>
      <c r="J44" s="1152" t="s">
        <v>24</v>
      </c>
      <c r="K44" s="1152" t="s">
        <v>24</v>
      </c>
      <c r="L44" s="1152" t="s">
        <v>24</v>
      </c>
      <c r="M44" s="1152" t="s">
        <v>24</v>
      </c>
      <c r="N44" s="1151" t="s">
        <v>23</v>
      </c>
      <c r="O44" s="1151" t="s">
        <v>23</v>
      </c>
      <c r="P44" s="1150" t="s">
        <v>22</v>
      </c>
      <c r="Q44" s="1153" t="s">
        <v>34</v>
      </c>
      <c r="R44" s="1153" t="s">
        <v>34</v>
      </c>
      <c r="S44" s="1153" t="s">
        <v>34</v>
      </c>
      <c r="T44" s="1151" t="s">
        <v>23</v>
      </c>
      <c r="U44" s="1151" t="s">
        <v>23</v>
      </c>
      <c r="V44" s="1153" t="s">
        <v>34</v>
      </c>
      <c r="W44" s="1153" t="s">
        <v>34</v>
      </c>
      <c r="X44" s="1153" t="s">
        <v>34</v>
      </c>
      <c r="Y44" s="1153" t="s">
        <v>34</v>
      </c>
      <c r="Z44" s="1151" t="s">
        <v>23</v>
      </c>
      <c r="AA44" s="1151" t="s">
        <v>23</v>
      </c>
      <c r="AB44" s="1153" t="s">
        <v>34</v>
      </c>
      <c r="AC44" s="1153" t="s">
        <v>34</v>
      </c>
      <c r="AD44" s="1153" t="s">
        <v>34</v>
      </c>
      <c r="AE44" s="1153" t="s">
        <v>34</v>
      </c>
      <c r="AF44" s="1151" t="s">
        <v>23</v>
      </c>
      <c r="AG44" s="1154" t="s">
        <v>23</v>
      </c>
      <c r="AI44" s="247"/>
      <c r="AJ44" s="247"/>
      <c r="AK44" s="247"/>
    </row>
    <row r="45" spans="1:37" ht="19.5" customHeight="1">
      <c r="A45" s="602" t="s">
        <v>111</v>
      </c>
      <c r="B45" s="896" t="s">
        <v>112</v>
      </c>
      <c r="C45" s="1136" t="s">
        <v>24</v>
      </c>
      <c r="D45" s="139" t="s">
        <v>24</v>
      </c>
      <c r="E45" s="139" t="s">
        <v>24</v>
      </c>
      <c r="F45" s="160" t="s">
        <v>23</v>
      </c>
      <c r="G45" s="160" t="s">
        <v>23</v>
      </c>
      <c r="H45" s="420" t="s">
        <v>63</v>
      </c>
      <c r="I45" s="420" t="s">
        <v>63</v>
      </c>
      <c r="J45" s="420" t="s">
        <v>63</v>
      </c>
      <c r="K45" s="420" t="s">
        <v>63</v>
      </c>
      <c r="L45" s="160" t="s">
        <v>23</v>
      </c>
      <c r="M45" s="160" t="s">
        <v>23</v>
      </c>
      <c r="N45" s="139" t="s">
        <v>24</v>
      </c>
      <c r="O45" s="139" t="s">
        <v>24</v>
      </c>
      <c r="P45" s="139" t="s">
        <v>24</v>
      </c>
      <c r="Q45" s="139" t="s">
        <v>24</v>
      </c>
      <c r="R45" s="160" t="s">
        <v>23</v>
      </c>
      <c r="S45" s="160" t="s">
        <v>23</v>
      </c>
      <c r="T45" s="138" t="s">
        <v>22</v>
      </c>
      <c r="U45" s="138" t="s">
        <v>22</v>
      </c>
      <c r="V45" s="138" t="s">
        <v>22</v>
      </c>
      <c r="W45" s="138" t="s">
        <v>22</v>
      </c>
      <c r="X45" s="160" t="s">
        <v>23</v>
      </c>
      <c r="Y45" s="160" t="s">
        <v>23</v>
      </c>
      <c r="Z45" s="1146" t="s">
        <v>147</v>
      </c>
      <c r="AA45" s="1146" t="s">
        <v>147</v>
      </c>
      <c r="AB45" s="138" t="s">
        <v>22</v>
      </c>
      <c r="AC45" s="138" t="s">
        <v>22</v>
      </c>
      <c r="AD45" s="160" t="s">
        <v>23</v>
      </c>
      <c r="AE45" s="160" t="s">
        <v>23</v>
      </c>
      <c r="AF45" s="137" t="s">
        <v>34</v>
      </c>
      <c r="AG45" s="144" t="s">
        <v>34</v>
      </c>
      <c r="AI45" s="220">
        <f>VLOOKUP(B45,'SEP25'!B:AJ,35,0)</f>
        <v>7</v>
      </c>
      <c r="AJ45" s="218">
        <f t="shared" ref="AJ45:AJ51" si="8">COUNTIF(C45:AG45,"u")</f>
        <v>2</v>
      </c>
      <c r="AK45" s="221">
        <f t="shared" ref="AK45:AK51" si="9">AI45-AJ45</f>
        <v>5</v>
      </c>
    </row>
    <row r="46" spans="1:37" ht="19.5" customHeight="1">
      <c r="A46" s="602" t="s">
        <v>133</v>
      </c>
      <c r="B46" s="896" t="s">
        <v>134</v>
      </c>
      <c r="C46" s="158" t="s">
        <v>19</v>
      </c>
      <c r="D46" s="160" t="s">
        <v>23</v>
      </c>
      <c r="E46" s="160" t="s">
        <v>23</v>
      </c>
      <c r="F46" s="138" t="s">
        <v>22</v>
      </c>
      <c r="G46" s="138" t="s">
        <v>22</v>
      </c>
      <c r="H46" s="1147" t="s">
        <v>22</v>
      </c>
      <c r="I46" s="1148" t="s">
        <v>23</v>
      </c>
      <c r="J46" s="1148" t="s">
        <v>23</v>
      </c>
      <c r="K46" s="1147" t="s">
        <v>22</v>
      </c>
      <c r="L46" s="1147" t="s">
        <v>22</v>
      </c>
      <c r="M46" s="1202" t="s">
        <v>19</v>
      </c>
      <c r="N46" s="1202" t="s">
        <v>19</v>
      </c>
      <c r="O46" s="1148" t="s">
        <v>23</v>
      </c>
      <c r="P46" s="1148" t="s">
        <v>23</v>
      </c>
      <c r="Q46" s="1147" t="s">
        <v>22</v>
      </c>
      <c r="R46" s="1147" t="s">
        <v>22</v>
      </c>
      <c r="S46" s="1244" t="s">
        <v>22</v>
      </c>
      <c r="T46" s="1244" t="s">
        <v>22</v>
      </c>
      <c r="U46" s="1245" t="s">
        <v>23</v>
      </c>
      <c r="V46" s="1148" t="s">
        <v>23</v>
      </c>
      <c r="W46" s="1147" t="s">
        <v>22</v>
      </c>
      <c r="X46" s="1147" t="s">
        <v>22</v>
      </c>
      <c r="Y46" s="1271" t="s">
        <v>68</v>
      </c>
      <c r="Z46" s="1147" t="s">
        <v>22</v>
      </c>
      <c r="AA46" s="1148" t="s">
        <v>23</v>
      </c>
      <c r="AB46" s="1148" t="s">
        <v>23</v>
      </c>
      <c r="AC46" s="1147" t="s">
        <v>22</v>
      </c>
      <c r="AD46" s="205" t="s">
        <v>125</v>
      </c>
      <c r="AE46" s="1147" t="s">
        <v>22</v>
      </c>
      <c r="AF46" s="1147" t="s">
        <v>22</v>
      </c>
      <c r="AG46" s="1155" t="s">
        <v>23</v>
      </c>
      <c r="AI46" s="227">
        <f>VLOOKUP(B46,'SEP25'!B:AJ,35,0)</f>
        <v>4</v>
      </c>
      <c r="AJ46" s="225">
        <f t="shared" si="8"/>
        <v>0</v>
      </c>
      <c r="AK46" s="230">
        <f t="shared" si="9"/>
        <v>4</v>
      </c>
    </row>
    <row r="47" spans="1:37" ht="19.5" customHeight="1">
      <c r="A47" s="602" t="s">
        <v>140</v>
      </c>
      <c r="B47" s="896" t="s">
        <v>141</v>
      </c>
      <c r="C47" s="150" t="s">
        <v>23</v>
      </c>
      <c r="D47" s="420" t="s">
        <v>63</v>
      </c>
      <c r="E47" s="420" t="s">
        <v>63</v>
      </c>
      <c r="F47" s="420" t="s">
        <v>63</v>
      </c>
      <c r="G47" s="420" t="s">
        <v>63</v>
      </c>
      <c r="H47" s="160" t="s">
        <v>23</v>
      </c>
      <c r="I47" s="160" t="s">
        <v>23</v>
      </c>
      <c r="J47" s="139" t="s">
        <v>24</v>
      </c>
      <c r="K47" s="139" t="s">
        <v>24</v>
      </c>
      <c r="L47" s="438" t="s">
        <v>39</v>
      </c>
      <c r="M47" s="210" t="s">
        <v>19</v>
      </c>
      <c r="N47" s="160" t="s">
        <v>23</v>
      </c>
      <c r="O47" s="160" t="s">
        <v>23</v>
      </c>
      <c r="P47" s="138" t="s">
        <v>22</v>
      </c>
      <c r="Q47" s="138" t="s">
        <v>22</v>
      </c>
      <c r="R47" s="1173" t="s">
        <v>22</v>
      </c>
      <c r="S47" s="138" t="s">
        <v>22</v>
      </c>
      <c r="T47" s="160" t="s">
        <v>23</v>
      </c>
      <c r="U47" s="160" t="s">
        <v>23</v>
      </c>
      <c r="V47" s="1243" t="s">
        <v>34</v>
      </c>
      <c r="W47" s="137" t="s">
        <v>34</v>
      </c>
      <c r="X47" s="137" t="s">
        <v>34</v>
      </c>
      <c r="Y47" s="137" t="s">
        <v>34</v>
      </c>
      <c r="Z47" s="160" t="s">
        <v>23</v>
      </c>
      <c r="AA47" s="160" t="s">
        <v>23</v>
      </c>
      <c r="AB47" s="137" t="s">
        <v>34</v>
      </c>
      <c r="AC47" s="137" t="s">
        <v>34</v>
      </c>
      <c r="AD47" s="137" t="s">
        <v>34</v>
      </c>
      <c r="AE47" s="137" t="s">
        <v>34</v>
      </c>
      <c r="AF47" s="160" t="s">
        <v>23</v>
      </c>
      <c r="AG47" s="151" t="s">
        <v>23</v>
      </c>
      <c r="AI47" s="227">
        <f>VLOOKUP(B47,'SEP25'!B:AJ,35,0)</f>
        <v>15</v>
      </c>
      <c r="AJ47" s="225">
        <f t="shared" si="8"/>
        <v>8</v>
      </c>
      <c r="AK47" s="230">
        <f t="shared" si="9"/>
        <v>7</v>
      </c>
    </row>
    <row r="48" spans="1:37" ht="19.5" customHeight="1">
      <c r="A48" s="602" t="s">
        <v>151</v>
      </c>
      <c r="B48" s="896" t="s">
        <v>152</v>
      </c>
      <c r="C48" s="1156" t="s">
        <v>147</v>
      </c>
      <c r="D48" s="1146" t="s">
        <v>147</v>
      </c>
      <c r="E48" s="1146" t="s">
        <v>147</v>
      </c>
      <c r="F48" s="160" t="s">
        <v>23</v>
      </c>
      <c r="G48" s="160" t="s">
        <v>23</v>
      </c>
      <c r="H48" s="1149" t="s">
        <v>144</v>
      </c>
      <c r="I48" s="1149" t="s">
        <v>144</v>
      </c>
      <c r="J48" s="1122" t="s">
        <v>181</v>
      </c>
      <c r="K48" s="138" t="s">
        <v>22</v>
      </c>
      <c r="L48" s="160" t="s">
        <v>23</v>
      </c>
      <c r="M48" s="160" t="s">
        <v>23</v>
      </c>
      <c r="N48" s="139" t="s">
        <v>24</v>
      </c>
      <c r="O48" s="139" t="s">
        <v>24</v>
      </c>
      <c r="P48" s="139" t="s">
        <v>24</v>
      </c>
      <c r="Q48" s="139" t="s">
        <v>24</v>
      </c>
      <c r="R48" s="1174" t="s">
        <v>23</v>
      </c>
      <c r="S48" s="160" t="s">
        <v>23</v>
      </c>
      <c r="T48" s="138" t="s">
        <v>22</v>
      </c>
      <c r="U48" s="138" t="s">
        <v>22</v>
      </c>
      <c r="V48" s="142" t="s">
        <v>22</v>
      </c>
      <c r="W48" s="138" t="s">
        <v>22</v>
      </c>
      <c r="X48" s="160" t="s">
        <v>23</v>
      </c>
      <c r="Y48" s="160" t="s">
        <v>23</v>
      </c>
      <c r="Z48" s="139" t="s">
        <v>24</v>
      </c>
      <c r="AA48" s="139" t="s">
        <v>24</v>
      </c>
      <c r="AB48" s="139" t="s">
        <v>24</v>
      </c>
      <c r="AC48" s="139" t="s">
        <v>24</v>
      </c>
      <c r="AD48" s="160" t="s">
        <v>23</v>
      </c>
      <c r="AE48" s="160" t="s">
        <v>23</v>
      </c>
      <c r="AF48" s="138" t="s">
        <v>22</v>
      </c>
      <c r="AG48" s="141" t="s">
        <v>22</v>
      </c>
      <c r="AI48" s="227">
        <v>7</v>
      </c>
      <c r="AJ48" s="225">
        <f t="shared" si="8"/>
        <v>0</v>
      </c>
      <c r="AK48" s="230">
        <f t="shared" si="9"/>
        <v>7</v>
      </c>
    </row>
    <row r="49" spans="1:37" ht="19.5" customHeight="1">
      <c r="A49" s="602" t="s">
        <v>113</v>
      </c>
      <c r="B49" s="896" t="s">
        <v>114</v>
      </c>
      <c r="C49" s="1138" t="s">
        <v>63</v>
      </c>
      <c r="D49" s="160" t="s">
        <v>23</v>
      </c>
      <c r="E49" s="160" t="s">
        <v>23</v>
      </c>
      <c r="F49" s="158" t="s">
        <v>19</v>
      </c>
      <c r="G49" s="158" t="s">
        <v>19</v>
      </c>
      <c r="H49" s="158" t="s">
        <v>19</v>
      </c>
      <c r="I49" s="158" t="s">
        <v>19</v>
      </c>
      <c r="J49" s="160" t="s">
        <v>23</v>
      </c>
      <c r="K49" s="160" t="s">
        <v>23</v>
      </c>
      <c r="L49" s="420" t="s">
        <v>63</v>
      </c>
      <c r="M49" s="420" t="s">
        <v>63</v>
      </c>
      <c r="N49" s="420" t="s">
        <v>63</v>
      </c>
      <c r="O49" s="420" t="s">
        <v>63</v>
      </c>
      <c r="P49" s="160" t="s">
        <v>23</v>
      </c>
      <c r="Q49" s="160" t="s">
        <v>23</v>
      </c>
      <c r="R49" s="1242" t="s">
        <v>24</v>
      </c>
      <c r="S49" s="139" t="s">
        <v>24</v>
      </c>
      <c r="T49" s="1146" t="s">
        <v>147</v>
      </c>
      <c r="U49" s="139" t="s">
        <v>24</v>
      </c>
      <c r="V49" s="326" t="s">
        <v>23</v>
      </c>
      <c r="W49" s="160" t="s">
        <v>23</v>
      </c>
      <c r="X49" s="438" t="s">
        <v>19</v>
      </c>
      <c r="Y49" s="438" t="s">
        <v>19</v>
      </c>
      <c r="Z49" s="438" t="s">
        <v>19</v>
      </c>
      <c r="AA49" s="438" t="s">
        <v>19</v>
      </c>
      <c r="AB49" s="438" t="s">
        <v>19</v>
      </c>
      <c r="AC49" s="438" t="s">
        <v>19</v>
      </c>
      <c r="AD49" s="438" t="s">
        <v>19</v>
      </c>
      <c r="AE49" s="438" t="s">
        <v>19</v>
      </c>
      <c r="AF49" s="438" t="s">
        <v>19</v>
      </c>
      <c r="AG49" s="438" t="s">
        <v>19</v>
      </c>
      <c r="AI49" s="227">
        <v>8</v>
      </c>
      <c r="AJ49" s="225">
        <f t="shared" si="8"/>
        <v>0</v>
      </c>
      <c r="AK49" s="230">
        <f t="shared" si="9"/>
        <v>8</v>
      </c>
    </row>
    <row r="50" spans="1:37" ht="19.5" customHeight="1">
      <c r="A50" s="602" t="s">
        <v>117</v>
      </c>
      <c r="B50" s="896" t="s">
        <v>118</v>
      </c>
      <c r="C50" s="1157" t="s">
        <v>34</v>
      </c>
      <c r="D50" s="137" t="s">
        <v>34</v>
      </c>
      <c r="E50" s="137" t="s">
        <v>34</v>
      </c>
      <c r="F50" s="160" t="s">
        <v>23</v>
      </c>
      <c r="G50" s="160" t="s">
        <v>23</v>
      </c>
      <c r="H50" s="138" t="s">
        <v>22</v>
      </c>
      <c r="I50" s="138" t="s">
        <v>22</v>
      </c>
      <c r="J50" s="138" t="s">
        <v>22</v>
      </c>
      <c r="K50" s="138" t="s">
        <v>22</v>
      </c>
      <c r="L50" s="160" t="s">
        <v>23</v>
      </c>
      <c r="M50" s="160" t="s">
        <v>23</v>
      </c>
      <c r="N50" s="1146" t="s">
        <v>147</v>
      </c>
      <c r="O50" s="1146" t="s">
        <v>147</v>
      </c>
      <c r="P50" s="1146" t="s">
        <v>147</v>
      </c>
      <c r="Q50" s="138" t="s">
        <v>22</v>
      </c>
      <c r="R50" s="160" t="s">
        <v>23</v>
      </c>
      <c r="S50" s="1246" t="s">
        <v>23</v>
      </c>
      <c r="T50" s="1247" t="s">
        <v>63</v>
      </c>
      <c r="U50" s="1247" t="s">
        <v>63</v>
      </c>
      <c r="V50" s="420" t="s">
        <v>63</v>
      </c>
      <c r="W50" s="420" t="s">
        <v>63</v>
      </c>
      <c r="X50" s="160" t="s">
        <v>23</v>
      </c>
      <c r="Y50" s="160" t="s">
        <v>23</v>
      </c>
      <c r="Z50" s="139" t="s">
        <v>24</v>
      </c>
      <c r="AA50" s="139" t="s">
        <v>24</v>
      </c>
      <c r="AB50" s="139" t="s">
        <v>24</v>
      </c>
      <c r="AC50" s="139" t="s">
        <v>24</v>
      </c>
      <c r="AD50" s="160" t="s">
        <v>23</v>
      </c>
      <c r="AE50" s="160" t="s">
        <v>23</v>
      </c>
      <c r="AF50" s="138" t="s">
        <v>22</v>
      </c>
      <c r="AG50" s="141" t="s">
        <v>22</v>
      </c>
      <c r="AI50" s="227">
        <v>7</v>
      </c>
      <c r="AJ50" s="225">
        <f t="shared" si="8"/>
        <v>3</v>
      </c>
      <c r="AK50" s="230">
        <f t="shared" si="9"/>
        <v>4</v>
      </c>
    </row>
    <row r="51" spans="1:37" ht="19.5" customHeight="1">
      <c r="A51" s="680" t="s">
        <v>119</v>
      </c>
      <c r="B51" s="991" t="s">
        <v>120</v>
      </c>
      <c r="C51" s="1139" t="s">
        <v>22</v>
      </c>
      <c r="D51" s="161" t="s">
        <v>23</v>
      </c>
      <c r="E51" s="161" t="s">
        <v>23</v>
      </c>
      <c r="F51" s="365" t="s">
        <v>34</v>
      </c>
      <c r="G51" s="1158" t="s">
        <v>30</v>
      </c>
      <c r="H51" s="365" t="s">
        <v>34</v>
      </c>
      <c r="I51" s="365" t="s">
        <v>34</v>
      </c>
      <c r="J51" s="161" t="s">
        <v>23</v>
      </c>
      <c r="K51" s="161" t="s">
        <v>23</v>
      </c>
      <c r="L51" s="365" t="s">
        <v>34</v>
      </c>
      <c r="M51" s="365" t="s">
        <v>34</v>
      </c>
      <c r="N51" s="365" t="s">
        <v>34</v>
      </c>
      <c r="O51" s="365" t="s">
        <v>34</v>
      </c>
      <c r="P51" s="161" t="s">
        <v>23</v>
      </c>
      <c r="Q51" s="161" t="s">
        <v>23</v>
      </c>
      <c r="R51" s="1159" t="s">
        <v>147</v>
      </c>
      <c r="S51" s="1159" t="s">
        <v>147</v>
      </c>
      <c r="T51" s="139" t="s">
        <v>24</v>
      </c>
      <c r="U51" s="1159" t="s">
        <v>147</v>
      </c>
      <c r="V51" s="161" t="s">
        <v>23</v>
      </c>
      <c r="W51" s="161" t="s">
        <v>23</v>
      </c>
      <c r="X51" s="481" t="s">
        <v>63</v>
      </c>
      <c r="Y51" s="481" t="s">
        <v>63</v>
      </c>
      <c r="Z51" s="481" t="s">
        <v>63</v>
      </c>
      <c r="AA51" s="481" t="s">
        <v>63</v>
      </c>
      <c r="AB51" s="161" t="s">
        <v>23</v>
      </c>
      <c r="AC51" s="161" t="s">
        <v>23</v>
      </c>
      <c r="AD51" s="1160" t="s">
        <v>24</v>
      </c>
      <c r="AE51" s="1160" t="s">
        <v>24</v>
      </c>
      <c r="AF51" s="1160" t="s">
        <v>24</v>
      </c>
      <c r="AG51" s="1161" t="s">
        <v>24</v>
      </c>
      <c r="AI51" s="241">
        <f>VLOOKUP(B51,'SEP25'!B:AJ,35,0)</f>
        <v>18</v>
      </c>
      <c r="AJ51" s="283">
        <f t="shared" si="8"/>
        <v>7</v>
      </c>
      <c r="AK51" s="288">
        <f t="shared" si="9"/>
        <v>11</v>
      </c>
    </row>
    <row r="52" spans="1:37" ht="9.9499999999999993" customHeight="1">
      <c r="A52" s="1"/>
      <c r="B52" s="1"/>
    </row>
    <row r="53" spans="1:37" ht="18">
      <c r="A53" s="801" t="s">
        <v>22</v>
      </c>
      <c r="B53" s="875"/>
      <c r="C53" s="218">
        <f t="shared" ref="C53:AG53" si="10">COUNTIF(C25:C51,$A$53)</f>
        <v>5</v>
      </c>
      <c r="D53" s="218">
        <f t="shared" si="10"/>
        <v>4</v>
      </c>
      <c r="E53" s="218">
        <f t="shared" si="10"/>
        <v>4</v>
      </c>
      <c r="F53" s="218">
        <f t="shared" si="10"/>
        <v>5</v>
      </c>
      <c r="G53" s="218">
        <f t="shared" si="10"/>
        <v>5</v>
      </c>
      <c r="H53" s="218">
        <f t="shared" si="10"/>
        <v>5</v>
      </c>
      <c r="I53" s="218">
        <f t="shared" si="10"/>
        <v>3</v>
      </c>
      <c r="J53" s="218">
        <f t="shared" si="10"/>
        <v>3</v>
      </c>
      <c r="K53" s="218">
        <f t="shared" si="10"/>
        <v>6</v>
      </c>
      <c r="L53" s="218">
        <f t="shared" si="10"/>
        <v>5</v>
      </c>
      <c r="M53" s="218">
        <f t="shared" si="10"/>
        <v>3</v>
      </c>
      <c r="N53" s="218">
        <f t="shared" si="10"/>
        <v>3</v>
      </c>
      <c r="O53" s="218">
        <f t="shared" si="10"/>
        <v>3</v>
      </c>
      <c r="P53" s="218">
        <f t="shared" si="10"/>
        <v>5</v>
      </c>
      <c r="Q53" s="218">
        <f t="shared" si="10"/>
        <v>5</v>
      </c>
      <c r="R53" s="218">
        <f t="shared" si="10"/>
        <v>3</v>
      </c>
      <c r="S53" s="218">
        <f t="shared" si="10"/>
        <v>4</v>
      </c>
      <c r="T53" s="218">
        <f t="shared" si="10"/>
        <v>5</v>
      </c>
      <c r="U53" s="218">
        <f t="shared" si="10"/>
        <v>5</v>
      </c>
      <c r="V53" s="218">
        <f t="shared" si="10"/>
        <v>6</v>
      </c>
      <c r="W53" s="218">
        <f t="shared" si="10"/>
        <v>7</v>
      </c>
      <c r="X53" s="218">
        <f t="shared" si="10"/>
        <v>5</v>
      </c>
      <c r="Y53" s="218">
        <f t="shared" si="10"/>
        <v>2</v>
      </c>
      <c r="Z53" s="218">
        <f t="shared" si="10"/>
        <v>4</v>
      </c>
      <c r="AA53" s="218">
        <f t="shared" si="10"/>
        <v>4</v>
      </c>
      <c r="AB53" s="218">
        <f t="shared" si="10"/>
        <v>5</v>
      </c>
      <c r="AC53" s="218">
        <f t="shared" si="10"/>
        <v>6</v>
      </c>
      <c r="AD53" s="218">
        <f t="shared" si="10"/>
        <v>4</v>
      </c>
      <c r="AE53" s="218">
        <f t="shared" si="10"/>
        <v>5</v>
      </c>
      <c r="AF53" s="218">
        <f t="shared" si="10"/>
        <v>7</v>
      </c>
      <c r="AG53" s="221">
        <f t="shared" si="10"/>
        <v>5</v>
      </c>
    </row>
    <row r="54" spans="1:37" ht="18">
      <c r="A54" s="802" t="s">
        <v>147</v>
      </c>
      <c r="B54" s="876"/>
      <c r="C54" s="225">
        <f t="shared" ref="C54:AG54" si="11">COUNTIF(C25:C51,$A$54)</f>
        <v>1</v>
      </c>
      <c r="D54" s="225">
        <f t="shared" si="11"/>
        <v>1</v>
      </c>
      <c r="E54" s="225">
        <f t="shared" si="11"/>
        <v>1</v>
      </c>
      <c r="F54" s="225">
        <f t="shared" si="11"/>
        <v>1</v>
      </c>
      <c r="G54" s="225">
        <f t="shared" si="11"/>
        <v>0</v>
      </c>
      <c r="H54" s="225">
        <f t="shared" si="11"/>
        <v>0</v>
      </c>
      <c r="I54" s="225">
        <f t="shared" si="11"/>
        <v>0</v>
      </c>
      <c r="J54" s="225">
        <f t="shared" si="11"/>
        <v>0</v>
      </c>
      <c r="K54" s="225">
        <f t="shared" si="11"/>
        <v>0</v>
      </c>
      <c r="L54" s="225">
        <f t="shared" si="11"/>
        <v>0</v>
      </c>
      <c r="M54" s="225">
        <f t="shared" si="11"/>
        <v>0</v>
      </c>
      <c r="N54" s="225">
        <f t="shared" si="11"/>
        <v>1</v>
      </c>
      <c r="O54" s="225">
        <f t="shared" si="11"/>
        <v>1</v>
      </c>
      <c r="P54" s="225">
        <f t="shared" si="11"/>
        <v>1</v>
      </c>
      <c r="Q54" s="225">
        <f t="shared" si="11"/>
        <v>0</v>
      </c>
      <c r="R54" s="225">
        <f t="shared" si="11"/>
        <v>1</v>
      </c>
      <c r="S54" s="225">
        <f t="shared" si="11"/>
        <v>1</v>
      </c>
      <c r="T54" s="225">
        <f t="shared" si="11"/>
        <v>1</v>
      </c>
      <c r="U54" s="225">
        <f t="shared" si="11"/>
        <v>1</v>
      </c>
      <c r="V54" s="225">
        <f t="shared" si="11"/>
        <v>0</v>
      </c>
      <c r="W54" s="225">
        <f t="shared" si="11"/>
        <v>0</v>
      </c>
      <c r="X54" s="225">
        <f t="shared" si="11"/>
        <v>0</v>
      </c>
      <c r="Y54" s="225">
        <f t="shared" si="11"/>
        <v>0</v>
      </c>
      <c r="Z54" s="225">
        <f t="shared" si="11"/>
        <v>1</v>
      </c>
      <c r="AA54" s="225">
        <f t="shared" si="11"/>
        <v>1</v>
      </c>
      <c r="AB54" s="225">
        <f t="shared" si="11"/>
        <v>0</v>
      </c>
      <c r="AC54" s="225">
        <f t="shared" si="11"/>
        <v>0</v>
      </c>
      <c r="AD54" s="225">
        <f t="shared" si="11"/>
        <v>0</v>
      </c>
      <c r="AE54" s="225">
        <f t="shared" si="11"/>
        <v>0</v>
      </c>
      <c r="AF54" s="225">
        <f t="shared" si="11"/>
        <v>0</v>
      </c>
      <c r="AG54" s="230">
        <f t="shared" si="11"/>
        <v>0</v>
      </c>
    </row>
    <row r="55" spans="1:37" ht="18">
      <c r="A55" s="725" t="s">
        <v>24</v>
      </c>
      <c r="B55" s="726"/>
      <c r="C55" s="225">
        <f>COUNTIF(C5:C52,"P14")+COUNTIF(C5:C52,"P14EW")</f>
        <v>8</v>
      </c>
      <c r="D55" s="225">
        <f t="shared" ref="D55:AG55" si="12">COUNTIF(D5:D52,"P14")+COUNTIF(D5:D52,"P14EW")</f>
        <v>9</v>
      </c>
      <c r="E55" s="225">
        <f t="shared" si="12"/>
        <v>8</v>
      </c>
      <c r="F55" s="225">
        <f t="shared" si="12"/>
        <v>5</v>
      </c>
      <c r="G55" s="225">
        <f t="shared" si="12"/>
        <v>5</v>
      </c>
      <c r="H55" s="225">
        <f t="shared" si="12"/>
        <v>6</v>
      </c>
      <c r="I55" s="225">
        <f t="shared" si="12"/>
        <v>5</v>
      </c>
      <c r="J55" s="225">
        <f t="shared" si="12"/>
        <v>7</v>
      </c>
      <c r="K55" s="225">
        <f t="shared" si="12"/>
        <v>8</v>
      </c>
      <c r="L55" s="225">
        <f t="shared" si="12"/>
        <v>6</v>
      </c>
      <c r="M55" s="225">
        <f t="shared" si="12"/>
        <v>6</v>
      </c>
      <c r="N55" s="225">
        <f t="shared" si="12"/>
        <v>7</v>
      </c>
      <c r="O55" s="225">
        <f t="shared" si="12"/>
        <v>7</v>
      </c>
      <c r="P55" s="225">
        <f>COUNTIF(P5:P52,"P14")+COUNTIF(P5:P52,"P14EW")</f>
        <v>8</v>
      </c>
      <c r="Q55" s="225">
        <f t="shared" si="12"/>
        <v>9</v>
      </c>
      <c r="R55" s="225">
        <f t="shared" si="12"/>
        <v>7</v>
      </c>
      <c r="S55" s="225">
        <f t="shared" si="12"/>
        <v>7</v>
      </c>
      <c r="T55" s="225">
        <f t="shared" si="12"/>
        <v>7</v>
      </c>
      <c r="U55" s="225">
        <f t="shared" si="12"/>
        <v>8</v>
      </c>
      <c r="V55" s="225">
        <f t="shared" si="12"/>
        <v>6</v>
      </c>
      <c r="W55" s="225">
        <f t="shared" si="12"/>
        <v>5</v>
      </c>
      <c r="X55" s="225">
        <f t="shared" si="12"/>
        <v>7</v>
      </c>
      <c r="Y55" s="225">
        <f t="shared" si="12"/>
        <v>8</v>
      </c>
      <c r="Z55" s="225">
        <f t="shared" si="12"/>
        <v>9</v>
      </c>
      <c r="AA55" s="225">
        <f t="shared" si="12"/>
        <v>8</v>
      </c>
      <c r="AB55" s="225">
        <f t="shared" si="12"/>
        <v>8</v>
      </c>
      <c r="AC55" s="225">
        <f t="shared" si="12"/>
        <v>9</v>
      </c>
      <c r="AD55" s="225">
        <f t="shared" si="12"/>
        <v>8</v>
      </c>
      <c r="AE55" s="225">
        <f t="shared" si="12"/>
        <v>7</v>
      </c>
      <c r="AF55" s="225">
        <f t="shared" si="12"/>
        <v>7</v>
      </c>
      <c r="AG55" s="225">
        <f t="shared" si="12"/>
        <v>8</v>
      </c>
    </row>
    <row r="56" spans="1:37" ht="20.25" thickBot="1">
      <c r="A56" s="727" t="s">
        <v>63</v>
      </c>
      <c r="B56" s="728"/>
      <c r="C56" s="283">
        <f t="shared" ref="C56:AG56" si="13">COUNTIF(C25:C51,$A$56)</f>
        <v>2</v>
      </c>
      <c r="D56" s="283">
        <f t="shared" si="13"/>
        <v>2</v>
      </c>
      <c r="E56" s="283">
        <f t="shared" si="13"/>
        <v>2</v>
      </c>
      <c r="F56" s="283">
        <f t="shared" si="13"/>
        <v>2</v>
      </c>
      <c r="G56" s="283">
        <f t="shared" si="13"/>
        <v>2</v>
      </c>
      <c r="H56" s="283">
        <f t="shared" si="13"/>
        <v>2</v>
      </c>
      <c r="I56" s="283">
        <f t="shared" si="13"/>
        <v>3</v>
      </c>
      <c r="J56" s="283">
        <f t="shared" si="13"/>
        <v>3</v>
      </c>
      <c r="K56" s="283">
        <f t="shared" si="13"/>
        <v>3</v>
      </c>
      <c r="L56" s="283">
        <f t="shared" si="13"/>
        <v>3</v>
      </c>
      <c r="M56" s="283">
        <f t="shared" si="13"/>
        <v>3</v>
      </c>
      <c r="N56" s="283">
        <f t="shared" si="13"/>
        <v>3</v>
      </c>
      <c r="O56" s="283">
        <f t="shared" si="13"/>
        <v>3</v>
      </c>
      <c r="P56" s="283">
        <f>COUNTIF(P25:P51,$A$56)</f>
        <v>2</v>
      </c>
      <c r="Q56" s="283">
        <f t="shared" si="13"/>
        <v>2</v>
      </c>
      <c r="R56" s="283">
        <f t="shared" si="13"/>
        <v>2</v>
      </c>
      <c r="S56" s="283">
        <f t="shared" si="13"/>
        <v>2</v>
      </c>
      <c r="T56" s="283">
        <f t="shared" si="13"/>
        <v>3</v>
      </c>
      <c r="U56" s="283">
        <f t="shared" si="13"/>
        <v>2</v>
      </c>
      <c r="V56" s="283">
        <f t="shared" si="13"/>
        <v>2</v>
      </c>
      <c r="W56" s="283">
        <f t="shared" si="13"/>
        <v>2</v>
      </c>
      <c r="X56" s="283">
        <f t="shared" si="13"/>
        <v>2</v>
      </c>
      <c r="Y56" s="283">
        <f t="shared" si="13"/>
        <v>2</v>
      </c>
      <c r="Z56" s="283">
        <f t="shared" si="13"/>
        <v>2</v>
      </c>
      <c r="AA56" s="283">
        <f t="shared" si="13"/>
        <v>2</v>
      </c>
      <c r="AB56" s="283">
        <f>COUNTIF(AB25:AB51,$A$56)</f>
        <v>1</v>
      </c>
      <c r="AC56" s="283">
        <f t="shared" si="13"/>
        <v>1</v>
      </c>
      <c r="AD56" s="283">
        <f t="shared" si="13"/>
        <v>1</v>
      </c>
      <c r="AE56" s="283">
        <f t="shared" si="13"/>
        <v>1</v>
      </c>
      <c r="AF56" s="283">
        <f t="shared" si="13"/>
        <v>1</v>
      </c>
      <c r="AG56" s="288">
        <f t="shared" si="13"/>
        <v>2</v>
      </c>
    </row>
    <row r="57" spans="1:37" ht="20.100000000000001" customHeight="1"/>
    <row r="58" spans="1:37" ht="24.95" customHeight="1">
      <c r="A58" s="908" t="s">
        <v>126</v>
      </c>
      <c r="B58" s="859"/>
      <c r="C58" s="1259"/>
      <c r="D58" s="1260"/>
      <c r="E58" s="1260"/>
      <c r="F58" s="1260"/>
      <c r="G58" s="1260"/>
      <c r="H58" s="1260"/>
      <c r="I58" s="1260"/>
      <c r="J58" s="1260"/>
      <c r="K58" s="1260"/>
      <c r="L58" s="1260"/>
      <c r="M58" s="1260"/>
      <c r="N58" s="1260"/>
      <c r="O58" s="1260"/>
      <c r="P58" s="1260"/>
      <c r="Q58" s="1260"/>
      <c r="R58" s="1260"/>
      <c r="S58" s="1260"/>
      <c r="T58" s="1260"/>
      <c r="U58" s="1260"/>
      <c r="V58" s="1260"/>
      <c r="W58" s="1260"/>
      <c r="X58" s="1260"/>
      <c r="Y58" s="1260"/>
      <c r="Z58" s="1260"/>
      <c r="AA58" s="1260"/>
      <c r="AB58" s="1260"/>
      <c r="AC58" s="1260"/>
      <c r="AD58" s="1260"/>
      <c r="AE58" s="1260"/>
      <c r="AF58" s="1260"/>
      <c r="AG58" s="1261"/>
    </row>
    <row r="59" spans="1:37" ht="18.75" customHeight="1">
      <c r="A59" s="602" t="s">
        <v>127</v>
      </c>
      <c r="B59" s="896" t="s">
        <v>128</v>
      </c>
      <c r="C59" s="1262" t="s">
        <v>125</v>
      </c>
      <c r="D59" s="159" t="s">
        <v>23</v>
      </c>
      <c r="E59" s="159" t="s">
        <v>23</v>
      </c>
      <c r="F59" s="411" t="s">
        <v>34</v>
      </c>
      <c r="G59" s="1254" t="s">
        <v>30</v>
      </c>
      <c r="H59" s="411" t="s">
        <v>34</v>
      </c>
      <c r="I59" s="411" t="s">
        <v>34</v>
      </c>
      <c r="J59" s="159" t="s">
        <v>23</v>
      </c>
      <c r="K59" s="159" t="s">
        <v>23</v>
      </c>
      <c r="L59" s="411" t="s">
        <v>34</v>
      </c>
      <c r="M59" s="411" t="s">
        <v>34</v>
      </c>
      <c r="N59" s="411" t="s">
        <v>34</v>
      </c>
      <c r="O59" s="411" t="s">
        <v>34</v>
      </c>
      <c r="P59" s="159" t="s">
        <v>23</v>
      </c>
      <c r="Q59" s="159" t="s">
        <v>23</v>
      </c>
      <c r="R59" s="411" t="s">
        <v>34</v>
      </c>
      <c r="S59" s="411" t="s">
        <v>34</v>
      </c>
      <c r="T59" s="411" t="s">
        <v>34</v>
      </c>
      <c r="U59" s="411" t="s">
        <v>34</v>
      </c>
      <c r="V59" s="159" t="s">
        <v>23</v>
      </c>
      <c r="W59" s="159" t="s">
        <v>23</v>
      </c>
      <c r="X59" s="205" t="s">
        <v>125</v>
      </c>
      <c r="Y59" s="205" t="s">
        <v>125</v>
      </c>
      <c r="Z59" s="205" t="s">
        <v>125</v>
      </c>
      <c r="AA59" s="205" t="s">
        <v>125</v>
      </c>
      <c r="AB59" s="159" t="s">
        <v>23</v>
      </c>
      <c r="AC59" s="159" t="s">
        <v>23</v>
      </c>
      <c r="AD59" s="206" t="s">
        <v>83</v>
      </c>
      <c r="AE59" s="206" t="s">
        <v>83</v>
      </c>
      <c r="AF59" s="206" t="s">
        <v>83</v>
      </c>
      <c r="AG59" s="1263" t="s">
        <v>83</v>
      </c>
      <c r="AI59" s="220">
        <f>VLOOKUP(B59,'SEP25'!B:AJ,35,0)</f>
        <v>12</v>
      </c>
      <c r="AJ59" s="218">
        <f t="shared" ref="AJ59:AJ63" si="14">COUNTIF(C59:AG59,"u")</f>
        <v>11</v>
      </c>
      <c r="AK59" s="221">
        <f t="shared" ref="AK59:AK63" si="15">AI59-AJ59</f>
        <v>1</v>
      </c>
    </row>
    <row r="60" spans="1:37" ht="18.75" customHeight="1">
      <c r="A60" s="602" t="s">
        <v>129</v>
      </c>
      <c r="B60" s="896" t="s">
        <v>130</v>
      </c>
      <c r="C60" s="1264" t="s">
        <v>83</v>
      </c>
      <c r="D60" s="206" t="s">
        <v>83</v>
      </c>
      <c r="E60" s="206" t="s">
        <v>83</v>
      </c>
      <c r="F60" s="159" t="s">
        <v>23</v>
      </c>
      <c r="G60" s="159" t="s">
        <v>23</v>
      </c>
      <c r="H60" s="205" t="s">
        <v>125</v>
      </c>
      <c r="I60" s="205" t="s">
        <v>125</v>
      </c>
      <c r="J60" s="205" t="s">
        <v>125</v>
      </c>
      <c r="K60" s="205" t="s">
        <v>125</v>
      </c>
      <c r="L60" s="159" t="s">
        <v>23</v>
      </c>
      <c r="M60" s="159" t="s">
        <v>23</v>
      </c>
      <c r="N60" s="206" t="s">
        <v>83</v>
      </c>
      <c r="O60" s="206" t="s">
        <v>83</v>
      </c>
      <c r="P60" s="206" t="s">
        <v>83</v>
      </c>
      <c r="Q60" s="206" t="s">
        <v>83</v>
      </c>
      <c r="R60" s="159" t="s">
        <v>23</v>
      </c>
      <c r="S60" s="159" t="s">
        <v>23</v>
      </c>
      <c r="T60" s="205" t="s">
        <v>125</v>
      </c>
      <c r="U60" s="205" t="s">
        <v>125</v>
      </c>
      <c r="V60" s="205" t="s">
        <v>125</v>
      </c>
      <c r="W60" s="205" t="s">
        <v>125</v>
      </c>
      <c r="X60" s="159" t="s">
        <v>23</v>
      </c>
      <c r="Y60" s="159" t="s">
        <v>23</v>
      </c>
      <c r="Z60" s="206" t="s">
        <v>83</v>
      </c>
      <c r="AA60" s="206" t="s">
        <v>83</v>
      </c>
      <c r="AB60" s="206" t="s">
        <v>83</v>
      </c>
      <c r="AC60" s="206" t="s">
        <v>83</v>
      </c>
      <c r="AD60" s="159" t="s">
        <v>23</v>
      </c>
      <c r="AE60" s="159" t="s">
        <v>23</v>
      </c>
      <c r="AF60" s="205" t="s">
        <v>125</v>
      </c>
      <c r="AG60" s="1265" t="s">
        <v>125</v>
      </c>
      <c r="AI60" s="227">
        <f>VLOOKUP(B60,'SEP25'!B:AJ,35,0)</f>
        <v>6</v>
      </c>
      <c r="AJ60" s="225">
        <f t="shared" si="14"/>
        <v>0</v>
      </c>
      <c r="AK60" s="230">
        <f t="shared" si="15"/>
        <v>6</v>
      </c>
    </row>
    <row r="61" spans="1:37" ht="18.75" customHeight="1">
      <c r="A61" s="602" t="s">
        <v>187</v>
      </c>
      <c r="B61" s="896" t="s">
        <v>188</v>
      </c>
      <c r="C61" s="193" t="s">
        <v>23</v>
      </c>
      <c r="D61" s="1266" t="s">
        <v>103</v>
      </c>
      <c r="E61" s="1266" t="s">
        <v>103</v>
      </c>
      <c r="F61" s="1266" t="s">
        <v>103</v>
      </c>
      <c r="G61" s="1266" t="s">
        <v>103</v>
      </c>
      <c r="H61" s="188" t="s">
        <v>23</v>
      </c>
      <c r="I61" s="188" t="s">
        <v>23</v>
      </c>
      <c r="J61" s="1267" t="s">
        <v>83</v>
      </c>
      <c r="K61" s="1267" t="s">
        <v>83</v>
      </c>
      <c r="L61" s="1267" t="s">
        <v>83</v>
      </c>
      <c r="M61" s="1267" t="s">
        <v>83</v>
      </c>
      <c r="N61" s="188" t="s">
        <v>23</v>
      </c>
      <c r="O61" s="188" t="s">
        <v>23</v>
      </c>
      <c r="P61" s="1266" t="s">
        <v>103</v>
      </c>
      <c r="Q61" s="1266" t="s">
        <v>103</v>
      </c>
      <c r="R61" s="1266" t="s">
        <v>103</v>
      </c>
      <c r="S61" s="1266" t="s">
        <v>103</v>
      </c>
      <c r="T61" s="188" t="s">
        <v>23</v>
      </c>
      <c r="U61" s="188" t="s">
        <v>23</v>
      </c>
      <c r="V61" s="1267" t="s">
        <v>83</v>
      </c>
      <c r="W61" s="1267" t="s">
        <v>83</v>
      </c>
      <c r="X61" s="1267" t="s">
        <v>83</v>
      </c>
      <c r="Y61" s="1267" t="s">
        <v>83</v>
      </c>
      <c r="Z61" s="188" t="s">
        <v>23</v>
      </c>
      <c r="AA61" s="188" t="s">
        <v>23</v>
      </c>
      <c r="AB61" s="1266" t="s">
        <v>103</v>
      </c>
      <c r="AC61" s="1266" t="s">
        <v>103</v>
      </c>
      <c r="AD61" s="1270" t="s">
        <v>84</v>
      </c>
      <c r="AE61" s="1266" t="s">
        <v>103</v>
      </c>
      <c r="AF61" s="188" t="s">
        <v>23</v>
      </c>
      <c r="AG61" s="186" t="s">
        <v>23</v>
      </c>
      <c r="AI61" s="227">
        <f>VLOOKUP(B61,'SEP25'!B:AJ,35,0)</f>
        <v>4</v>
      </c>
      <c r="AJ61" s="225">
        <f t="shared" ref="AJ61" si="16">COUNTIF(C61:AG61,"u")</f>
        <v>0</v>
      </c>
      <c r="AK61" s="230">
        <f t="shared" ref="AK61" si="17">AI61-AJ61</f>
        <v>4</v>
      </c>
    </row>
    <row r="62" spans="1:37" ht="18.75" customHeight="1">
      <c r="A62" s="602" t="s">
        <v>121</v>
      </c>
      <c r="B62" s="535" t="s">
        <v>122</v>
      </c>
      <c r="C62" s="1255" t="s">
        <v>19</v>
      </c>
      <c r="D62" s="1256" t="s">
        <v>19</v>
      </c>
      <c r="E62" s="1257" t="s">
        <v>19</v>
      </c>
      <c r="F62" s="1257" t="s">
        <v>19</v>
      </c>
      <c r="G62" s="1257" t="s">
        <v>19</v>
      </c>
      <c r="H62" s="1257" t="s">
        <v>19</v>
      </c>
      <c r="I62" s="1257" t="s">
        <v>19</v>
      </c>
      <c r="J62" s="1257" t="s">
        <v>19</v>
      </c>
      <c r="K62" s="1257" t="s">
        <v>19</v>
      </c>
      <c r="L62" s="1257" t="s">
        <v>19</v>
      </c>
      <c r="M62" s="1257" t="s">
        <v>19</v>
      </c>
      <c r="N62" s="1257" t="s">
        <v>19</v>
      </c>
      <c r="O62" s="1257" t="s">
        <v>19</v>
      </c>
      <c r="P62" s="1257" t="s">
        <v>19</v>
      </c>
      <c r="Q62" s="1257" t="s">
        <v>19</v>
      </c>
      <c r="R62" s="1257" t="s">
        <v>19</v>
      </c>
      <c r="S62" s="1257" t="s">
        <v>19</v>
      </c>
      <c r="T62" s="1257" t="s">
        <v>19</v>
      </c>
      <c r="U62" s="1257" t="s">
        <v>19</v>
      </c>
      <c r="V62" s="1257" t="s">
        <v>19</v>
      </c>
      <c r="W62" s="1257" t="s">
        <v>19</v>
      </c>
      <c r="X62" s="1257" t="s">
        <v>19</v>
      </c>
      <c r="Y62" s="1257" t="s">
        <v>19</v>
      </c>
      <c r="Z62" s="1257" t="s">
        <v>19</v>
      </c>
      <c r="AA62" s="1257" t="s">
        <v>19</v>
      </c>
      <c r="AB62" s="1257" t="s">
        <v>19</v>
      </c>
      <c r="AC62" s="1257" t="s">
        <v>19</v>
      </c>
      <c r="AD62" s="1257" t="s">
        <v>19</v>
      </c>
      <c r="AE62" s="1257" t="s">
        <v>19</v>
      </c>
      <c r="AF62" s="1257" t="s">
        <v>19</v>
      </c>
      <c r="AG62" s="1258" t="s">
        <v>19</v>
      </c>
      <c r="AI62" s="227">
        <f>VLOOKUP(B62,'SEP25'!B:AJ,35,0)</f>
        <v>0</v>
      </c>
      <c r="AJ62" s="225">
        <f t="shared" ref="AJ62" si="18">COUNTIF(C62:AG62,"u")</f>
        <v>0</v>
      </c>
      <c r="AK62" s="230">
        <f t="shared" ref="AK62" si="19">AI62-AJ62</f>
        <v>0</v>
      </c>
    </row>
    <row r="63" spans="1:37" ht="18.75" customHeight="1">
      <c r="A63" s="680" t="s">
        <v>131</v>
      </c>
      <c r="B63" s="550" t="s">
        <v>132</v>
      </c>
      <c r="C63" s="1253" t="s">
        <v>23</v>
      </c>
      <c r="D63" s="1248" t="s">
        <v>23</v>
      </c>
      <c r="E63" s="1249" t="s">
        <v>83</v>
      </c>
      <c r="F63" s="1249" t="s">
        <v>83</v>
      </c>
      <c r="G63" s="1249" t="s">
        <v>83</v>
      </c>
      <c r="H63" s="1250" t="s">
        <v>68</v>
      </c>
      <c r="I63" s="1249" t="s">
        <v>83</v>
      </c>
      <c r="J63" s="1045" t="s">
        <v>23</v>
      </c>
      <c r="K63" s="1045" t="s">
        <v>23</v>
      </c>
      <c r="L63" s="1251" t="s">
        <v>125</v>
      </c>
      <c r="M63" s="1251" t="s">
        <v>125</v>
      </c>
      <c r="N63" s="1251" t="s">
        <v>125</v>
      </c>
      <c r="O63" s="1251" t="s">
        <v>125</v>
      </c>
      <c r="P63" s="1045" t="s">
        <v>23</v>
      </c>
      <c r="Q63" s="1045" t="s">
        <v>23</v>
      </c>
      <c r="R63" s="1249" t="s">
        <v>83</v>
      </c>
      <c r="S63" s="1249" t="s">
        <v>83</v>
      </c>
      <c r="T63" s="1249" t="s">
        <v>83</v>
      </c>
      <c r="U63" s="1249" t="s">
        <v>83</v>
      </c>
      <c r="V63" s="1045" t="s">
        <v>23</v>
      </c>
      <c r="W63" s="1045" t="s">
        <v>23</v>
      </c>
      <c r="X63" s="1251" t="s">
        <v>125</v>
      </c>
      <c r="Y63" s="1251" t="s">
        <v>125</v>
      </c>
      <c r="Z63" s="1251" t="s">
        <v>50</v>
      </c>
      <c r="AA63" s="1045" t="s">
        <v>23</v>
      </c>
      <c r="AB63" s="1045" t="s">
        <v>23</v>
      </c>
      <c r="AC63" s="1252" t="s">
        <v>144</v>
      </c>
      <c r="AD63" s="1252" t="s">
        <v>144</v>
      </c>
      <c r="AE63" s="1252" t="s">
        <v>144</v>
      </c>
      <c r="AF63" s="1252" t="s">
        <v>144</v>
      </c>
      <c r="AG63" s="1252" t="s">
        <v>144</v>
      </c>
      <c r="AI63" s="241">
        <f>VLOOKUP(B63,'SEP25'!B:AJ,35,0)</f>
        <v>12</v>
      </c>
      <c r="AJ63" s="283">
        <f t="shared" si="14"/>
        <v>0</v>
      </c>
      <c r="AK63" s="288">
        <f t="shared" si="15"/>
        <v>12</v>
      </c>
    </row>
    <row r="64" spans="1:37" ht="9.9499999999999993" customHeight="1">
      <c r="A64" s="1"/>
      <c r="B64" s="1"/>
    </row>
    <row r="65" spans="1:37" ht="18">
      <c r="A65" s="719" t="s">
        <v>125</v>
      </c>
      <c r="B65" s="720"/>
      <c r="C65" s="218">
        <f t="shared" ref="C65:AG65" si="20">COUNTIF(C45:C51,$A$65)+COUNTIF(C59:C63,$A$65)</f>
        <v>1</v>
      </c>
      <c r="D65" s="218">
        <f t="shared" si="20"/>
        <v>0</v>
      </c>
      <c r="E65" s="218">
        <f t="shared" si="20"/>
        <v>0</v>
      </c>
      <c r="F65" s="218">
        <f t="shared" si="20"/>
        <v>0</v>
      </c>
      <c r="G65" s="218">
        <f t="shared" si="20"/>
        <v>0</v>
      </c>
      <c r="H65" s="218">
        <f t="shared" si="20"/>
        <v>1</v>
      </c>
      <c r="I65" s="218">
        <f t="shared" si="20"/>
        <v>1</v>
      </c>
      <c r="J65" s="218">
        <f t="shared" si="20"/>
        <v>1</v>
      </c>
      <c r="K65" s="218">
        <f t="shared" si="20"/>
        <v>1</v>
      </c>
      <c r="L65" s="218">
        <f t="shared" si="20"/>
        <v>1</v>
      </c>
      <c r="M65" s="218">
        <f t="shared" si="20"/>
        <v>1</v>
      </c>
      <c r="N65" s="218">
        <f t="shared" si="20"/>
        <v>1</v>
      </c>
      <c r="O65" s="218">
        <f t="shared" si="20"/>
        <v>1</v>
      </c>
      <c r="P65" s="218">
        <f t="shared" si="20"/>
        <v>0</v>
      </c>
      <c r="Q65" s="218">
        <f t="shared" si="20"/>
        <v>0</v>
      </c>
      <c r="R65" s="218">
        <f t="shared" si="20"/>
        <v>0</v>
      </c>
      <c r="S65" s="218">
        <f t="shared" si="20"/>
        <v>0</v>
      </c>
      <c r="T65" s="218">
        <f t="shared" si="20"/>
        <v>1</v>
      </c>
      <c r="U65" s="218">
        <f t="shared" si="20"/>
        <v>1</v>
      </c>
      <c r="V65" s="218">
        <f t="shared" si="20"/>
        <v>1</v>
      </c>
      <c r="W65" s="218">
        <f t="shared" si="20"/>
        <v>1</v>
      </c>
      <c r="X65" s="218">
        <f t="shared" si="20"/>
        <v>2</v>
      </c>
      <c r="Y65" s="218">
        <f t="shared" si="20"/>
        <v>2</v>
      </c>
      <c r="Z65" s="218">
        <f t="shared" si="20"/>
        <v>1</v>
      </c>
      <c r="AA65" s="218">
        <f t="shared" si="20"/>
        <v>1</v>
      </c>
      <c r="AB65" s="218">
        <f t="shared" si="20"/>
        <v>0</v>
      </c>
      <c r="AC65" s="218">
        <f t="shared" si="20"/>
        <v>0</v>
      </c>
      <c r="AD65" s="218">
        <f t="shared" si="20"/>
        <v>1</v>
      </c>
      <c r="AE65" s="218">
        <f t="shared" si="20"/>
        <v>0</v>
      </c>
      <c r="AF65" s="218">
        <f t="shared" si="20"/>
        <v>1</v>
      </c>
      <c r="AG65" s="221">
        <f t="shared" si="20"/>
        <v>1</v>
      </c>
    </row>
    <row r="66" spans="1:37" ht="18.75" thickBot="1">
      <c r="A66" s="733" t="s">
        <v>83</v>
      </c>
      <c r="B66" s="734"/>
      <c r="C66" s="283">
        <f t="shared" ref="C66:AG66" si="21">COUNTIF(C45:C51,$A$66)+COUNTIF(C59:C63,$A$66)</f>
        <v>1</v>
      </c>
      <c r="D66" s="283">
        <f t="shared" si="21"/>
        <v>1</v>
      </c>
      <c r="E66" s="283">
        <f t="shared" si="21"/>
        <v>2</v>
      </c>
      <c r="F66" s="283">
        <f t="shared" si="21"/>
        <v>1</v>
      </c>
      <c r="G66" s="283">
        <f t="shared" si="21"/>
        <v>1</v>
      </c>
      <c r="H66" s="283">
        <f t="shared" si="21"/>
        <v>0</v>
      </c>
      <c r="I66" s="283">
        <f t="shared" si="21"/>
        <v>1</v>
      </c>
      <c r="J66" s="283">
        <f t="shared" si="21"/>
        <v>1</v>
      </c>
      <c r="K66" s="283">
        <f t="shared" si="21"/>
        <v>1</v>
      </c>
      <c r="L66" s="283">
        <f t="shared" si="21"/>
        <v>1</v>
      </c>
      <c r="M66" s="283">
        <f t="shared" si="21"/>
        <v>1</v>
      </c>
      <c r="N66" s="283">
        <f t="shared" si="21"/>
        <v>1</v>
      </c>
      <c r="O66" s="283">
        <f t="shared" si="21"/>
        <v>1</v>
      </c>
      <c r="P66" s="283">
        <f t="shared" si="21"/>
        <v>1</v>
      </c>
      <c r="Q66" s="283">
        <f t="shared" si="21"/>
        <v>1</v>
      </c>
      <c r="R66" s="283">
        <f t="shared" si="21"/>
        <v>1</v>
      </c>
      <c r="S66" s="283">
        <f t="shared" si="21"/>
        <v>1</v>
      </c>
      <c r="T66" s="283">
        <f t="shared" si="21"/>
        <v>1</v>
      </c>
      <c r="U66" s="283">
        <f t="shared" si="21"/>
        <v>1</v>
      </c>
      <c r="V66" s="283">
        <f t="shared" si="21"/>
        <v>1</v>
      </c>
      <c r="W66" s="283">
        <f t="shared" si="21"/>
        <v>1</v>
      </c>
      <c r="X66" s="283">
        <f t="shared" si="21"/>
        <v>1</v>
      </c>
      <c r="Y66" s="283">
        <f t="shared" si="21"/>
        <v>1</v>
      </c>
      <c r="Z66" s="283">
        <f t="shared" si="21"/>
        <v>1</v>
      </c>
      <c r="AA66" s="283">
        <f t="shared" si="21"/>
        <v>1</v>
      </c>
      <c r="AB66" s="283">
        <f t="shared" si="21"/>
        <v>1</v>
      </c>
      <c r="AC66" s="283">
        <f t="shared" si="21"/>
        <v>1</v>
      </c>
      <c r="AD66" s="283">
        <f t="shared" si="21"/>
        <v>1</v>
      </c>
      <c r="AE66" s="283">
        <f t="shared" si="21"/>
        <v>1</v>
      </c>
      <c r="AF66" s="283">
        <f t="shared" si="21"/>
        <v>1</v>
      </c>
      <c r="AG66" s="288">
        <f t="shared" si="21"/>
        <v>1</v>
      </c>
    </row>
    <row r="69" spans="1:37">
      <c r="B69" s="922"/>
      <c r="C69" s="922"/>
      <c r="D69" s="922"/>
      <c r="E69" s="922"/>
      <c r="F69" s="922"/>
      <c r="G69" s="922"/>
      <c r="H69" s="922"/>
      <c r="I69" s="922"/>
      <c r="J69" s="922"/>
      <c r="K69" s="922"/>
      <c r="L69" s="922"/>
      <c r="M69" s="922"/>
      <c r="N69" s="922"/>
      <c r="O69" s="922"/>
      <c r="P69" s="922"/>
      <c r="Q69" s="922"/>
      <c r="R69" s="922"/>
      <c r="S69" s="922"/>
      <c r="T69" s="922"/>
      <c r="U69" s="922"/>
      <c r="V69" s="922"/>
      <c r="W69" s="922"/>
      <c r="X69" s="922"/>
      <c r="Y69" s="922"/>
      <c r="Z69" s="922"/>
      <c r="AA69" s="922"/>
      <c r="AB69" s="922"/>
      <c r="AC69" s="922"/>
      <c r="AD69" s="922"/>
      <c r="AE69" s="922"/>
      <c r="AF69" s="922"/>
      <c r="AG69" s="922"/>
      <c r="AH69" s="922"/>
      <c r="AI69" s="922"/>
      <c r="AJ69" s="922"/>
      <c r="AK69" s="922"/>
    </row>
  </sheetData>
  <mergeCells count="3">
    <mergeCell ref="AI3:AI4"/>
    <mergeCell ref="AJ3:AJ4"/>
    <mergeCell ref="AK3:AK4"/>
  </mergeCells>
  <conditionalFormatting sqref="C56:AG56">
    <cfRule type="cellIs" dxfId="12" priority="2" operator="lessThan">
      <formula>1.5</formula>
    </cfRule>
    <cfRule type="cellIs" dxfId="11" priority="3" operator="lessThan">
      <formula>2.5</formula>
    </cfRule>
  </conditionalFormatting>
  <conditionalFormatting sqref="C65:AG66">
    <cfRule type="cellIs" dxfId="10" priority="1" operator="lessThan">
      <formula>0.5</formula>
    </cfRule>
  </conditionalFormatting>
  <conditionalFormatting sqref="AG23">
    <cfRule type="cellIs" dxfId="9" priority="4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BEB7-787B-458D-9B17-67A0A622C883}">
  <dimension ref="A1:AL69"/>
  <sheetViews>
    <sheetView showGridLines="0" tabSelected="1" zoomScale="70" zoomScaleNormal="70" workbookViewId="0">
      <pane xSplit="1" ySplit="4" topLeftCell="B45" activePane="bottomRight" state="frozen"/>
      <selection pane="bottomRight" activeCell="K51" sqref="K51:N51"/>
      <selection pane="bottomLeft" activeCell="A20" activeCellId="2" sqref="A5:XFD12 A14:XFD18 A20:XFD24"/>
      <selection pane="topRight" activeCell="A20" activeCellId="2" sqref="A5:XFD12 A14:XFD18 A20:XFD24"/>
    </sheetView>
  </sheetViews>
  <sheetFormatPr defaultColWidth="9.140625" defaultRowHeight="15"/>
  <cols>
    <col min="1" max="2" width="42.5703125" customWidth="1"/>
  </cols>
  <sheetData>
    <row r="1" spans="1:36" ht="20.100000000000001" customHeight="1" thickBot="1">
      <c r="A1" s="906"/>
      <c r="B1" s="584" t="s">
        <v>0</v>
      </c>
      <c r="C1" s="904" t="s">
        <v>1</v>
      </c>
      <c r="D1" s="970"/>
      <c r="E1" s="970"/>
      <c r="F1" s="970"/>
      <c r="G1" s="970"/>
      <c r="H1" s="970"/>
      <c r="I1" s="970"/>
      <c r="J1" s="970"/>
      <c r="K1" s="970"/>
      <c r="L1" s="970"/>
      <c r="M1" s="970"/>
      <c r="N1" s="970"/>
      <c r="O1" s="970"/>
      <c r="P1" s="970"/>
      <c r="Q1" s="970"/>
      <c r="R1" s="970"/>
      <c r="S1" s="970"/>
      <c r="T1" s="970"/>
      <c r="U1" s="970"/>
      <c r="V1" s="970"/>
      <c r="W1" s="970"/>
      <c r="X1" s="970"/>
      <c r="Y1" s="970"/>
      <c r="Z1" s="970"/>
      <c r="AA1" s="970"/>
      <c r="AB1" s="970"/>
      <c r="AC1" s="970"/>
      <c r="AD1" s="970"/>
      <c r="AE1" s="970"/>
      <c r="AF1" s="971"/>
    </row>
    <row r="2" spans="1:36" ht="30" customHeight="1" thickBot="1">
      <c r="A2" s="588" t="s">
        <v>2</v>
      </c>
      <c r="B2" s="552"/>
      <c r="C2" s="574" t="s">
        <v>204</v>
      </c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2"/>
      <c r="AB2" s="572"/>
      <c r="AC2" s="572"/>
      <c r="AD2" s="572"/>
      <c r="AE2" s="572"/>
      <c r="AF2" s="735"/>
      <c r="AH2" s="618" t="s">
        <v>5</v>
      </c>
      <c r="AI2" s="619"/>
      <c r="AJ2" s="620"/>
    </row>
    <row r="3" spans="1:36" ht="24.95" customHeight="1">
      <c r="A3" s="590" t="s">
        <v>0</v>
      </c>
      <c r="B3" s="464" t="s">
        <v>0</v>
      </c>
      <c r="C3" s="707" t="s">
        <v>9</v>
      </c>
      <c r="D3" s="705" t="s">
        <v>10</v>
      </c>
      <c r="E3" s="630" t="s">
        <v>11</v>
      </c>
      <c r="F3" s="630" t="s">
        <v>12</v>
      </c>
      <c r="G3" s="630" t="s">
        <v>6</v>
      </c>
      <c r="H3" s="630" t="s">
        <v>7</v>
      </c>
      <c r="I3" s="630" t="s">
        <v>8</v>
      </c>
      <c r="J3" s="705" t="s">
        <v>9</v>
      </c>
      <c r="K3" s="705" t="s">
        <v>10</v>
      </c>
      <c r="L3" s="630" t="s">
        <v>11</v>
      </c>
      <c r="M3" s="630" t="s">
        <v>12</v>
      </c>
      <c r="N3" s="630" t="s">
        <v>6</v>
      </c>
      <c r="O3" s="630" t="s">
        <v>7</v>
      </c>
      <c r="P3" s="630" t="s">
        <v>8</v>
      </c>
      <c r="Q3" s="705" t="s">
        <v>9</v>
      </c>
      <c r="R3" s="705" t="s">
        <v>10</v>
      </c>
      <c r="S3" s="630" t="s">
        <v>11</v>
      </c>
      <c r="T3" s="630" t="s">
        <v>12</v>
      </c>
      <c r="U3" s="630" t="s">
        <v>6</v>
      </c>
      <c r="V3" s="630" t="s">
        <v>7</v>
      </c>
      <c r="W3" s="630" t="s">
        <v>8</v>
      </c>
      <c r="X3" s="705" t="s">
        <v>9</v>
      </c>
      <c r="Y3" s="705" t="s">
        <v>10</v>
      </c>
      <c r="Z3" s="630" t="s">
        <v>11</v>
      </c>
      <c r="AA3" s="630" t="s">
        <v>12</v>
      </c>
      <c r="AB3" s="630" t="s">
        <v>6</v>
      </c>
      <c r="AC3" s="630" t="s">
        <v>7</v>
      </c>
      <c r="AD3" s="630" t="s">
        <v>8</v>
      </c>
      <c r="AE3" s="705" t="s">
        <v>9</v>
      </c>
      <c r="AF3" s="867" t="s">
        <v>10</v>
      </c>
      <c r="AH3" s="1401">
        <v>2025</v>
      </c>
      <c r="AI3" s="1397" t="s">
        <v>13</v>
      </c>
      <c r="AJ3" s="1399" t="s">
        <v>14</v>
      </c>
    </row>
    <row r="4" spans="1:36" ht="24.95" customHeight="1">
      <c r="A4" s="591" t="s">
        <v>15</v>
      </c>
      <c r="B4" s="466" t="s">
        <v>16</v>
      </c>
      <c r="C4" s="1216">
        <v>1</v>
      </c>
      <c r="D4" s="1217">
        <v>2</v>
      </c>
      <c r="E4" s="40">
        <v>3</v>
      </c>
      <c r="F4" s="40">
        <v>4</v>
      </c>
      <c r="G4" s="40">
        <v>5</v>
      </c>
      <c r="H4" s="40">
        <v>6</v>
      </c>
      <c r="I4" s="40">
        <v>7</v>
      </c>
      <c r="J4" s="1217">
        <v>8</v>
      </c>
      <c r="K4" s="1217">
        <v>9</v>
      </c>
      <c r="L4" s="40">
        <v>10</v>
      </c>
      <c r="M4" s="40">
        <v>11</v>
      </c>
      <c r="N4" s="40">
        <v>12</v>
      </c>
      <c r="O4" s="40">
        <v>13</v>
      </c>
      <c r="P4" s="40">
        <v>14</v>
      </c>
      <c r="Q4" s="1217">
        <v>15</v>
      </c>
      <c r="R4" s="1217">
        <v>16</v>
      </c>
      <c r="S4" s="40">
        <v>17</v>
      </c>
      <c r="T4" s="40">
        <v>18</v>
      </c>
      <c r="U4" s="40">
        <v>19</v>
      </c>
      <c r="V4" s="40">
        <v>20</v>
      </c>
      <c r="W4" s="40">
        <v>21</v>
      </c>
      <c r="X4" s="1217">
        <v>22</v>
      </c>
      <c r="Y4" s="1217">
        <v>23</v>
      </c>
      <c r="Z4" s="40">
        <v>24</v>
      </c>
      <c r="AA4" s="40">
        <v>25</v>
      </c>
      <c r="AB4" s="40">
        <v>26</v>
      </c>
      <c r="AC4" s="40">
        <v>27</v>
      </c>
      <c r="AD4" s="40">
        <v>28</v>
      </c>
      <c r="AE4" s="1217">
        <v>29</v>
      </c>
      <c r="AF4" s="215">
        <v>30</v>
      </c>
      <c r="AH4" s="1405"/>
      <c r="AI4" s="1406"/>
      <c r="AJ4" s="1407"/>
    </row>
    <row r="5" spans="1:36" ht="18.75" customHeight="1">
      <c r="A5" s="972" t="s">
        <v>17</v>
      </c>
      <c r="B5" s="1215" t="s">
        <v>18</v>
      </c>
      <c r="C5" s="1167" t="s">
        <v>191</v>
      </c>
      <c r="D5" s="1204" t="s">
        <v>191</v>
      </c>
      <c r="E5" s="1204" t="s">
        <v>191</v>
      </c>
      <c r="F5" s="1204" t="s">
        <v>191</v>
      </c>
      <c r="G5" s="1204" t="s">
        <v>191</v>
      </c>
      <c r="H5" s="1204" t="s">
        <v>191</v>
      </c>
      <c r="I5" s="1204" t="s">
        <v>191</v>
      </c>
      <c r="J5" s="1204" t="s">
        <v>191</v>
      </c>
      <c r="K5" s="1204" t="s">
        <v>191</v>
      </c>
      <c r="L5" s="1205" t="s">
        <v>191</v>
      </c>
      <c r="M5" s="1205" t="s">
        <v>191</v>
      </c>
      <c r="N5" s="1205" t="s">
        <v>191</v>
      </c>
      <c r="O5" s="1205" t="s">
        <v>191</v>
      </c>
      <c r="P5" s="1205" t="s">
        <v>191</v>
      </c>
      <c r="Q5" s="1205" t="s">
        <v>191</v>
      </c>
      <c r="R5" s="1205" t="s">
        <v>191</v>
      </c>
      <c r="S5" s="1204" t="s">
        <v>191</v>
      </c>
      <c r="T5" s="1204" t="s">
        <v>191</v>
      </c>
      <c r="U5" s="1204" t="s">
        <v>191</v>
      </c>
      <c r="V5" s="1204" t="s">
        <v>191</v>
      </c>
      <c r="W5" s="1204" t="s">
        <v>191</v>
      </c>
      <c r="X5" s="1204" t="s">
        <v>191</v>
      </c>
      <c r="Y5" s="1204" t="s">
        <v>191</v>
      </c>
      <c r="Z5" s="1204" t="s">
        <v>191</v>
      </c>
      <c r="AA5" s="1204" t="s">
        <v>191</v>
      </c>
      <c r="AB5" s="1204" t="s">
        <v>191</v>
      </c>
      <c r="AC5" s="1204" t="s">
        <v>191</v>
      </c>
      <c r="AD5" s="1204" t="s">
        <v>191</v>
      </c>
      <c r="AE5" s="1204" t="s">
        <v>191</v>
      </c>
      <c r="AF5" s="1168" t="s">
        <v>191</v>
      </c>
      <c r="AH5" s="220">
        <f>VLOOKUP(B5,'OCT25'!B:AK,36,0)</f>
        <v>22</v>
      </c>
      <c r="AI5" s="218">
        <f>COUNTIF(C5:AF5,"U")</f>
        <v>0</v>
      </c>
      <c r="AJ5" s="221">
        <f>AH5-AI5</f>
        <v>22</v>
      </c>
    </row>
    <row r="6" spans="1:36" ht="18.75" customHeight="1">
      <c r="A6" s="972" t="s">
        <v>20</v>
      </c>
      <c r="B6" s="1215" t="s">
        <v>21</v>
      </c>
      <c r="C6" s="1206" t="s">
        <v>24</v>
      </c>
      <c r="D6" s="264" t="s">
        <v>24</v>
      </c>
      <c r="E6" s="264" t="s">
        <v>24</v>
      </c>
      <c r="F6" s="270" t="s">
        <v>23</v>
      </c>
      <c r="G6" s="270" t="s">
        <v>23</v>
      </c>
      <c r="H6" s="232" t="s">
        <v>22</v>
      </c>
      <c r="I6" s="232" t="s">
        <v>22</v>
      </c>
      <c r="J6" s="232" t="s">
        <v>22</v>
      </c>
      <c r="K6" s="1199" t="s">
        <v>22</v>
      </c>
      <c r="L6" s="1196" t="s">
        <v>23</v>
      </c>
      <c r="M6" s="1196" t="s">
        <v>23</v>
      </c>
      <c r="N6" s="138" t="s">
        <v>22</v>
      </c>
      <c r="O6" s="138" t="s">
        <v>22</v>
      </c>
      <c r="P6" s="138" t="s">
        <v>22</v>
      </c>
      <c r="Q6" s="138" t="s">
        <v>22</v>
      </c>
      <c r="R6" s="1196" t="s">
        <v>23</v>
      </c>
      <c r="S6" s="1201" t="s">
        <v>23</v>
      </c>
      <c r="T6" s="232" t="s">
        <v>22</v>
      </c>
      <c r="U6" s="232" t="s">
        <v>22</v>
      </c>
      <c r="V6" s="232" t="s">
        <v>22</v>
      </c>
      <c r="W6" s="232" t="s">
        <v>22</v>
      </c>
      <c r="X6" s="270" t="s">
        <v>23</v>
      </c>
      <c r="Y6" s="270" t="s">
        <v>23</v>
      </c>
      <c r="Z6" s="6" t="s">
        <v>22</v>
      </c>
      <c r="AA6" s="6" t="s">
        <v>22</v>
      </c>
      <c r="AB6" s="6" t="s">
        <v>22</v>
      </c>
      <c r="AC6" s="6" t="s">
        <v>22</v>
      </c>
      <c r="AD6" s="270" t="s">
        <v>23</v>
      </c>
      <c r="AE6" s="270" t="s">
        <v>23</v>
      </c>
      <c r="AF6" s="1207" t="s">
        <v>34</v>
      </c>
      <c r="AH6" s="227">
        <f>VLOOKUP(B6,'OCT25'!B:AK,36,0)</f>
        <v>3</v>
      </c>
      <c r="AI6" s="225">
        <f>COUNTIF(C6:AF6,"U")</f>
        <v>1</v>
      </c>
      <c r="AJ6" s="230">
        <f>AH6-AI6</f>
        <v>2</v>
      </c>
    </row>
    <row r="7" spans="1:36" ht="18.75" customHeight="1">
      <c r="A7" s="973" t="s">
        <v>26</v>
      </c>
      <c r="B7" s="1105" t="s">
        <v>27</v>
      </c>
      <c r="C7" s="1035" t="s">
        <v>23</v>
      </c>
      <c r="D7" s="111" t="s">
        <v>24</v>
      </c>
      <c r="E7" s="111" t="s">
        <v>24</v>
      </c>
      <c r="F7" s="111" t="s">
        <v>24</v>
      </c>
      <c r="G7" s="111" t="s">
        <v>24</v>
      </c>
      <c r="H7" s="111" t="s">
        <v>24</v>
      </c>
      <c r="I7" s="29" t="s">
        <v>23</v>
      </c>
      <c r="J7" s="6" t="s">
        <v>22</v>
      </c>
      <c r="K7" s="32" t="s">
        <v>22</v>
      </c>
      <c r="L7" s="138" t="s">
        <v>22</v>
      </c>
      <c r="M7" s="138" t="s">
        <v>22</v>
      </c>
      <c r="N7" s="160" t="s">
        <v>23</v>
      </c>
      <c r="O7" s="160" t="s">
        <v>23</v>
      </c>
      <c r="P7" s="148" t="s">
        <v>24</v>
      </c>
      <c r="Q7" s="148" t="s">
        <v>24</v>
      </c>
      <c r="R7" s="148" t="s">
        <v>24</v>
      </c>
      <c r="S7" s="112" t="s">
        <v>24</v>
      </c>
      <c r="T7" s="29" t="s">
        <v>23</v>
      </c>
      <c r="U7" s="29" t="s">
        <v>23</v>
      </c>
      <c r="V7" s="6" t="s">
        <v>22</v>
      </c>
      <c r="W7" s="6" t="s">
        <v>22</v>
      </c>
      <c r="X7" s="6" t="s">
        <v>22</v>
      </c>
      <c r="Y7" s="6" t="s">
        <v>22</v>
      </c>
      <c r="Z7" s="29" t="s">
        <v>23</v>
      </c>
      <c r="AA7" s="29" t="s">
        <v>23</v>
      </c>
      <c r="AB7" s="111" t="s">
        <v>24</v>
      </c>
      <c r="AC7" s="111" t="s">
        <v>24</v>
      </c>
      <c r="AD7" s="111" t="s">
        <v>24</v>
      </c>
      <c r="AE7" s="1038" t="s">
        <v>23</v>
      </c>
      <c r="AF7" s="1038" t="s">
        <v>23</v>
      </c>
      <c r="AH7" s="227">
        <f>VLOOKUP(B7,'OCT25'!B:AK,36,0)</f>
        <v>5</v>
      </c>
      <c r="AI7" s="225">
        <f>COUNTIF(C7:AF7,"U")</f>
        <v>0</v>
      </c>
      <c r="AJ7" s="230">
        <f>AH7-AI7</f>
        <v>5</v>
      </c>
    </row>
    <row r="8" spans="1:36" ht="18.75" customHeight="1">
      <c r="A8" s="973" t="s">
        <v>28</v>
      </c>
      <c r="B8" s="1105" t="s">
        <v>29</v>
      </c>
      <c r="C8" s="1169" t="s">
        <v>24</v>
      </c>
      <c r="D8" s="111" t="s">
        <v>24</v>
      </c>
      <c r="E8" s="111" t="s">
        <v>24</v>
      </c>
      <c r="F8" s="29" t="s">
        <v>23</v>
      </c>
      <c r="G8" s="29" t="s">
        <v>23</v>
      </c>
      <c r="H8" s="6" t="s">
        <v>22</v>
      </c>
      <c r="I8" s="6" t="s">
        <v>22</v>
      </c>
      <c r="J8" s="6" t="s">
        <v>22</v>
      </c>
      <c r="K8" s="6" t="s">
        <v>22</v>
      </c>
      <c r="L8" s="160" t="s">
        <v>23</v>
      </c>
      <c r="M8" s="160" t="s">
        <v>23</v>
      </c>
      <c r="N8" s="2" t="s">
        <v>22</v>
      </c>
      <c r="O8" s="2" t="s">
        <v>22</v>
      </c>
      <c r="P8" s="2" t="s">
        <v>22</v>
      </c>
      <c r="Q8" s="2" t="s">
        <v>22</v>
      </c>
      <c r="R8" s="160" t="s">
        <v>23</v>
      </c>
      <c r="S8" s="81" t="s">
        <v>23</v>
      </c>
      <c r="T8" s="266" t="s">
        <v>63</v>
      </c>
      <c r="U8" s="266" t="s">
        <v>63</v>
      </c>
      <c r="V8" s="266" t="s">
        <v>63</v>
      </c>
      <c r="W8" s="266" t="s">
        <v>63</v>
      </c>
      <c r="X8" s="29" t="s">
        <v>23</v>
      </c>
      <c r="Y8" s="29" t="s">
        <v>23</v>
      </c>
      <c r="Z8" s="111" t="s">
        <v>24</v>
      </c>
      <c r="AA8" s="111" t="s">
        <v>24</v>
      </c>
      <c r="AB8" s="111" t="s">
        <v>24</v>
      </c>
      <c r="AC8" s="111" t="s">
        <v>24</v>
      </c>
      <c r="AD8" s="29" t="s">
        <v>23</v>
      </c>
      <c r="AE8" s="29" t="s">
        <v>23</v>
      </c>
      <c r="AF8" s="1034" t="s">
        <v>22</v>
      </c>
      <c r="AH8" s="227">
        <f>VLOOKUP(B8,'OCT25'!B:AK,36,0)</f>
        <v>5</v>
      </c>
      <c r="AI8" s="225">
        <f t="shared" ref="AI8:AI9" si="0">COUNTIF(C8:AF8,"U")</f>
        <v>0</v>
      </c>
      <c r="AJ8" s="230">
        <f t="shared" ref="AJ8:AJ9" si="1">AH8-AI8</f>
        <v>5</v>
      </c>
    </row>
    <row r="9" spans="1:36" ht="18.75" customHeight="1">
      <c r="A9" s="973" t="s">
        <v>32</v>
      </c>
      <c r="B9" s="1105" t="s">
        <v>33</v>
      </c>
      <c r="C9" s="1169" t="s">
        <v>24</v>
      </c>
      <c r="D9" s="29" t="s">
        <v>23</v>
      </c>
      <c r="E9" s="29" t="s">
        <v>23</v>
      </c>
      <c r="F9" s="6" t="s">
        <v>22</v>
      </c>
      <c r="G9" s="6" t="s">
        <v>22</v>
      </c>
      <c r="H9" s="6" t="s">
        <v>22</v>
      </c>
      <c r="I9" s="6" t="s">
        <v>22</v>
      </c>
      <c r="J9" s="29" t="s">
        <v>23</v>
      </c>
      <c r="K9" s="79" t="s">
        <v>23</v>
      </c>
      <c r="L9" s="148" t="s">
        <v>24</v>
      </c>
      <c r="M9" s="148" t="s">
        <v>24</v>
      </c>
      <c r="N9" s="148" t="s">
        <v>24</v>
      </c>
      <c r="O9" s="148" t="s">
        <v>24</v>
      </c>
      <c r="P9" s="160" t="s">
        <v>23</v>
      </c>
      <c r="Q9" s="160" t="s">
        <v>23</v>
      </c>
      <c r="R9" s="138" t="s">
        <v>22</v>
      </c>
      <c r="S9" s="2" t="s">
        <v>22</v>
      </c>
      <c r="T9" s="6" t="s">
        <v>22</v>
      </c>
      <c r="U9" s="6" t="s">
        <v>22</v>
      </c>
      <c r="V9" s="29" t="s">
        <v>23</v>
      </c>
      <c r="W9" s="29" t="s">
        <v>23</v>
      </c>
      <c r="X9" s="111" t="s">
        <v>24</v>
      </c>
      <c r="Y9" s="111" t="s">
        <v>24</v>
      </c>
      <c r="Z9" s="111" t="s">
        <v>24</v>
      </c>
      <c r="AA9" s="111" t="s">
        <v>24</v>
      </c>
      <c r="AB9" s="29" t="s">
        <v>23</v>
      </c>
      <c r="AC9" s="29" t="s">
        <v>23</v>
      </c>
      <c r="AD9" s="6" t="s">
        <v>22</v>
      </c>
      <c r="AE9" s="6" t="s">
        <v>22</v>
      </c>
      <c r="AF9" s="1034" t="s">
        <v>22</v>
      </c>
      <c r="AH9" s="227">
        <f>VLOOKUP(B9,'OCT25'!B:AK,36,0)</f>
        <v>4</v>
      </c>
      <c r="AI9" s="225">
        <f t="shared" si="0"/>
        <v>0</v>
      </c>
      <c r="AJ9" s="230">
        <f t="shared" si="1"/>
        <v>4</v>
      </c>
    </row>
    <row r="10" spans="1:36" ht="18.75" customHeight="1">
      <c r="A10" s="973" t="s">
        <v>35</v>
      </c>
      <c r="B10" s="1105" t="s">
        <v>36</v>
      </c>
      <c r="C10" s="1035" t="s">
        <v>23</v>
      </c>
      <c r="D10" s="6" t="s">
        <v>22</v>
      </c>
      <c r="E10" s="6" t="s">
        <v>22</v>
      </c>
      <c r="F10" s="6" t="s">
        <v>22</v>
      </c>
      <c r="G10" s="6" t="s">
        <v>22</v>
      </c>
      <c r="H10" s="29" t="s">
        <v>23</v>
      </c>
      <c r="I10" s="29" t="s">
        <v>23</v>
      </c>
      <c r="J10" s="233" t="s">
        <v>24</v>
      </c>
      <c r="K10" s="1200" t="s">
        <v>53</v>
      </c>
      <c r="L10" s="1197" t="s">
        <v>34</v>
      </c>
      <c r="M10" s="1198" t="s">
        <v>24</v>
      </c>
      <c r="N10" s="160" t="s">
        <v>23</v>
      </c>
      <c r="O10" s="160" t="s">
        <v>23</v>
      </c>
      <c r="P10" s="138" t="s">
        <v>22</v>
      </c>
      <c r="Q10" s="138" t="s">
        <v>22</v>
      </c>
      <c r="R10" s="2" t="s">
        <v>22</v>
      </c>
      <c r="S10" s="2" t="s">
        <v>22</v>
      </c>
      <c r="T10" s="29" t="s">
        <v>23</v>
      </c>
      <c r="U10" s="29" t="s">
        <v>23</v>
      </c>
      <c r="V10" s="111" t="s">
        <v>24</v>
      </c>
      <c r="W10" s="111" t="s">
        <v>24</v>
      </c>
      <c r="X10" s="111" t="s">
        <v>24</v>
      </c>
      <c r="Y10" s="111" t="s">
        <v>24</v>
      </c>
      <c r="Z10" s="29" t="s">
        <v>23</v>
      </c>
      <c r="AA10" s="29" t="s">
        <v>23</v>
      </c>
      <c r="AB10" s="6" t="s">
        <v>22</v>
      </c>
      <c r="AC10" s="6" t="s">
        <v>22</v>
      </c>
      <c r="AD10" s="6" t="s">
        <v>22</v>
      </c>
      <c r="AE10" s="6" t="s">
        <v>22</v>
      </c>
      <c r="AF10" s="1038" t="s">
        <v>23</v>
      </c>
      <c r="AH10" s="227">
        <f>VLOOKUP(B10,'OCT25'!B:AK,36,0)</f>
        <v>2</v>
      </c>
      <c r="AI10" s="225">
        <f>COUNTIF(C10:AF10,"U")</f>
        <v>1</v>
      </c>
      <c r="AJ10" s="230">
        <f>AH10-AI10</f>
        <v>1</v>
      </c>
    </row>
    <row r="11" spans="1:36" ht="18.75" customHeight="1">
      <c r="A11" s="973" t="s">
        <v>37</v>
      </c>
      <c r="B11" s="1105" t="s">
        <v>38</v>
      </c>
      <c r="C11" s="1033" t="s">
        <v>22</v>
      </c>
      <c r="D11" s="6" t="s">
        <v>22</v>
      </c>
      <c r="E11" s="6" t="s">
        <v>22</v>
      </c>
      <c r="F11" s="29" t="s">
        <v>23</v>
      </c>
      <c r="G11" s="29" t="s">
        <v>23</v>
      </c>
      <c r="H11" s="111" t="s">
        <v>24</v>
      </c>
      <c r="I11" s="1384" t="s">
        <v>150</v>
      </c>
      <c r="J11" s="111" t="s">
        <v>24</v>
      </c>
      <c r="K11" s="31" t="s">
        <v>24</v>
      </c>
      <c r="L11" s="160" t="s">
        <v>23</v>
      </c>
      <c r="M11" s="160" t="s">
        <v>23</v>
      </c>
      <c r="N11" s="148" t="s">
        <v>24</v>
      </c>
      <c r="O11" s="148" t="s">
        <v>24</v>
      </c>
      <c r="P11" s="148" t="s">
        <v>24</v>
      </c>
      <c r="Q11" s="148" t="s">
        <v>24</v>
      </c>
      <c r="R11" s="160" t="s">
        <v>23</v>
      </c>
      <c r="S11" s="81" t="s">
        <v>23</v>
      </c>
      <c r="T11" s="111" t="s">
        <v>24</v>
      </c>
      <c r="U11" s="111" t="s">
        <v>24</v>
      </c>
      <c r="V11" s="111" t="s">
        <v>24</v>
      </c>
      <c r="W11" s="111" t="s">
        <v>24</v>
      </c>
      <c r="X11" s="29" t="s">
        <v>23</v>
      </c>
      <c r="Y11" s="29" t="s">
        <v>23</v>
      </c>
      <c r="Z11" s="267" t="s">
        <v>34</v>
      </c>
      <c r="AA11" s="267" t="s">
        <v>34</v>
      </c>
      <c r="AB11" s="267" t="s">
        <v>34</v>
      </c>
      <c r="AC11" s="267" t="s">
        <v>34</v>
      </c>
      <c r="AD11" s="29" t="s">
        <v>23</v>
      </c>
      <c r="AE11" s="29" t="s">
        <v>23</v>
      </c>
      <c r="AF11" s="1170" t="s">
        <v>24</v>
      </c>
      <c r="AH11" s="227">
        <f>VLOOKUP(B11,'OCT25'!B:AK,36,0)</f>
        <v>4</v>
      </c>
      <c r="AI11" s="225">
        <f>COUNTIF(C11:AF11,"U")</f>
        <v>4</v>
      </c>
      <c r="AJ11" s="230">
        <f>AH11-AI11</f>
        <v>0</v>
      </c>
    </row>
    <row r="12" spans="1:36" ht="19.5" customHeight="1">
      <c r="A12" s="974" t="s">
        <v>43</v>
      </c>
      <c r="B12" s="1106" t="s">
        <v>44</v>
      </c>
      <c r="C12" s="1208" t="s">
        <v>30</v>
      </c>
      <c r="D12" s="1120" t="s">
        <v>23</v>
      </c>
      <c r="E12" s="1120" t="s">
        <v>23</v>
      </c>
      <c r="F12" s="1209" t="s">
        <v>34</v>
      </c>
      <c r="G12" s="1209" t="s">
        <v>34</v>
      </c>
      <c r="H12" s="1209" t="s">
        <v>34</v>
      </c>
      <c r="I12" s="1209" t="s">
        <v>34</v>
      </c>
      <c r="J12" s="1120" t="s">
        <v>23</v>
      </c>
      <c r="K12" s="1210" t="s">
        <v>23</v>
      </c>
      <c r="L12" s="153" t="s">
        <v>22</v>
      </c>
      <c r="M12" s="153" t="s">
        <v>22</v>
      </c>
      <c r="N12" s="153" t="s">
        <v>22</v>
      </c>
      <c r="O12" s="153" t="s">
        <v>22</v>
      </c>
      <c r="P12" s="161" t="s">
        <v>23</v>
      </c>
      <c r="Q12" s="161" t="s">
        <v>23</v>
      </c>
      <c r="R12" s="1211" t="s">
        <v>146</v>
      </c>
      <c r="S12" s="1212" t="s">
        <v>24</v>
      </c>
      <c r="T12" s="1213" t="s">
        <v>24</v>
      </c>
      <c r="U12" s="1213" t="s">
        <v>24</v>
      </c>
      <c r="V12" s="1045" t="s">
        <v>23</v>
      </c>
      <c r="W12" s="1045" t="s">
        <v>23</v>
      </c>
      <c r="X12" s="1049" t="s">
        <v>22</v>
      </c>
      <c r="Y12" s="1049" t="s">
        <v>22</v>
      </c>
      <c r="Z12" s="1049" t="s">
        <v>22</v>
      </c>
      <c r="AA12" s="1049" t="s">
        <v>22</v>
      </c>
      <c r="AB12" s="1045" t="s">
        <v>23</v>
      </c>
      <c r="AC12" s="1045" t="s">
        <v>23</v>
      </c>
      <c r="AD12" s="1213" t="s">
        <v>24</v>
      </c>
      <c r="AE12" s="1213" t="s">
        <v>24</v>
      </c>
      <c r="AF12" s="1214" t="s">
        <v>24</v>
      </c>
      <c r="AH12" s="241">
        <f>VLOOKUP(B12,'OCT25'!B:AK,36,0)</f>
        <v>4</v>
      </c>
      <c r="AI12" s="283">
        <f>COUNTIF(C12:AF12,"U")</f>
        <v>4</v>
      </c>
      <c r="AJ12" s="288">
        <f>AH12-AI12</f>
        <v>0</v>
      </c>
    </row>
    <row r="13" spans="1:36" ht="20.100000000000001" customHeight="1">
      <c r="A13" s="242"/>
      <c r="B13" s="242"/>
      <c r="C13" s="245"/>
      <c r="D13" s="243"/>
      <c r="E13" s="243"/>
      <c r="F13" s="244"/>
      <c r="G13" s="244"/>
      <c r="H13" s="244"/>
      <c r="I13" s="244"/>
      <c r="J13" s="243"/>
      <c r="K13" s="243"/>
      <c r="L13" s="245"/>
      <c r="M13" s="245"/>
      <c r="N13" s="245"/>
      <c r="O13" s="245"/>
      <c r="P13" s="243"/>
      <c r="Q13" s="243"/>
      <c r="R13" s="244"/>
      <c r="S13" s="244"/>
      <c r="T13" s="244"/>
      <c r="U13" s="244"/>
      <c r="V13" s="243"/>
      <c r="W13" s="243"/>
      <c r="X13" s="245"/>
      <c r="Y13" s="245"/>
      <c r="Z13" s="245"/>
      <c r="AA13" s="245"/>
      <c r="AB13" s="243"/>
      <c r="AC13" s="243"/>
      <c r="AD13" s="244"/>
      <c r="AE13" s="244"/>
      <c r="AF13" s="244"/>
      <c r="AH13" s="247"/>
      <c r="AI13" s="247"/>
      <c r="AJ13" s="247"/>
    </row>
    <row r="14" spans="1:36" ht="24.95" customHeight="1" thickBot="1">
      <c r="A14" s="581" t="s">
        <v>196</v>
      </c>
      <c r="B14" s="514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650"/>
      <c r="AD14" s="650"/>
      <c r="AE14" s="650"/>
      <c r="AF14" s="651"/>
      <c r="AH14" s="247"/>
      <c r="AI14" s="247"/>
      <c r="AJ14" s="247"/>
    </row>
    <row r="15" spans="1:36" ht="18.75" customHeight="1">
      <c r="A15" s="602" t="s">
        <v>192</v>
      </c>
      <c r="B15" s="535" t="s">
        <v>193</v>
      </c>
      <c r="C15" s="29" t="s">
        <v>23</v>
      </c>
      <c r="D15" s="29" t="s">
        <v>23</v>
      </c>
      <c r="E15" s="267" t="s">
        <v>34</v>
      </c>
      <c r="F15" s="267" t="s">
        <v>34</v>
      </c>
      <c r="G15" s="267" t="s">
        <v>34</v>
      </c>
      <c r="H15" s="267" t="s">
        <v>34</v>
      </c>
      <c r="I15" s="267" t="s">
        <v>34</v>
      </c>
      <c r="J15" s="833" t="s">
        <v>23</v>
      </c>
      <c r="K15" s="833" t="s">
        <v>23</v>
      </c>
      <c r="L15" s="267" t="s">
        <v>34</v>
      </c>
      <c r="M15" s="267" t="s">
        <v>34</v>
      </c>
      <c r="N15" s="267" t="s">
        <v>34</v>
      </c>
      <c r="O15" s="267" t="s">
        <v>34</v>
      </c>
      <c r="P15" s="367" t="s">
        <v>165</v>
      </c>
      <c r="Q15" s="29" t="s">
        <v>23</v>
      </c>
      <c r="R15" s="29" t="s">
        <v>23</v>
      </c>
      <c r="S15" s="367" t="s">
        <v>165</v>
      </c>
      <c r="T15" s="367" t="s">
        <v>165</v>
      </c>
      <c r="U15" s="367" t="s">
        <v>165</v>
      </c>
      <c r="V15" s="367" t="s">
        <v>165</v>
      </c>
      <c r="W15" s="367" t="s">
        <v>165</v>
      </c>
      <c r="X15" s="29" t="s">
        <v>23</v>
      </c>
      <c r="Y15" s="1233" t="s">
        <v>23</v>
      </c>
      <c r="Z15" s="1234" t="s">
        <v>165</v>
      </c>
      <c r="AA15" s="1234" t="s">
        <v>165</v>
      </c>
      <c r="AB15" s="1234" t="s">
        <v>165</v>
      </c>
      <c r="AC15" s="367" t="s">
        <v>165</v>
      </c>
      <c r="AD15" s="367" t="s">
        <v>165</v>
      </c>
      <c r="AE15" s="29" t="s">
        <v>23</v>
      </c>
      <c r="AF15" s="78" t="s">
        <v>23</v>
      </c>
      <c r="AH15" s="220">
        <f>VLOOKUP(B15,'OCT25'!B:AK,36,0)</f>
        <v>-14</v>
      </c>
      <c r="AI15" s="218">
        <f t="shared" ref="AI15:AI22" si="2">COUNTIF(C15:AF15,"U")</f>
        <v>9</v>
      </c>
      <c r="AJ15" s="221">
        <f>AH15-AI15</f>
        <v>-23</v>
      </c>
    </row>
    <row r="16" spans="1:36" ht="18.75" customHeight="1">
      <c r="A16" s="975" t="s">
        <v>51</v>
      </c>
      <c r="B16" s="536" t="s">
        <v>52</v>
      </c>
      <c r="C16" s="400" t="s">
        <v>23</v>
      </c>
      <c r="D16" s="400" t="s">
        <v>23</v>
      </c>
      <c r="E16" s="367" t="s">
        <v>144</v>
      </c>
      <c r="F16" s="367" t="s">
        <v>144</v>
      </c>
      <c r="G16" s="367" t="s">
        <v>144</v>
      </c>
      <c r="H16" s="367" t="s">
        <v>144</v>
      </c>
      <c r="I16" s="367" t="s">
        <v>144</v>
      </c>
      <c r="J16" s="400" t="s">
        <v>23</v>
      </c>
      <c r="K16" s="400" t="s">
        <v>23</v>
      </c>
      <c r="L16" s="367" t="s">
        <v>144</v>
      </c>
      <c r="M16" s="367" t="s">
        <v>144</v>
      </c>
      <c r="N16" s="367" t="s">
        <v>144</v>
      </c>
      <c r="O16" s="367" t="s">
        <v>144</v>
      </c>
      <c r="P16" s="367" t="s">
        <v>144</v>
      </c>
      <c r="Q16" s="400" t="s">
        <v>23</v>
      </c>
      <c r="R16" s="400" t="s">
        <v>23</v>
      </c>
      <c r="S16" s="367" t="s">
        <v>144</v>
      </c>
      <c r="T16" s="367" t="s">
        <v>144</v>
      </c>
      <c r="U16" s="367" t="s">
        <v>144</v>
      </c>
      <c r="V16" s="367" t="s">
        <v>144</v>
      </c>
      <c r="W16" s="367" t="s">
        <v>144</v>
      </c>
      <c r="X16" s="79" t="s">
        <v>23</v>
      </c>
      <c r="Y16" s="160" t="s">
        <v>23</v>
      </c>
      <c r="Z16" s="350" t="s">
        <v>181</v>
      </c>
      <c r="AA16" s="350" t="s">
        <v>144</v>
      </c>
      <c r="AB16" s="350" t="s">
        <v>144</v>
      </c>
      <c r="AC16" s="980" t="s">
        <v>144</v>
      </c>
      <c r="AD16" s="367" t="s">
        <v>144</v>
      </c>
      <c r="AE16" s="29" t="s">
        <v>23</v>
      </c>
      <c r="AF16" s="29" t="s">
        <v>23</v>
      </c>
      <c r="AH16" s="227">
        <f>VLOOKUP(B16,'OCT25'!B:AK,36,0)</f>
        <v>3</v>
      </c>
      <c r="AI16" s="225">
        <f t="shared" si="2"/>
        <v>0</v>
      </c>
      <c r="AJ16" s="230">
        <f t="shared" ref="AJ16:AJ22" si="3">AH16-AI16</f>
        <v>3</v>
      </c>
    </row>
    <row r="17" spans="1:38" ht="18.75" customHeight="1">
      <c r="A17" s="975" t="s">
        <v>54</v>
      </c>
      <c r="B17" s="536" t="s">
        <v>55</v>
      </c>
      <c r="C17" s="6" t="s">
        <v>22</v>
      </c>
      <c r="D17" s="2" t="s">
        <v>22</v>
      </c>
      <c r="E17" s="81" t="s">
        <v>23</v>
      </c>
      <c r="F17" s="81" t="s">
        <v>23</v>
      </c>
      <c r="G17" s="2" t="s">
        <v>22</v>
      </c>
      <c r="H17" s="2" t="s">
        <v>22</v>
      </c>
      <c r="I17" s="2" t="s">
        <v>22</v>
      </c>
      <c r="J17" s="2" t="s">
        <v>22</v>
      </c>
      <c r="K17" s="81" t="s">
        <v>23</v>
      </c>
      <c r="L17" s="81" t="s">
        <v>23</v>
      </c>
      <c r="M17" s="2" t="s">
        <v>22</v>
      </c>
      <c r="N17" s="2" t="s">
        <v>22</v>
      </c>
      <c r="O17" s="959" t="s">
        <v>34</v>
      </c>
      <c r="P17" s="959" t="s">
        <v>34</v>
      </c>
      <c r="Q17" s="81" t="s">
        <v>23</v>
      </c>
      <c r="R17" s="81" t="s">
        <v>23</v>
      </c>
      <c r="S17" s="959" t="s">
        <v>34</v>
      </c>
      <c r="T17" s="959" t="s">
        <v>34</v>
      </c>
      <c r="U17" s="959" t="s">
        <v>34</v>
      </c>
      <c r="V17" s="959" t="s">
        <v>34</v>
      </c>
      <c r="W17" s="81" t="s">
        <v>23</v>
      </c>
      <c r="X17" s="1230" t="s">
        <v>23</v>
      </c>
      <c r="Y17" s="138" t="s">
        <v>22</v>
      </c>
      <c r="Z17" s="138" t="s">
        <v>22</v>
      </c>
      <c r="AA17" s="138" t="s">
        <v>22</v>
      </c>
      <c r="AB17" s="138" t="s">
        <v>22</v>
      </c>
      <c r="AC17" s="81" t="s">
        <v>23</v>
      </c>
      <c r="AD17" s="81" t="s">
        <v>23</v>
      </c>
      <c r="AE17" s="2" t="s">
        <v>22</v>
      </c>
      <c r="AF17" s="959" t="s">
        <v>34</v>
      </c>
      <c r="AH17" s="227">
        <f>VLOOKUP(B17,'OCT25'!B:AK,36,0)</f>
        <v>7</v>
      </c>
      <c r="AI17" s="225">
        <f t="shared" si="2"/>
        <v>7</v>
      </c>
      <c r="AJ17" s="230">
        <f t="shared" si="3"/>
        <v>0</v>
      </c>
    </row>
    <row r="18" spans="1:38" ht="18.75" customHeight="1">
      <c r="A18" s="975" t="s">
        <v>157</v>
      </c>
      <c r="B18" s="536" t="s">
        <v>158</v>
      </c>
      <c r="C18" s="1208" t="s">
        <v>30</v>
      </c>
      <c r="D18" s="1017" t="s">
        <v>24</v>
      </c>
      <c r="E18" s="1226" t="s">
        <v>23</v>
      </c>
      <c r="F18" s="1226" t="s">
        <v>23</v>
      </c>
      <c r="G18" s="1017" t="s">
        <v>24</v>
      </c>
      <c r="H18" s="1017" t="s">
        <v>24</v>
      </c>
      <c r="I18" s="1017" t="s">
        <v>24</v>
      </c>
      <c r="J18" s="1017" t="s">
        <v>24</v>
      </c>
      <c r="K18" s="1226" t="s">
        <v>23</v>
      </c>
      <c r="L18" s="1226" t="s">
        <v>23</v>
      </c>
      <c r="M18" s="1017" t="s">
        <v>24</v>
      </c>
      <c r="N18" s="1017" t="s">
        <v>24</v>
      </c>
      <c r="O18" s="1017" t="s">
        <v>24</v>
      </c>
      <c r="P18" s="1017" t="s">
        <v>24</v>
      </c>
      <c r="Q18" s="1226" t="s">
        <v>23</v>
      </c>
      <c r="R18" s="1226" t="s">
        <v>23</v>
      </c>
      <c r="S18" s="1004" t="s">
        <v>22</v>
      </c>
      <c r="T18" s="1004" t="s">
        <v>22</v>
      </c>
      <c r="U18" s="1004" t="s">
        <v>22</v>
      </c>
      <c r="V18" s="1004" t="s">
        <v>22</v>
      </c>
      <c r="W18" s="1226" t="s">
        <v>23</v>
      </c>
      <c r="X18" s="1231" t="s">
        <v>23</v>
      </c>
      <c r="Y18" s="139" t="s">
        <v>24</v>
      </c>
      <c r="Z18" s="139" t="s">
        <v>24</v>
      </c>
      <c r="AA18" s="139" t="s">
        <v>24</v>
      </c>
      <c r="AB18" s="139" t="s">
        <v>24</v>
      </c>
      <c r="AC18" s="1226" t="s">
        <v>23</v>
      </c>
      <c r="AD18" s="1226" t="s">
        <v>23</v>
      </c>
      <c r="AE18" s="1004" t="s">
        <v>22</v>
      </c>
      <c r="AF18" s="1004" t="s">
        <v>22</v>
      </c>
      <c r="AH18" s="227">
        <f>VLOOKUP(B18,'OCT25'!B:AK,36,0)</f>
        <v>11</v>
      </c>
      <c r="AI18" s="225">
        <f t="shared" si="2"/>
        <v>0</v>
      </c>
      <c r="AJ18" s="230">
        <f t="shared" si="3"/>
        <v>11</v>
      </c>
    </row>
    <row r="19" spans="1:38" ht="18.75" customHeight="1">
      <c r="A19" s="975" t="s">
        <v>166</v>
      </c>
      <c r="B19" s="536" t="s">
        <v>167</v>
      </c>
      <c r="C19" s="1002" t="s">
        <v>23</v>
      </c>
      <c r="D19" s="1226" t="s">
        <v>23</v>
      </c>
      <c r="E19" s="1004" t="s">
        <v>22</v>
      </c>
      <c r="F19" s="1004" t="s">
        <v>22</v>
      </c>
      <c r="G19" s="1226" t="s">
        <v>23</v>
      </c>
      <c r="H19" s="1226" t="s">
        <v>23</v>
      </c>
      <c r="I19" s="1017" t="s">
        <v>24</v>
      </c>
      <c r="J19" s="1017" t="s">
        <v>24</v>
      </c>
      <c r="K19" s="1017" t="s">
        <v>24</v>
      </c>
      <c r="L19" s="1017" t="s">
        <v>24</v>
      </c>
      <c r="M19" s="1226" t="s">
        <v>23</v>
      </c>
      <c r="N19" s="1226" t="s">
        <v>23</v>
      </c>
      <c r="O19" s="1004" t="s">
        <v>22</v>
      </c>
      <c r="P19" s="1004" t="s">
        <v>22</v>
      </c>
      <c r="Q19" s="1004" t="s">
        <v>22</v>
      </c>
      <c r="R19" s="1004" t="s">
        <v>22</v>
      </c>
      <c r="S19" s="1226" t="s">
        <v>23</v>
      </c>
      <c r="T19" s="1226" t="s">
        <v>23</v>
      </c>
      <c r="U19" s="1017" t="s">
        <v>24</v>
      </c>
      <c r="V19" s="1017" t="s">
        <v>24</v>
      </c>
      <c r="W19" s="1017" t="s">
        <v>24</v>
      </c>
      <c r="X19" s="1232" t="s">
        <v>24</v>
      </c>
      <c r="Y19" s="160" t="s">
        <v>23</v>
      </c>
      <c r="Z19" s="160" t="s">
        <v>23</v>
      </c>
      <c r="AA19" s="160" t="s">
        <v>23</v>
      </c>
      <c r="AB19" s="160" t="s">
        <v>23</v>
      </c>
      <c r="AC19" s="1004" t="s">
        <v>22</v>
      </c>
      <c r="AD19" s="1004" t="s">
        <v>22</v>
      </c>
      <c r="AE19" s="1017" t="s">
        <v>24</v>
      </c>
      <c r="AF19" s="1017" t="s">
        <v>24</v>
      </c>
      <c r="AG19" s="258"/>
      <c r="AH19" s="227">
        <f>VLOOKUP(B19,'OCT25'!B:AK,36,0)</f>
        <v>4</v>
      </c>
      <c r="AI19" s="225">
        <f t="shared" si="2"/>
        <v>0</v>
      </c>
      <c r="AJ19" s="230">
        <f t="shared" si="3"/>
        <v>4</v>
      </c>
      <c r="AK19" s="247"/>
      <c r="AL19" s="247"/>
    </row>
    <row r="20" spans="1:38" ht="18.75" customHeight="1">
      <c r="A20" s="975" t="s">
        <v>155</v>
      </c>
      <c r="B20" s="536" t="s">
        <v>156</v>
      </c>
      <c r="C20" s="1002" t="s">
        <v>23</v>
      </c>
      <c r="D20" s="1226" t="s">
        <v>23</v>
      </c>
      <c r="E20" s="1228" t="s">
        <v>34</v>
      </c>
      <c r="F20" s="1017" t="s">
        <v>24</v>
      </c>
      <c r="G20" s="1017" t="s">
        <v>24</v>
      </c>
      <c r="H20" s="1017" t="s">
        <v>24</v>
      </c>
      <c r="I20" s="1226" t="s">
        <v>23</v>
      </c>
      <c r="J20" s="1226" t="s">
        <v>23</v>
      </c>
      <c r="K20" s="1004" t="s">
        <v>22</v>
      </c>
      <c r="L20" s="1004" t="s">
        <v>22</v>
      </c>
      <c r="M20" s="1004" t="s">
        <v>22</v>
      </c>
      <c r="N20" s="1004" t="s">
        <v>22</v>
      </c>
      <c r="O20" s="1226" t="s">
        <v>23</v>
      </c>
      <c r="P20" s="1226" t="s">
        <v>23</v>
      </c>
      <c r="Q20" s="1017" t="s">
        <v>24</v>
      </c>
      <c r="R20" s="1017" t="s">
        <v>24</v>
      </c>
      <c r="S20" s="1017" t="s">
        <v>24</v>
      </c>
      <c r="T20" s="1017" t="s">
        <v>24</v>
      </c>
      <c r="U20" s="1226" t="s">
        <v>23</v>
      </c>
      <c r="V20" s="1226" t="s">
        <v>23</v>
      </c>
      <c r="W20" s="1004" t="s">
        <v>22</v>
      </c>
      <c r="X20" s="1004" t="s">
        <v>22</v>
      </c>
      <c r="Y20" s="1004" t="s">
        <v>22</v>
      </c>
      <c r="Z20" s="1004" t="s">
        <v>22</v>
      </c>
      <c r="AA20" s="1226" t="s">
        <v>23</v>
      </c>
      <c r="AB20" s="1226" t="s">
        <v>23</v>
      </c>
      <c r="AC20" s="1017" t="s">
        <v>24</v>
      </c>
      <c r="AD20" s="1017" t="s">
        <v>24</v>
      </c>
      <c r="AE20" s="1228" t="s">
        <v>34</v>
      </c>
      <c r="AF20" s="1229" t="s">
        <v>34</v>
      </c>
      <c r="AG20" s="258"/>
      <c r="AH20" s="227">
        <f>VLOOKUP(B20,'OCT25'!B:AK,36,0)</f>
        <v>4</v>
      </c>
      <c r="AI20" s="225">
        <f t="shared" si="2"/>
        <v>3</v>
      </c>
      <c r="AJ20" s="230">
        <f t="shared" si="3"/>
        <v>1</v>
      </c>
      <c r="AK20" s="247"/>
      <c r="AL20" s="247"/>
    </row>
    <row r="21" spans="1:38" ht="18.75" customHeight="1">
      <c r="A21" s="975" t="s">
        <v>159</v>
      </c>
      <c r="B21" s="536" t="s">
        <v>160</v>
      </c>
      <c r="C21" s="1005" t="s">
        <v>24</v>
      </c>
      <c r="D21" s="1017" t="s">
        <v>24</v>
      </c>
      <c r="E21" s="1017" t="s">
        <v>24</v>
      </c>
      <c r="F21" s="1017" t="s">
        <v>24</v>
      </c>
      <c r="G21" s="1226" t="s">
        <v>23</v>
      </c>
      <c r="H21" s="1226" t="s">
        <v>23</v>
      </c>
      <c r="I21" s="1004" t="s">
        <v>22</v>
      </c>
      <c r="J21" s="1004" t="s">
        <v>22</v>
      </c>
      <c r="K21" s="1004" t="s">
        <v>22</v>
      </c>
      <c r="L21" s="1004" t="s">
        <v>22</v>
      </c>
      <c r="M21" s="1226" t="s">
        <v>23</v>
      </c>
      <c r="N21" s="1226" t="s">
        <v>23</v>
      </c>
      <c r="O21" s="1017" t="s">
        <v>24</v>
      </c>
      <c r="P21" s="1017" t="s">
        <v>24</v>
      </c>
      <c r="Q21" s="1017" t="s">
        <v>24</v>
      </c>
      <c r="R21" s="1017" t="s">
        <v>24</v>
      </c>
      <c r="S21" s="1226" t="s">
        <v>23</v>
      </c>
      <c r="T21" s="1226" t="s">
        <v>23</v>
      </c>
      <c r="U21" s="1004" t="s">
        <v>22</v>
      </c>
      <c r="V21" s="1004" t="s">
        <v>22</v>
      </c>
      <c r="W21" s="1004" t="s">
        <v>22</v>
      </c>
      <c r="X21" s="1004" t="s">
        <v>22</v>
      </c>
      <c r="Y21" s="1226" t="s">
        <v>23</v>
      </c>
      <c r="Z21" s="1226" t="s">
        <v>23</v>
      </c>
      <c r="AA21" s="1017" t="s">
        <v>24</v>
      </c>
      <c r="AB21" s="1017" t="s">
        <v>24</v>
      </c>
      <c r="AC21" s="1017" t="s">
        <v>24</v>
      </c>
      <c r="AD21" s="1017" t="s">
        <v>24</v>
      </c>
      <c r="AE21" s="1226" t="s">
        <v>23</v>
      </c>
      <c r="AF21" s="1227" t="s">
        <v>23</v>
      </c>
      <c r="AG21" s="258"/>
      <c r="AH21" s="227">
        <f>VLOOKUP(B21,'OCT25'!B:AK,36,0)</f>
        <v>3</v>
      </c>
      <c r="AI21" s="225">
        <f t="shared" si="2"/>
        <v>0</v>
      </c>
      <c r="AJ21" s="230">
        <f t="shared" si="3"/>
        <v>3</v>
      </c>
      <c r="AK21" s="247"/>
      <c r="AL21" s="247"/>
    </row>
    <row r="22" spans="1:38" ht="19.5" customHeight="1" thickBot="1">
      <c r="A22" s="921" t="s">
        <v>46</v>
      </c>
      <c r="B22" s="920" t="s">
        <v>47</v>
      </c>
      <c r="C22" s="361" t="s">
        <v>186</v>
      </c>
      <c r="D22" s="361" t="s">
        <v>186</v>
      </c>
      <c r="E22" s="361" t="s">
        <v>186</v>
      </c>
      <c r="F22" s="361" t="s">
        <v>186</v>
      </c>
      <c r="G22" s="361" t="s">
        <v>186</v>
      </c>
      <c r="H22" s="361" t="s">
        <v>186</v>
      </c>
      <c r="I22" s="361" t="s">
        <v>186</v>
      </c>
      <c r="J22" s="361" t="s">
        <v>186</v>
      </c>
      <c r="K22" s="361" t="s">
        <v>186</v>
      </c>
      <c r="L22" s="361" t="s">
        <v>186</v>
      </c>
      <c r="M22" s="361" t="s">
        <v>186</v>
      </c>
      <c r="N22" s="361" t="s">
        <v>186</v>
      </c>
      <c r="O22" s="361" t="s">
        <v>186</v>
      </c>
      <c r="P22" s="361" t="s">
        <v>186</v>
      </c>
      <c r="Q22" s="361" t="s">
        <v>186</v>
      </c>
      <c r="R22" s="361" t="s">
        <v>186</v>
      </c>
      <c r="S22" s="361" t="s">
        <v>186</v>
      </c>
      <c r="T22" s="361" t="s">
        <v>186</v>
      </c>
      <c r="U22" s="361" t="s">
        <v>186</v>
      </c>
      <c r="V22" s="361" t="s">
        <v>186</v>
      </c>
      <c r="W22" s="361" t="s">
        <v>186</v>
      </c>
      <c r="X22" s="361" t="s">
        <v>186</v>
      </c>
      <c r="Y22" s="361" t="s">
        <v>186</v>
      </c>
      <c r="Z22" s="361" t="s">
        <v>186</v>
      </c>
      <c r="AA22" s="361" t="s">
        <v>186</v>
      </c>
      <c r="AB22" s="361" t="s">
        <v>186</v>
      </c>
      <c r="AC22" s="361" t="s">
        <v>186</v>
      </c>
      <c r="AD22" s="361" t="s">
        <v>186</v>
      </c>
      <c r="AE22" s="361" t="s">
        <v>186</v>
      </c>
      <c r="AF22" s="349" t="s">
        <v>186</v>
      </c>
      <c r="AG22" s="315"/>
      <c r="AH22" s="241">
        <f>VLOOKUP(B22,'OCT25'!B:AK,36,0)</f>
        <v>15</v>
      </c>
      <c r="AI22" s="283">
        <f t="shared" si="2"/>
        <v>0</v>
      </c>
      <c r="AJ22" s="288">
        <f t="shared" si="3"/>
        <v>15</v>
      </c>
      <c r="AK22" s="247"/>
      <c r="AL22" s="247"/>
    </row>
    <row r="23" spans="1:38" ht="18.75" customHeight="1" thickBot="1"/>
    <row r="24" spans="1:38" ht="24.95" customHeight="1" thickBot="1">
      <c r="A24" s="581" t="s">
        <v>60</v>
      </c>
      <c r="B24" s="514"/>
      <c r="C24" s="514"/>
      <c r="D24" s="514"/>
      <c r="E24" s="514"/>
      <c r="F24" s="514"/>
      <c r="G24" s="514"/>
      <c r="H24" s="514"/>
      <c r="I24" s="514"/>
      <c r="J24" s="514"/>
      <c r="K24" s="514"/>
      <c r="L24" s="514"/>
      <c r="M24" s="514"/>
      <c r="N24" s="514"/>
      <c r="O24" s="514"/>
      <c r="P24" s="514"/>
      <c r="Q24" s="514"/>
      <c r="R24" s="514"/>
      <c r="S24" s="514"/>
      <c r="T24" s="514"/>
      <c r="U24" s="514"/>
      <c r="V24" s="514"/>
      <c r="W24" s="514"/>
      <c r="X24" s="514"/>
      <c r="Y24" s="514"/>
      <c r="Z24" s="514"/>
      <c r="AA24" s="514"/>
      <c r="AB24" s="514"/>
      <c r="AC24" s="514"/>
      <c r="AD24" s="650"/>
      <c r="AE24" s="650"/>
      <c r="AF24" s="651"/>
    </row>
    <row r="25" spans="1:38" ht="18.75" customHeight="1">
      <c r="A25" s="602" t="s">
        <v>64</v>
      </c>
      <c r="B25" s="535" t="s">
        <v>65</v>
      </c>
      <c r="C25" s="266" t="s">
        <v>63</v>
      </c>
      <c r="D25" s="266" t="s">
        <v>63</v>
      </c>
      <c r="E25" s="266" t="s">
        <v>63</v>
      </c>
      <c r="F25" s="231" t="s">
        <v>23</v>
      </c>
      <c r="G25" s="231" t="s">
        <v>23</v>
      </c>
      <c r="H25" s="232" t="s">
        <v>22</v>
      </c>
      <c r="I25" s="232" t="s">
        <v>22</v>
      </c>
      <c r="J25" s="232" t="s">
        <v>22</v>
      </c>
      <c r="K25" s="232" t="s">
        <v>22</v>
      </c>
      <c r="L25" s="231" t="s">
        <v>23</v>
      </c>
      <c r="M25" s="231" t="s">
        <v>23</v>
      </c>
      <c r="N25" s="233" t="s">
        <v>24</v>
      </c>
      <c r="O25" s="233" t="s">
        <v>24</v>
      </c>
      <c r="P25" s="233" t="s">
        <v>24</v>
      </c>
      <c r="Q25" s="233" t="s">
        <v>24</v>
      </c>
      <c r="R25" s="231" t="s">
        <v>23</v>
      </c>
      <c r="S25" s="231" t="s">
        <v>23</v>
      </c>
      <c r="T25" s="232" t="s">
        <v>22</v>
      </c>
      <c r="U25" s="232" t="s">
        <v>22</v>
      </c>
      <c r="V25" s="232" t="s">
        <v>22</v>
      </c>
      <c r="W25" s="267" t="s">
        <v>34</v>
      </c>
      <c r="X25" s="231" t="s">
        <v>23</v>
      </c>
      <c r="Y25" s="231" t="s">
        <v>23</v>
      </c>
      <c r="Z25" s="232" t="s">
        <v>22</v>
      </c>
      <c r="AA25" s="232" t="s">
        <v>22</v>
      </c>
      <c r="AB25" s="232" t="s">
        <v>22</v>
      </c>
      <c r="AC25" s="232" t="s">
        <v>22</v>
      </c>
      <c r="AD25" s="231" t="s">
        <v>23</v>
      </c>
      <c r="AE25" s="231" t="s">
        <v>23</v>
      </c>
      <c r="AF25" s="263" t="s">
        <v>63</v>
      </c>
      <c r="AH25" s="220">
        <f>VLOOKUP(B25,'OCT25'!B:AK,36,0)</f>
        <v>2</v>
      </c>
      <c r="AI25" s="218">
        <f t="shared" ref="AI25:AI36" si="4">COUNTIF(C25:AF25,"U")</f>
        <v>1</v>
      </c>
      <c r="AJ25" s="221">
        <f t="shared" ref="AJ25:AJ36" si="5">AH25-AI25</f>
        <v>1</v>
      </c>
    </row>
    <row r="26" spans="1:38" ht="18.75" customHeight="1">
      <c r="A26" s="602" t="s">
        <v>66</v>
      </c>
      <c r="B26" s="535" t="s">
        <v>67</v>
      </c>
      <c r="C26" s="232" t="s">
        <v>22</v>
      </c>
      <c r="D26" s="231" t="s">
        <v>23</v>
      </c>
      <c r="E26" s="231" t="s">
        <v>23</v>
      </c>
      <c r="F26" s="266" t="s">
        <v>63</v>
      </c>
      <c r="G26" s="266" t="s">
        <v>63</v>
      </c>
      <c r="H26" s="266" t="s">
        <v>63</v>
      </c>
      <c r="I26" s="266" t="s">
        <v>63</v>
      </c>
      <c r="J26" s="231" t="s">
        <v>23</v>
      </c>
      <c r="K26" s="231" t="s">
        <v>23</v>
      </c>
      <c r="L26" s="233" t="s">
        <v>24</v>
      </c>
      <c r="M26" s="233" t="s">
        <v>24</v>
      </c>
      <c r="N26" s="233" t="s">
        <v>24</v>
      </c>
      <c r="O26" s="233" t="s">
        <v>24</v>
      </c>
      <c r="P26" s="231" t="s">
        <v>23</v>
      </c>
      <c r="Q26" s="231" t="s">
        <v>23</v>
      </c>
      <c r="R26" s="232" t="s">
        <v>22</v>
      </c>
      <c r="S26" s="232" t="s">
        <v>22</v>
      </c>
      <c r="T26" s="232" t="s">
        <v>22</v>
      </c>
      <c r="U26" s="232" t="s">
        <v>22</v>
      </c>
      <c r="V26" s="231" t="s">
        <v>23</v>
      </c>
      <c r="W26" s="231" t="s">
        <v>23</v>
      </c>
      <c r="X26" s="233" t="s">
        <v>24</v>
      </c>
      <c r="Y26" s="233" t="s">
        <v>24</v>
      </c>
      <c r="Z26" s="233" t="s">
        <v>24</v>
      </c>
      <c r="AA26" s="233" t="s">
        <v>24</v>
      </c>
      <c r="AB26" s="231" t="s">
        <v>23</v>
      </c>
      <c r="AC26" s="231" t="s">
        <v>23</v>
      </c>
      <c r="AD26" s="232" t="s">
        <v>22</v>
      </c>
      <c r="AE26" s="232" t="s">
        <v>22</v>
      </c>
      <c r="AF26" s="235" t="s">
        <v>22</v>
      </c>
      <c r="AH26" s="227">
        <f>VLOOKUP(B26,'OCT25'!B:AK,36,0)</f>
        <v>10</v>
      </c>
      <c r="AI26" s="225">
        <f t="shared" si="4"/>
        <v>0</v>
      </c>
      <c r="AJ26" s="230">
        <f t="shared" si="5"/>
        <v>10</v>
      </c>
    </row>
    <row r="27" spans="1:38" ht="18.75" customHeight="1">
      <c r="A27" s="602" t="s">
        <v>69</v>
      </c>
      <c r="B27" s="535" t="s">
        <v>70</v>
      </c>
      <c r="C27" s="231" t="s">
        <v>23</v>
      </c>
      <c r="D27" s="232" t="s">
        <v>22</v>
      </c>
      <c r="E27" s="232" t="s">
        <v>22</v>
      </c>
      <c r="F27" s="232" t="s">
        <v>22</v>
      </c>
      <c r="G27" s="232" t="s">
        <v>22</v>
      </c>
      <c r="H27" s="231" t="s">
        <v>23</v>
      </c>
      <c r="I27" s="231" t="s">
        <v>23</v>
      </c>
      <c r="J27" s="266" t="s">
        <v>63</v>
      </c>
      <c r="K27" s="266" t="s">
        <v>63</v>
      </c>
      <c r="L27" s="266" t="s">
        <v>63</v>
      </c>
      <c r="M27" s="266" t="s">
        <v>63</v>
      </c>
      <c r="N27" s="231" t="s">
        <v>23</v>
      </c>
      <c r="O27" s="231" t="s">
        <v>23</v>
      </c>
      <c r="P27" s="233" t="s">
        <v>24</v>
      </c>
      <c r="Q27" s="233" t="s">
        <v>24</v>
      </c>
      <c r="R27" s="233" t="s">
        <v>24</v>
      </c>
      <c r="S27" s="233" t="s">
        <v>24</v>
      </c>
      <c r="T27" s="231" t="s">
        <v>23</v>
      </c>
      <c r="U27" s="231" t="s">
        <v>23</v>
      </c>
      <c r="V27" s="232" t="s">
        <v>22</v>
      </c>
      <c r="W27" s="232" t="s">
        <v>22</v>
      </c>
      <c r="X27" s="232" t="s">
        <v>22</v>
      </c>
      <c r="Y27" s="232" t="s">
        <v>22</v>
      </c>
      <c r="Z27" s="231" t="s">
        <v>23</v>
      </c>
      <c r="AA27" s="231" t="s">
        <v>23</v>
      </c>
      <c r="AB27" s="233" t="s">
        <v>24</v>
      </c>
      <c r="AC27" s="233" t="s">
        <v>24</v>
      </c>
      <c r="AD27" s="233" t="s">
        <v>24</v>
      </c>
      <c r="AE27" s="233" t="s">
        <v>24</v>
      </c>
      <c r="AF27" s="234" t="s">
        <v>23</v>
      </c>
      <c r="AH27" s="227">
        <f>VLOOKUP(B27,'OCT25'!B:AK,36,0)</f>
        <v>11</v>
      </c>
      <c r="AI27" s="225">
        <f t="shared" si="4"/>
        <v>0</v>
      </c>
      <c r="AJ27" s="230">
        <f t="shared" si="5"/>
        <v>11</v>
      </c>
    </row>
    <row r="28" spans="1:38" ht="18.75" customHeight="1">
      <c r="A28" s="602" t="s">
        <v>71</v>
      </c>
      <c r="B28" s="535" t="s">
        <v>72</v>
      </c>
      <c r="C28" s="708" t="s">
        <v>30</v>
      </c>
      <c r="D28" s="233" t="s">
        <v>24</v>
      </c>
      <c r="E28" s="233" t="s">
        <v>24</v>
      </c>
      <c r="F28" s="231" t="s">
        <v>23</v>
      </c>
      <c r="G28" s="231" t="s">
        <v>23</v>
      </c>
      <c r="H28" s="232" t="s">
        <v>22</v>
      </c>
      <c r="I28" s="232" t="s">
        <v>22</v>
      </c>
      <c r="J28" s="232" t="s">
        <v>22</v>
      </c>
      <c r="K28" s="232" t="s">
        <v>22</v>
      </c>
      <c r="L28" s="231" t="s">
        <v>23</v>
      </c>
      <c r="M28" s="231" t="s">
        <v>23</v>
      </c>
      <c r="N28" s="266" t="s">
        <v>63</v>
      </c>
      <c r="O28" s="266" t="s">
        <v>63</v>
      </c>
      <c r="P28" s="266" t="s">
        <v>63</v>
      </c>
      <c r="Q28" s="266" t="s">
        <v>63</v>
      </c>
      <c r="R28" s="231" t="s">
        <v>23</v>
      </c>
      <c r="S28" s="231" t="s">
        <v>23</v>
      </c>
      <c r="T28" s="233" t="s">
        <v>24</v>
      </c>
      <c r="U28" s="233" t="s">
        <v>24</v>
      </c>
      <c r="V28" s="233" t="s">
        <v>24</v>
      </c>
      <c r="W28" s="233" t="s">
        <v>24</v>
      </c>
      <c r="X28" s="231" t="s">
        <v>23</v>
      </c>
      <c r="Y28" s="231" t="s">
        <v>23</v>
      </c>
      <c r="Z28" s="232" t="s">
        <v>22</v>
      </c>
      <c r="AA28" s="232" t="s">
        <v>22</v>
      </c>
      <c r="AB28" s="232" t="s">
        <v>22</v>
      </c>
      <c r="AC28" s="232" t="s">
        <v>22</v>
      </c>
      <c r="AD28" s="231" t="s">
        <v>23</v>
      </c>
      <c r="AE28" s="231" t="s">
        <v>23</v>
      </c>
      <c r="AF28" s="236" t="s">
        <v>24</v>
      </c>
      <c r="AH28" s="227">
        <f>VLOOKUP(B28,'OCT25'!B:AK,36,0)</f>
        <v>8</v>
      </c>
      <c r="AI28" s="225">
        <f t="shared" si="4"/>
        <v>0</v>
      </c>
      <c r="AJ28" s="230">
        <f t="shared" si="5"/>
        <v>8</v>
      </c>
    </row>
    <row r="29" spans="1:38" ht="18.75" customHeight="1">
      <c r="A29" s="602" t="s">
        <v>73</v>
      </c>
      <c r="B29" s="535" t="s">
        <v>74</v>
      </c>
      <c r="C29" s="232" t="s">
        <v>22</v>
      </c>
      <c r="D29" s="231" t="s">
        <v>23</v>
      </c>
      <c r="E29" s="231" t="s">
        <v>23</v>
      </c>
      <c r="F29" s="233" t="s">
        <v>24</v>
      </c>
      <c r="G29" s="233" t="s">
        <v>24</v>
      </c>
      <c r="H29" s="233" t="s">
        <v>24</v>
      </c>
      <c r="I29" s="233" t="s">
        <v>24</v>
      </c>
      <c r="J29" s="231" t="s">
        <v>23</v>
      </c>
      <c r="K29" s="231" t="s">
        <v>23</v>
      </c>
      <c r="L29" s="232" t="s">
        <v>22</v>
      </c>
      <c r="M29" s="232" t="s">
        <v>22</v>
      </c>
      <c r="N29" s="232" t="s">
        <v>22</v>
      </c>
      <c r="O29" s="232" t="s">
        <v>22</v>
      </c>
      <c r="P29" s="231" t="s">
        <v>23</v>
      </c>
      <c r="Q29" s="231" t="s">
        <v>23</v>
      </c>
      <c r="R29" s="266" t="s">
        <v>63</v>
      </c>
      <c r="S29" s="266" t="s">
        <v>63</v>
      </c>
      <c r="T29" s="267" t="s">
        <v>34</v>
      </c>
      <c r="U29" s="267" t="s">
        <v>34</v>
      </c>
      <c r="V29" s="231" t="s">
        <v>23</v>
      </c>
      <c r="W29" s="231" t="s">
        <v>23</v>
      </c>
      <c r="X29" s="267" t="s">
        <v>34</v>
      </c>
      <c r="Y29" s="267" t="s">
        <v>34</v>
      </c>
      <c r="Z29" s="267" t="s">
        <v>34</v>
      </c>
      <c r="AA29" s="267" t="s">
        <v>34</v>
      </c>
      <c r="AB29" s="231" t="s">
        <v>23</v>
      </c>
      <c r="AC29" s="231" t="s">
        <v>23</v>
      </c>
      <c r="AD29" s="267" t="s">
        <v>34</v>
      </c>
      <c r="AE29" s="267" t="s">
        <v>34</v>
      </c>
      <c r="AF29" s="268" t="s">
        <v>34</v>
      </c>
      <c r="AH29" s="227">
        <f>VLOOKUP(B29,'OCT25'!B:AK,36,0)</f>
        <v>11</v>
      </c>
      <c r="AI29" s="225">
        <f t="shared" si="4"/>
        <v>9</v>
      </c>
      <c r="AJ29" s="230">
        <f t="shared" si="5"/>
        <v>2</v>
      </c>
    </row>
    <row r="30" spans="1:38" ht="18.75" customHeight="1">
      <c r="A30" s="602" t="s">
        <v>75</v>
      </c>
      <c r="B30" s="535" t="s">
        <v>76</v>
      </c>
      <c r="C30" s="231" t="s">
        <v>23</v>
      </c>
      <c r="D30" s="232" t="s">
        <v>22</v>
      </c>
      <c r="E30" s="232" t="s">
        <v>22</v>
      </c>
      <c r="F30" s="232" t="s">
        <v>22</v>
      </c>
      <c r="G30" s="232" t="s">
        <v>22</v>
      </c>
      <c r="H30" s="231" t="s">
        <v>23</v>
      </c>
      <c r="I30" s="231" t="s">
        <v>23</v>
      </c>
      <c r="J30" s="233" t="s">
        <v>24</v>
      </c>
      <c r="K30" s="233" t="s">
        <v>24</v>
      </c>
      <c r="L30" s="233" t="s">
        <v>24</v>
      </c>
      <c r="M30" s="233" t="s">
        <v>24</v>
      </c>
      <c r="N30" s="231" t="s">
        <v>23</v>
      </c>
      <c r="O30" s="231" t="s">
        <v>23</v>
      </c>
      <c r="P30" s="267" t="s">
        <v>34</v>
      </c>
      <c r="Q30" s="267" t="s">
        <v>34</v>
      </c>
      <c r="R30" s="267" t="s">
        <v>34</v>
      </c>
      <c r="S30" s="267" t="s">
        <v>34</v>
      </c>
      <c r="T30" s="231" t="s">
        <v>23</v>
      </c>
      <c r="U30" s="231" t="s">
        <v>23</v>
      </c>
      <c r="V30" s="266" t="s">
        <v>63</v>
      </c>
      <c r="W30" s="266" t="s">
        <v>63</v>
      </c>
      <c r="X30" s="266" t="s">
        <v>63</v>
      </c>
      <c r="Y30" s="266" t="s">
        <v>63</v>
      </c>
      <c r="Z30" s="231" t="s">
        <v>23</v>
      </c>
      <c r="AA30" s="231" t="s">
        <v>23</v>
      </c>
      <c r="AB30" s="233" t="s">
        <v>24</v>
      </c>
      <c r="AC30" s="233" t="s">
        <v>24</v>
      </c>
      <c r="AD30" s="233" t="s">
        <v>24</v>
      </c>
      <c r="AE30" s="233" t="s">
        <v>24</v>
      </c>
      <c r="AF30" s="234" t="s">
        <v>23</v>
      </c>
      <c r="AH30" s="227">
        <f>VLOOKUP(B30,'OCT25'!B:AK,36,0)</f>
        <v>10</v>
      </c>
      <c r="AI30" s="225">
        <f t="shared" si="4"/>
        <v>4</v>
      </c>
      <c r="AJ30" s="230">
        <f t="shared" si="5"/>
        <v>6</v>
      </c>
    </row>
    <row r="31" spans="1:38" ht="18.75" customHeight="1">
      <c r="A31" s="602" t="s">
        <v>77</v>
      </c>
      <c r="B31" s="535" t="s">
        <v>78</v>
      </c>
      <c r="C31" s="233" t="s">
        <v>24</v>
      </c>
      <c r="D31" s="233" t="s">
        <v>24</v>
      </c>
      <c r="E31" s="233" t="s">
        <v>24</v>
      </c>
      <c r="F31" s="231" t="s">
        <v>23</v>
      </c>
      <c r="G31" s="231" t="s">
        <v>23</v>
      </c>
      <c r="H31" s="267" t="s">
        <v>34</v>
      </c>
      <c r="I31" s="267" t="s">
        <v>34</v>
      </c>
      <c r="J31" s="267" t="s">
        <v>34</v>
      </c>
      <c r="K31" s="267" t="s">
        <v>34</v>
      </c>
      <c r="L31" s="231" t="s">
        <v>23</v>
      </c>
      <c r="M31" s="231" t="s">
        <v>23</v>
      </c>
      <c r="N31" s="233" t="s">
        <v>24</v>
      </c>
      <c r="O31" s="233" t="s">
        <v>24</v>
      </c>
      <c r="P31" s="233" t="s">
        <v>24</v>
      </c>
      <c r="Q31" s="233" t="s">
        <v>24</v>
      </c>
      <c r="R31" s="231" t="s">
        <v>23</v>
      </c>
      <c r="S31" s="231" t="s">
        <v>23</v>
      </c>
      <c r="T31" s="232" t="s">
        <v>22</v>
      </c>
      <c r="U31" s="232" t="s">
        <v>22</v>
      </c>
      <c r="V31" s="232" t="s">
        <v>22</v>
      </c>
      <c r="W31" s="232" t="s">
        <v>22</v>
      </c>
      <c r="X31" s="231" t="s">
        <v>23</v>
      </c>
      <c r="Y31" s="231" t="s">
        <v>23</v>
      </c>
      <c r="Z31" s="266" t="s">
        <v>63</v>
      </c>
      <c r="AA31" s="266" t="s">
        <v>63</v>
      </c>
      <c r="AB31" s="266" t="s">
        <v>63</v>
      </c>
      <c r="AC31" s="266" t="s">
        <v>63</v>
      </c>
      <c r="AD31" s="231" t="s">
        <v>23</v>
      </c>
      <c r="AE31" s="231" t="s">
        <v>23</v>
      </c>
      <c r="AF31" s="236" t="s">
        <v>24</v>
      </c>
      <c r="AH31" s="227">
        <f>VLOOKUP(B31,'OCT25'!B:AK,36,0)</f>
        <v>8</v>
      </c>
      <c r="AI31" s="225">
        <f t="shared" si="4"/>
        <v>4</v>
      </c>
      <c r="AJ31" s="230">
        <f t="shared" si="5"/>
        <v>4</v>
      </c>
    </row>
    <row r="32" spans="1:38" ht="18.75" customHeight="1">
      <c r="A32" s="602" t="s">
        <v>79</v>
      </c>
      <c r="B32" s="535" t="s">
        <v>80</v>
      </c>
      <c r="C32" s="266" t="s">
        <v>63</v>
      </c>
      <c r="D32" s="231" t="s">
        <v>23</v>
      </c>
      <c r="E32" s="231" t="s">
        <v>23</v>
      </c>
      <c r="F32" s="1377" t="s">
        <v>19</v>
      </c>
      <c r="G32" s="1377" t="s">
        <v>19</v>
      </c>
      <c r="H32" s="1377" t="s">
        <v>19</v>
      </c>
      <c r="I32" s="233" t="s">
        <v>24</v>
      </c>
      <c r="J32" s="231" t="s">
        <v>23</v>
      </c>
      <c r="K32" s="231" t="s">
        <v>23</v>
      </c>
      <c r="L32" s="232" t="s">
        <v>22</v>
      </c>
      <c r="M32" s="232" t="s">
        <v>22</v>
      </c>
      <c r="N32" s="232" t="s">
        <v>22</v>
      </c>
      <c r="O32" s="232" t="s">
        <v>22</v>
      </c>
      <c r="P32" s="231" t="s">
        <v>23</v>
      </c>
      <c r="Q32" s="231" t="s">
        <v>23</v>
      </c>
      <c r="R32" s="233" t="s">
        <v>24</v>
      </c>
      <c r="S32" s="233" t="s">
        <v>24</v>
      </c>
      <c r="T32" s="233" t="s">
        <v>24</v>
      </c>
      <c r="U32" s="233" t="s">
        <v>24</v>
      </c>
      <c r="V32" s="231" t="s">
        <v>23</v>
      </c>
      <c r="W32" s="231" t="s">
        <v>23</v>
      </c>
      <c r="X32" s="232" t="s">
        <v>22</v>
      </c>
      <c r="Y32" s="232" t="s">
        <v>22</v>
      </c>
      <c r="Z32" s="232" t="s">
        <v>22</v>
      </c>
      <c r="AA32" s="232" t="s">
        <v>22</v>
      </c>
      <c r="AB32" s="231" t="s">
        <v>23</v>
      </c>
      <c r="AC32" s="231" t="s">
        <v>23</v>
      </c>
      <c r="AD32" s="266" t="s">
        <v>63</v>
      </c>
      <c r="AE32" s="266" t="s">
        <v>63</v>
      </c>
      <c r="AF32" s="263" t="s">
        <v>63</v>
      </c>
      <c r="AH32" s="227">
        <f>VLOOKUP(B32,'OCT25'!B:AK,36,0)</f>
        <v>6</v>
      </c>
      <c r="AI32" s="225">
        <f t="shared" si="4"/>
        <v>0</v>
      </c>
      <c r="AJ32" s="230">
        <f t="shared" si="5"/>
        <v>6</v>
      </c>
    </row>
    <row r="33" spans="1:36" ht="18.75" customHeight="1">
      <c r="A33" s="602" t="s">
        <v>81</v>
      </c>
      <c r="B33" s="535" t="s">
        <v>82</v>
      </c>
      <c r="C33" s="231" t="s">
        <v>23</v>
      </c>
      <c r="D33" s="266" t="s">
        <v>63</v>
      </c>
      <c r="E33" s="266" t="s">
        <v>63</v>
      </c>
      <c r="F33" s="266" t="s">
        <v>63</v>
      </c>
      <c r="G33" s="266" t="s">
        <v>63</v>
      </c>
      <c r="H33" s="231" t="s">
        <v>23</v>
      </c>
      <c r="I33" s="231" t="s">
        <v>23</v>
      </c>
      <c r="J33" s="233" t="s">
        <v>24</v>
      </c>
      <c r="K33" s="233" t="s">
        <v>24</v>
      </c>
      <c r="L33" s="1339" t="s">
        <v>147</v>
      </c>
      <c r="M33" s="233" t="s">
        <v>24</v>
      </c>
      <c r="N33" s="231" t="s">
        <v>23</v>
      </c>
      <c r="O33" s="231" t="s">
        <v>23</v>
      </c>
      <c r="P33" s="232" t="s">
        <v>22</v>
      </c>
      <c r="Q33" s="232" t="s">
        <v>22</v>
      </c>
      <c r="R33" s="232" t="s">
        <v>22</v>
      </c>
      <c r="S33" s="232" t="s">
        <v>22</v>
      </c>
      <c r="T33" s="231" t="s">
        <v>23</v>
      </c>
      <c r="U33" s="231" t="s">
        <v>23</v>
      </c>
      <c r="V33" s="233" t="s">
        <v>24</v>
      </c>
      <c r="W33" s="233" t="s">
        <v>24</v>
      </c>
      <c r="X33" s="233" t="s">
        <v>24</v>
      </c>
      <c r="Y33" s="233" t="s">
        <v>24</v>
      </c>
      <c r="Z33" s="231" t="s">
        <v>23</v>
      </c>
      <c r="AA33" s="231" t="s">
        <v>23</v>
      </c>
      <c r="AB33" s="232" t="s">
        <v>22</v>
      </c>
      <c r="AC33" s="232" t="s">
        <v>22</v>
      </c>
      <c r="AD33" s="232" t="s">
        <v>22</v>
      </c>
      <c r="AE33" s="232" t="s">
        <v>22</v>
      </c>
      <c r="AF33" s="234" t="s">
        <v>23</v>
      </c>
      <c r="AH33" s="227">
        <f>VLOOKUP(B33,'OCT25'!B:AK,36,0)</f>
        <v>10</v>
      </c>
      <c r="AI33" s="225">
        <f t="shared" si="4"/>
        <v>0</v>
      </c>
      <c r="AJ33" s="230">
        <f t="shared" si="5"/>
        <v>10</v>
      </c>
    </row>
    <row r="34" spans="1:36" ht="18.75" customHeight="1">
      <c r="A34" s="602" t="s">
        <v>85</v>
      </c>
      <c r="B34" s="535" t="s">
        <v>86</v>
      </c>
      <c r="C34" s="708" t="s">
        <v>30</v>
      </c>
      <c r="D34" s="267" t="s">
        <v>34</v>
      </c>
      <c r="E34" s="267" t="s">
        <v>34</v>
      </c>
      <c r="F34" s="231" t="s">
        <v>23</v>
      </c>
      <c r="G34" s="231" t="s">
        <v>23</v>
      </c>
      <c r="H34" s="267" t="s">
        <v>34</v>
      </c>
      <c r="I34" s="267" t="s">
        <v>34</v>
      </c>
      <c r="J34" s="267" t="s">
        <v>34</v>
      </c>
      <c r="K34" s="267" t="s">
        <v>34</v>
      </c>
      <c r="L34" s="231" t="s">
        <v>23</v>
      </c>
      <c r="M34" s="231" t="s">
        <v>23</v>
      </c>
      <c r="N34" s="267" t="s">
        <v>34</v>
      </c>
      <c r="O34" s="267" t="s">
        <v>34</v>
      </c>
      <c r="P34" s="267" t="s">
        <v>34</v>
      </c>
      <c r="Q34" s="233" t="s">
        <v>24</v>
      </c>
      <c r="R34" s="231" t="s">
        <v>23</v>
      </c>
      <c r="S34" s="231" t="s">
        <v>23</v>
      </c>
      <c r="T34" s="266" t="s">
        <v>63</v>
      </c>
      <c r="U34" s="266" t="s">
        <v>63</v>
      </c>
      <c r="V34" s="266" t="s">
        <v>63</v>
      </c>
      <c r="W34" s="266" t="s">
        <v>63</v>
      </c>
      <c r="X34" s="231" t="s">
        <v>23</v>
      </c>
      <c r="Y34" s="231" t="s">
        <v>23</v>
      </c>
      <c r="Z34" s="233" t="s">
        <v>24</v>
      </c>
      <c r="AA34" s="233" t="s">
        <v>24</v>
      </c>
      <c r="AB34" s="233" t="s">
        <v>24</v>
      </c>
      <c r="AC34" s="233" t="s">
        <v>24</v>
      </c>
      <c r="AD34" s="231" t="s">
        <v>23</v>
      </c>
      <c r="AE34" s="231" t="s">
        <v>23</v>
      </c>
      <c r="AF34" s="235" t="s">
        <v>22</v>
      </c>
      <c r="AH34" s="227">
        <f>VLOOKUP(B34,'OCT25'!B:AK,36,0)</f>
        <v>9</v>
      </c>
      <c r="AI34" s="225">
        <f t="shared" si="4"/>
        <v>9</v>
      </c>
      <c r="AJ34" s="230">
        <f t="shared" si="5"/>
        <v>0</v>
      </c>
    </row>
    <row r="35" spans="1:36" ht="18.75" customHeight="1">
      <c r="A35" s="602" t="s">
        <v>87</v>
      </c>
      <c r="B35" s="535" t="s">
        <v>88</v>
      </c>
      <c r="C35" s="233" t="s">
        <v>24</v>
      </c>
      <c r="D35" s="237" t="s">
        <v>24</v>
      </c>
      <c r="E35" s="231" t="s">
        <v>23</v>
      </c>
      <c r="F35" s="232" t="s">
        <v>22</v>
      </c>
      <c r="G35" s="232" t="s">
        <v>22</v>
      </c>
      <c r="H35" s="232" t="s">
        <v>22</v>
      </c>
      <c r="I35" s="231" t="s">
        <v>23</v>
      </c>
      <c r="J35" s="231" t="s">
        <v>23</v>
      </c>
      <c r="K35" s="231" t="s">
        <v>23</v>
      </c>
      <c r="L35" s="267" t="s">
        <v>34</v>
      </c>
      <c r="M35" s="267" t="s">
        <v>34</v>
      </c>
      <c r="N35" s="267" t="s">
        <v>34</v>
      </c>
      <c r="O35" s="267" t="s">
        <v>34</v>
      </c>
      <c r="P35" s="231" t="s">
        <v>23</v>
      </c>
      <c r="Q35" s="231" t="s">
        <v>23</v>
      </c>
      <c r="R35" s="267" t="s">
        <v>34</v>
      </c>
      <c r="S35" s="267" t="s">
        <v>34</v>
      </c>
      <c r="T35" s="267" t="s">
        <v>34</v>
      </c>
      <c r="U35" s="267" t="s">
        <v>34</v>
      </c>
      <c r="V35" s="231" t="s">
        <v>23</v>
      </c>
      <c r="W35" s="231" t="s">
        <v>23</v>
      </c>
      <c r="X35" s="267" t="s">
        <v>34</v>
      </c>
      <c r="Y35" s="267" t="s">
        <v>34</v>
      </c>
      <c r="Z35" s="232" t="s">
        <v>22</v>
      </c>
      <c r="AA35" s="232" t="s">
        <v>22</v>
      </c>
      <c r="AB35" s="231" t="s">
        <v>23</v>
      </c>
      <c r="AC35" s="231" t="s">
        <v>23</v>
      </c>
      <c r="AD35" s="233" t="s">
        <v>24</v>
      </c>
      <c r="AE35" s="233" t="s">
        <v>24</v>
      </c>
      <c r="AF35" s="236" t="s">
        <v>24</v>
      </c>
      <c r="AH35" s="227">
        <f>VLOOKUP(B35,'OCT25'!B:AK,36,0)</f>
        <v>11</v>
      </c>
      <c r="AI35" s="225">
        <f t="shared" si="4"/>
        <v>10</v>
      </c>
      <c r="AJ35" s="230">
        <f t="shared" si="5"/>
        <v>1</v>
      </c>
    </row>
    <row r="36" spans="1:36" ht="18.75" customHeight="1">
      <c r="A36" s="680" t="s">
        <v>90</v>
      </c>
      <c r="B36" s="550" t="s">
        <v>91</v>
      </c>
      <c r="C36" s="238" t="s">
        <v>23</v>
      </c>
      <c r="D36" s="231" t="s">
        <v>23</v>
      </c>
      <c r="E36" s="237" t="s">
        <v>83</v>
      </c>
      <c r="F36" s="237" t="s">
        <v>24</v>
      </c>
      <c r="G36" s="237" t="s">
        <v>24</v>
      </c>
      <c r="H36" s="238" t="s">
        <v>23</v>
      </c>
      <c r="I36" s="223" t="s">
        <v>22</v>
      </c>
      <c r="J36" s="223" t="s">
        <v>22</v>
      </c>
      <c r="K36" s="223" t="s">
        <v>22</v>
      </c>
      <c r="L36" s="223" t="s">
        <v>22</v>
      </c>
      <c r="M36" s="223" t="s">
        <v>22</v>
      </c>
      <c r="N36" s="238" t="s">
        <v>23</v>
      </c>
      <c r="O36" s="238" t="s">
        <v>23</v>
      </c>
      <c r="P36" s="292" t="s">
        <v>63</v>
      </c>
      <c r="Q36" s="292" t="s">
        <v>63</v>
      </c>
      <c r="R36" s="292" t="s">
        <v>63</v>
      </c>
      <c r="S36" s="292" t="s">
        <v>63</v>
      </c>
      <c r="T36" s="238" t="s">
        <v>23</v>
      </c>
      <c r="U36" s="238" t="s">
        <v>23</v>
      </c>
      <c r="V36" s="237" t="s">
        <v>24</v>
      </c>
      <c r="W36" s="237" t="s">
        <v>24</v>
      </c>
      <c r="X36" s="237" t="s">
        <v>24</v>
      </c>
      <c r="Y36" s="237" t="s">
        <v>24</v>
      </c>
      <c r="Z36" s="238" t="s">
        <v>23</v>
      </c>
      <c r="AA36" s="238" t="s">
        <v>23</v>
      </c>
      <c r="AB36" s="223" t="s">
        <v>22</v>
      </c>
      <c r="AC36" s="223" t="s">
        <v>22</v>
      </c>
      <c r="AD36" s="223" t="s">
        <v>22</v>
      </c>
      <c r="AE36" s="223" t="s">
        <v>22</v>
      </c>
      <c r="AF36" s="239" t="s">
        <v>23</v>
      </c>
      <c r="AH36" s="241">
        <f>VLOOKUP(B36,'OCT25'!B:AK,36,0)</f>
        <v>18</v>
      </c>
      <c r="AI36" s="283">
        <f t="shared" si="4"/>
        <v>0</v>
      </c>
      <c r="AJ36" s="288">
        <f t="shared" si="5"/>
        <v>18</v>
      </c>
    </row>
    <row r="37" spans="1:36" ht="20.100000000000001" customHeight="1">
      <c r="A37" s="968"/>
      <c r="B37" s="968"/>
      <c r="C37" s="244"/>
      <c r="D37" s="303"/>
      <c r="E37" s="303"/>
      <c r="F37" s="303"/>
      <c r="G37" s="303"/>
      <c r="H37" s="244"/>
      <c r="I37" s="244"/>
      <c r="J37" s="244"/>
      <c r="K37" s="244"/>
      <c r="L37" s="244"/>
      <c r="M37" s="244"/>
      <c r="N37" s="244"/>
      <c r="O37" s="244"/>
      <c r="P37" s="863"/>
      <c r="Q37" s="863"/>
      <c r="R37" s="863"/>
      <c r="S37" s="863"/>
      <c r="T37" s="244"/>
      <c r="U37" s="244"/>
      <c r="V37" s="303"/>
      <c r="W37" s="303"/>
      <c r="X37" s="303"/>
      <c r="Y37" s="303"/>
      <c r="Z37" s="244"/>
      <c r="AA37" s="244"/>
      <c r="AB37" s="244"/>
      <c r="AC37" s="244"/>
      <c r="AD37" s="244"/>
      <c r="AE37" s="244"/>
      <c r="AF37" s="244"/>
      <c r="AH37" s="247"/>
      <c r="AI37" s="247"/>
      <c r="AJ37" s="247"/>
    </row>
    <row r="38" spans="1:36" ht="24.95" customHeight="1" thickBot="1">
      <c r="A38" s="581" t="s">
        <v>197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  <c r="P38" s="514"/>
      <c r="Q38" s="514"/>
      <c r="R38" s="514"/>
      <c r="S38" s="514"/>
      <c r="T38" s="514"/>
      <c r="U38" s="514"/>
      <c r="V38" s="514"/>
      <c r="W38" s="514"/>
      <c r="X38" s="514"/>
      <c r="Y38" s="514"/>
      <c r="Z38" s="514"/>
      <c r="AA38" s="514"/>
      <c r="AB38" s="514"/>
      <c r="AC38" s="514"/>
      <c r="AD38" s="650"/>
      <c r="AE38" s="650"/>
      <c r="AF38" s="651"/>
      <c r="AH38" s="247"/>
      <c r="AI38" s="247"/>
      <c r="AJ38" s="247"/>
    </row>
    <row r="39" spans="1:36" ht="19.5" customHeight="1">
      <c r="A39" s="602" t="s">
        <v>98</v>
      </c>
      <c r="B39" s="535" t="s">
        <v>99</v>
      </c>
      <c r="C39" s="232" t="s">
        <v>22</v>
      </c>
      <c r="D39" s="232" t="s">
        <v>22</v>
      </c>
      <c r="E39" s="232" t="s">
        <v>22</v>
      </c>
      <c r="F39" s="232" t="s">
        <v>22</v>
      </c>
      <c r="G39" s="25" t="s">
        <v>23</v>
      </c>
      <c r="H39" s="25" t="s">
        <v>23</v>
      </c>
      <c r="I39" s="233" t="s">
        <v>24</v>
      </c>
      <c r="J39" s="233" t="s">
        <v>24</v>
      </c>
      <c r="K39" s="233" t="s">
        <v>146</v>
      </c>
      <c r="L39" s="233" t="s">
        <v>24</v>
      </c>
      <c r="M39" s="25" t="s">
        <v>23</v>
      </c>
      <c r="N39" s="25" t="s">
        <v>23</v>
      </c>
      <c r="O39" s="232" t="s">
        <v>22</v>
      </c>
      <c r="P39" s="232" t="s">
        <v>22</v>
      </c>
      <c r="Q39" s="232" t="s">
        <v>22</v>
      </c>
      <c r="R39" s="232" t="s">
        <v>22</v>
      </c>
      <c r="S39" s="25" t="s">
        <v>23</v>
      </c>
      <c r="T39" s="25" t="s">
        <v>23</v>
      </c>
      <c r="U39" s="233" t="s">
        <v>24</v>
      </c>
      <c r="V39" s="233" t="s">
        <v>24</v>
      </c>
      <c r="W39" s="233" t="s">
        <v>24</v>
      </c>
      <c r="X39" s="233" t="s">
        <v>24</v>
      </c>
      <c r="Y39" s="25" t="s">
        <v>23</v>
      </c>
      <c r="Z39" s="25" t="s">
        <v>23</v>
      </c>
      <c r="AA39" s="232" t="s">
        <v>22</v>
      </c>
      <c r="AB39" s="232" t="s">
        <v>22</v>
      </c>
      <c r="AC39" s="232" t="s">
        <v>22</v>
      </c>
      <c r="AD39" s="232" t="s">
        <v>22</v>
      </c>
      <c r="AE39" s="25" t="s">
        <v>23</v>
      </c>
      <c r="AF39" s="36" t="s">
        <v>23</v>
      </c>
      <c r="AH39" s="220">
        <f>VLOOKUP(B39,'OCT25'!B:AK,36,0)</f>
        <v>10</v>
      </c>
      <c r="AI39" s="218">
        <f t="shared" ref="AI39:AI40" si="6">COUNTIF(C39:AF39,"U")</f>
        <v>0</v>
      </c>
      <c r="AJ39" s="221">
        <f t="shared" ref="AJ39:AJ40" si="7">AH39-AI39</f>
        <v>10</v>
      </c>
    </row>
    <row r="40" spans="1:36" ht="19.5" customHeight="1">
      <c r="A40" s="602" t="s">
        <v>123</v>
      </c>
      <c r="B40" s="535" t="s">
        <v>124</v>
      </c>
      <c r="C40" s="233" t="s">
        <v>24</v>
      </c>
      <c r="D40" s="233" t="s">
        <v>24</v>
      </c>
      <c r="E40" s="25" t="s">
        <v>23</v>
      </c>
      <c r="F40" s="25" t="s">
        <v>23</v>
      </c>
      <c r="G40" s="232" t="s">
        <v>22</v>
      </c>
      <c r="H40" s="232" t="s">
        <v>22</v>
      </c>
      <c r="I40" s="232" t="s">
        <v>22</v>
      </c>
      <c r="J40" s="232" t="s">
        <v>22</v>
      </c>
      <c r="K40" s="25" t="s">
        <v>23</v>
      </c>
      <c r="L40" s="25" t="s">
        <v>23</v>
      </c>
      <c r="M40" s="233" t="s">
        <v>24</v>
      </c>
      <c r="N40" s="233" t="s">
        <v>24</v>
      </c>
      <c r="O40" s="233" t="s">
        <v>24</v>
      </c>
      <c r="P40" s="233" t="s">
        <v>24</v>
      </c>
      <c r="Q40" s="25" t="s">
        <v>23</v>
      </c>
      <c r="R40" s="25" t="s">
        <v>23</v>
      </c>
      <c r="S40" s="278" t="s">
        <v>34</v>
      </c>
      <c r="T40" s="278" t="s">
        <v>34</v>
      </c>
      <c r="U40" s="278" t="s">
        <v>34</v>
      </c>
      <c r="V40" s="278" t="s">
        <v>34</v>
      </c>
      <c r="W40" s="269" t="s">
        <v>23</v>
      </c>
      <c r="X40" s="269" t="s">
        <v>23</v>
      </c>
      <c r="Y40" s="278" t="s">
        <v>34</v>
      </c>
      <c r="Z40" s="278" t="s">
        <v>34</v>
      </c>
      <c r="AA40" s="278" t="s">
        <v>34</v>
      </c>
      <c r="AB40" s="278" t="s">
        <v>34</v>
      </c>
      <c r="AC40" s="269" t="s">
        <v>23</v>
      </c>
      <c r="AD40" s="269" t="s">
        <v>23</v>
      </c>
      <c r="AE40" s="278" t="s">
        <v>34</v>
      </c>
      <c r="AF40" s="306" t="s">
        <v>34</v>
      </c>
      <c r="AH40" s="227">
        <f>VLOOKUP(B40,'OCT25'!B:AK,36,0)</f>
        <v>11</v>
      </c>
      <c r="AI40" s="225">
        <f t="shared" si="6"/>
        <v>10</v>
      </c>
      <c r="AJ40" s="230">
        <f t="shared" si="7"/>
        <v>1</v>
      </c>
    </row>
    <row r="41" spans="1:36" ht="19.5" customHeight="1" thickBot="1">
      <c r="A41" s="680" t="s">
        <v>94</v>
      </c>
      <c r="B41" s="550" t="s">
        <v>95</v>
      </c>
      <c r="C41" s="24" t="s">
        <v>23</v>
      </c>
      <c r="D41" s="24" t="s">
        <v>23</v>
      </c>
      <c r="E41" s="237" t="s">
        <v>24</v>
      </c>
      <c r="F41" s="237" t="s">
        <v>24</v>
      </c>
      <c r="G41" s="237" t="s">
        <v>24</v>
      </c>
      <c r="H41" s="237" t="s">
        <v>24</v>
      </c>
      <c r="I41" s="24" t="s">
        <v>23</v>
      </c>
      <c r="J41" s="24" t="s">
        <v>23</v>
      </c>
      <c r="K41" s="223" t="s">
        <v>22</v>
      </c>
      <c r="L41" s="223" t="s">
        <v>22</v>
      </c>
      <c r="M41" s="223" t="s">
        <v>22</v>
      </c>
      <c r="N41" s="223" t="s">
        <v>22</v>
      </c>
      <c r="O41" s="24" t="s">
        <v>23</v>
      </c>
      <c r="P41" s="24" t="s">
        <v>23</v>
      </c>
      <c r="Q41" s="237" t="s">
        <v>24</v>
      </c>
      <c r="R41" s="237" t="s">
        <v>24</v>
      </c>
      <c r="S41" s="237" t="s">
        <v>24</v>
      </c>
      <c r="T41" s="237" t="s">
        <v>24</v>
      </c>
      <c r="U41" s="24" t="s">
        <v>23</v>
      </c>
      <c r="V41" s="24" t="s">
        <v>23</v>
      </c>
      <c r="W41" s="223" t="s">
        <v>22</v>
      </c>
      <c r="X41" s="223" t="s">
        <v>22</v>
      </c>
      <c r="Y41" s="223" t="s">
        <v>22</v>
      </c>
      <c r="Z41" s="223" t="s">
        <v>22</v>
      </c>
      <c r="AA41" s="24" t="s">
        <v>23</v>
      </c>
      <c r="AB41" s="24" t="s">
        <v>23</v>
      </c>
      <c r="AC41" s="360" t="s">
        <v>34</v>
      </c>
      <c r="AD41" s="360" t="s">
        <v>34</v>
      </c>
      <c r="AE41" s="360" t="s">
        <v>34</v>
      </c>
      <c r="AF41" s="976" t="s">
        <v>34</v>
      </c>
      <c r="AH41" s="241">
        <f>VLOOKUP(B41,'OCT25'!B:AK,36,0)</f>
        <v>9</v>
      </c>
      <c r="AI41" s="283">
        <f>COUNTIF(C41:AF41,"U")</f>
        <v>4</v>
      </c>
      <c r="AJ41" s="288">
        <f>AH41-AI41</f>
        <v>5</v>
      </c>
    </row>
    <row r="42" spans="1:36" ht="20.100000000000001" customHeight="1" thickBot="1">
      <c r="A42" s="968"/>
      <c r="B42" s="968"/>
      <c r="C42" s="167"/>
      <c r="D42" s="167"/>
      <c r="E42" s="303"/>
      <c r="F42" s="303"/>
      <c r="G42" s="303"/>
      <c r="H42" s="303"/>
      <c r="I42" s="167"/>
      <c r="J42" s="167"/>
      <c r="K42" s="244"/>
      <c r="L42" s="244"/>
      <c r="M42" s="244"/>
      <c r="N42" s="244"/>
      <c r="O42" s="167"/>
      <c r="P42" s="167"/>
      <c r="Q42" s="303"/>
      <c r="R42" s="303"/>
      <c r="S42" s="303"/>
      <c r="T42" s="303"/>
      <c r="U42" s="167"/>
      <c r="V42" s="167"/>
      <c r="W42" s="244"/>
      <c r="X42" s="244"/>
      <c r="Y42" s="244"/>
      <c r="Z42" s="244"/>
      <c r="AA42" s="167"/>
      <c r="AB42" s="167"/>
      <c r="AC42" s="789"/>
      <c r="AD42" s="789"/>
      <c r="AE42" s="789"/>
      <c r="AF42" s="789"/>
      <c r="AH42" s="247"/>
      <c r="AI42" s="247"/>
      <c r="AJ42" s="247"/>
    </row>
    <row r="43" spans="1:36" ht="24.95" customHeight="1">
      <c r="A43" s="581" t="s">
        <v>198</v>
      </c>
      <c r="B43" s="514"/>
      <c r="C43" s="514"/>
      <c r="D43" s="514"/>
      <c r="E43" s="514"/>
      <c r="F43" s="514"/>
      <c r="G43" s="514"/>
      <c r="H43" s="514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Y43" s="514"/>
      <c r="Z43" s="514"/>
      <c r="AA43" s="514"/>
      <c r="AB43" s="514"/>
      <c r="AC43" s="514"/>
      <c r="AD43" s="650"/>
      <c r="AE43" s="650"/>
      <c r="AF43" s="651"/>
      <c r="AH43" s="247"/>
      <c r="AI43" s="247"/>
      <c r="AJ43" s="247"/>
    </row>
    <row r="44" spans="1:36" ht="19.5" customHeight="1">
      <c r="A44" s="1279" t="s">
        <v>201</v>
      </c>
      <c r="B44" s="1280" t="s">
        <v>202</v>
      </c>
      <c r="C44" s="1275" t="s">
        <v>30</v>
      </c>
      <c r="D44" s="1152" t="s">
        <v>24</v>
      </c>
      <c r="E44" s="1152" t="s">
        <v>24</v>
      </c>
      <c r="F44" s="1152" t="s">
        <v>24</v>
      </c>
      <c r="G44" s="1151" t="s">
        <v>23</v>
      </c>
      <c r="H44" s="1151" t="s">
        <v>23</v>
      </c>
      <c r="I44" s="1150" t="s">
        <v>22</v>
      </c>
      <c r="J44" s="1150" t="s">
        <v>22</v>
      </c>
      <c r="K44" s="1150" t="s">
        <v>22</v>
      </c>
      <c r="L44" s="1150" t="s">
        <v>22</v>
      </c>
      <c r="M44" s="1151" t="s">
        <v>23</v>
      </c>
      <c r="N44" s="1151" t="s">
        <v>23</v>
      </c>
      <c r="O44" s="1152" t="s">
        <v>24</v>
      </c>
      <c r="P44" s="1152" t="s">
        <v>24</v>
      </c>
      <c r="Q44" s="1152" t="s">
        <v>24</v>
      </c>
      <c r="R44" s="1152" t="s">
        <v>24</v>
      </c>
      <c r="S44" s="1151" t="s">
        <v>23</v>
      </c>
      <c r="T44" s="1151" t="s">
        <v>23</v>
      </c>
      <c r="U44" s="1150" t="s">
        <v>22</v>
      </c>
      <c r="V44" s="1150" t="s">
        <v>22</v>
      </c>
      <c r="W44" s="1374" t="s">
        <v>22</v>
      </c>
      <c r="X44" s="1374" t="s">
        <v>22</v>
      </c>
      <c r="Y44" s="1375" t="s">
        <v>23</v>
      </c>
      <c r="Z44" s="1375" t="s">
        <v>23</v>
      </c>
      <c r="AA44" s="1374" t="s">
        <v>22</v>
      </c>
      <c r="AB44" s="1374" t="s">
        <v>22</v>
      </c>
      <c r="AC44" s="1374" t="s">
        <v>22</v>
      </c>
      <c r="AD44" s="1150" t="s">
        <v>22</v>
      </c>
      <c r="AE44" s="1151" t="s">
        <v>23</v>
      </c>
      <c r="AF44" s="1154" t="s">
        <v>23</v>
      </c>
      <c r="AH44" s="247"/>
      <c r="AI44" s="247"/>
      <c r="AJ44" s="247"/>
    </row>
    <row r="45" spans="1:36" ht="19.5" customHeight="1">
      <c r="A45" s="1281" t="s">
        <v>111</v>
      </c>
      <c r="B45" s="1282" t="s">
        <v>112</v>
      </c>
      <c r="C45" s="1276" t="s">
        <v>30</v>
      </c>
      <c r="D45" s="1197" t="s">
        <v>34</v>
      </c>
      <c r="E45" s="159" t="s">
        <v>23</v>
      </c>
      <c r="F45" s="159" t="s">
        <v>23</v>
      </c>
      <c r="G45" s="1198" t="s">
        <v>24</v>
      </c>
      <c r="H45" s="1198" t="s">
        <v>24</v>
      </c>
      <c r="I45" s="1198" t="s">
        <v>24</v>
      </c>
      <c r="J45" s="1198" t="s">
        <v>24</v>
      </c>
      <c r="K45" s="159" t="s">
        <v>23</v>
      </c>
      <c r="L45" s="159" t="s">
        <v>23</v>
      </c>
      <c r="M45" s="1235" t="s">
        <v>22</v>
      </c>
      <c r="N45" s="1235" t="s">
        <v>22</v>
      </c>
      <c r="O45" s="1235" t="s">
        <v>22</v>
      </c>
      <c r="P45" s="1235" t="s">
        <v>22</v>
      </c>
      <c r="Q45" s="159" t="s">
        <v>23</v>
      </c>
      <c r="R45" s="159" t="s">
        <v>23</v>
      </c>
      <c r="S45" s="1198" t="s">
        <v>24</v>
      </c>
      <c r="T45" s="1198" t="s">
        <v>24</v>
      </c>
      <c r="U45" s="1198" t="s">
        <v>24</v>
      </c>
      <c r="V45" s="1371" t="s">
        <v>24</v>
      </c>
      <c r="W45" s="159" t="s">
        <v>23</v>
      </c>
      <c r="X45" s="159" t="s">
        <v>23</v>
      </c>
      <c r="Y45" s="1235" t="s">
        <v>22</v>
      </c>
      <c r="Z45" s="1235" t="s">
        <v>22</v>
      </c>
      <c r="AA45" s="1235" t="s">
        <v>22</v>
      </c>
      <c r="AB45" s="1235" t="s">
        <v>22</v>
      </c>
      <c r="AC45" s="159" t="s">
        <v>23</v>
      </c>
      <c r="AD45" s="195" t="s">
        <v>23</v>
      </c>
      <c r="AE45" s="1235" t="s">
        <v>22</v>
      </c>
      <c r="AF45" s="1238" t="s">
        <v>22</v>
      </c>
      <c r="AH45" s="259">
        <f>VLOOKUP(B45,'OCT25'!B:AK,36,0)</f>
        <v>5</v>
      </c>
      <c r="AI45" s="250">
        <f t="shared" ref="AI45:AI51" si="8">COUNTIF(C45:AF45,"U")</f>
        <v>1</v>
      </c>
      <c r="AJ45" s="252">
        <f t="shared" ref="AJ45:AJ51" si="9">AH45-AI45</f>
        <v>4</v>
      </c>
    </row>
    <row r="46" spans="1:36" ht="19.5" customHeight="1">
      <c r="A46" s="1281" t="s">
        <v>140</v>
      </c>
      <c r="B46" s="1282" t="s">
        <v>141</v>
      </c>
      <c r="C46" s="1276" t="s">
        <v>30</v>
      </c>
      <c r="D46" s="1197" t="s">
        <v>34</v>
      </c>
      <c r="E46" s="1197" t="s">
        <v>34</v>
      </c>
      <c r="F46" s="1237" t="s">
        <v>147</v>
      </c>
      <c r="G46" s="159" t="s">
        <v>23</v>
      </c>
      <c r="H46" s="159" t="s">
        <v>23</v>
      </c>
      <c r="I46" s="1236" t="s">
        <v>63</v>
      </c>
      <c r="J46" s="1236" t="s">
        <v>63</v>
      </c>
      <c r="K46" s="1236" t="s">
        <v>63</v>
      </c>
      <c r="L46" s="1236" t="s">
        <v>63</v>
      </c>
      <c r="M46" s="159" t="s">
        <v>23</v>
      </c>
      <c r="N46" s="159" t="s">
        <v>23</v>
      </c>
      <c r="O46" s="1198" t="s">
        <v>24</v>
      </c>
      <c r="P46" s="1198" t="s">
        <v>24</v>
      </c>
      <c r="Q46" s="1198" t="s">
        <v>24</v>
      </c>
      <c r="R46" s="1198" t="s">
        <v>24</v>
      </c>
      <c r="S46" s="159" t="s">
        <v>23</v>
      </c>
      <c r="T46" s="159" t="s">
        <v>23</v>
      </c>
      <c r="U46" s="1235" t="s">
        <v>22</v>
      </c>
      <c r="V46" s="1372" t="s">
        <v>22</v>
      </c>
      <c r="W46" s="1235" t="s">
        <v>22</v>
      </c>
      <c r="X46" s="1235" t="s">
        <v>22</v>
      </c>
      <c r="Y46" s="159" t="s">
        <v>23</v>
      </c>
      <c r="Z46" s="159" t="s">
        <v>23</v>
      </c>
      <c r="AA46" s="1198" t="s">
        <v>24</v>
      </c>
      <c r="AB46" s="1198" t="s">
        <v>24</v>
      </c>
      <c r="AC46" s="1198" t="s">
        <v>24</v>
      </c>
      <c r="AD46" s="1373" t="s">
        <v>24</v>
      </c>
      <c r="AE46" s="159" t="s">
        <v>23</v>
      </c>
      <c r="AF46" s="1239" t="s">
        <v>23</v>
      </c>
      <c r="AH46" s="260">
        <f>VLOOKUP(B46,'OCT25'!B:AK,36,0)</f>
        <v>7</v>
      </c>
      <c r="AI46" s="253">
        <f t="shared" si="8"/>
        <v>2</v>
      </c>
      <c r="AJ46" s="254">
        <f t="shared" si="9"/>
        <v>5</v>
      </c>
    </row>
    <row r="47" spans="1:36" ht="19.5" customHeight="1">
      <c r="A47" s="1281" t="s">
        <v>151</v>
      </c>
      <c r="B47" s="1282" t="s">
        <v>152</v>
      </c>
      <c r="C47" s="1277" t="s">
        <v>22</v>
      </c>
      <c r="D47" s="1235" t="s">
        <v>22</v>
      </c>
      <c r="E47" s="159" t="s">
        <v>23</v>
      </c>
      <c r="F47" s="159" t="s">
        <v>23</v>
      </c>
      <c r="G47" s="1237" t="s">
        <v>147</v>
      </c>
      <c r="H47" s="1237" t="s">
        <v>147</v>
      </c>
      <c r="I47" s="1237" t="s">
        <v>147</v>
      </c>
      <c r="J47" s="1237" t="s">
        <v>147</v>
      </c>
      <c r="K47" s="159" t="s">
        <v>23</v>
      </c>
      <c r="L47" s="159" t="s">
        <v>23</v>
      </c>
      <c r="M47" s="1236" t="s">
        <v>63</v>
      </c>
      <c r="N47" s="1236" t="s">
        <v>63</v>
      </c>
      <c r="O47" s="1236" t="s">
        <v>63</v>
      </c>
      <c r="P47" s="1236" t="s">
        <v>63</v>
      </c>
      <c r="Q47" s="159" t="s">
        <v>23</v>
      </c>
      <c r="R47" s="159" t="s">
        <v>23</v>
      </c>
      <c r="S47" s="1198" t="s">
        <v>24</v>
      </c>
      <c r="T47" s="1198" t="s">
        <v>24</v>
      </c>
      <c r="U47" s="1274" t="s">
        <v>34</v>
      </c>
      <c r="V47" s="267" t="s">
        <v>34</v>
      </c>
      <c r="W47" s="159" t="s">
        <v>23</v>
      </c>
      <c r="X47" s="159" t="s">
        <v>23</v>
      </c>
      <c r="Y47" s="205" t="s">
        <v>103</v>
      </c>
      <c r="Z47" s="205" t="s">
        <v>103</v>
      </c>
      <c r="AA47" s="205" t="s">
        <v>103</v>
      </c>
      <c r="AB47" s="205" t="s">
        <v>103</v>
      </c>
      <c r="AC47" s="159" t="s">
        <v>23</v>
      </c>
      <c r="AD47" s="195" t="s">
        <v>23</v>
      </c>
      <c r="AE47" s="278" t="s">
        <v>34</v>
      </c>
      <c r="AF47" s="278" t="s">
        <v>34</v>
      </c>
      <c r="AH47" s="260">
        <f>VLOOKUP(B47,'OCT25'!B:AK,36,0)</f>
        <v>7</v>
      </c>
      <c r="AI47" s="253">
        <f t="shared" si="8"/>
        <v>4</v>
      </c>
      <c r="AJ47" s="254">
        <f t="shared" si="9"/>
        <v>3</v>
      </c>
    </row>
    <row r="48" spans="1:36" ht="19.5" customHeight="1">
      <c r="A48" s="1281" t="s">
        <v>113</v>
      </c>
      <c r="B48" s="1282" t="s">
        <v>114</v>
      </c>
      <c r="C48" s="195" t="s">
        <v>23</v>
      </c>
      <c r="D48" s="159" t="s">
        <v>23</v>
      </c>
      <c r="E48" s="1236" t="s">
        <v>63</v>
      </c>
      <c r="F48" s="1236" t="s">
        <v>63</v>
      </c>
      <c r="G48" s="1236" t="s">
        <v>63</v>
      </c>
      <c r="H48" s="1236" t="s">
        <v>63</v>
      </c>
      <c r="I48" s="159" t="s">
        <v>23</v>
      </c>
      <c r="J48" s="159" t="s">
        <v>23</v>
      </c>
      <c r="K48" s="1198" t="s">
        <v>24</v>
      </c>
      <c r="L48" s="1198" t="s">
        <v>24</v>
      </c>
      <c r="M48" s="1198" t="s">
        <v>24</v>
      </c>
      <c r="N48" s="1198" t="s">
        <v>24</v>
      </c>
      <c r="O48" s="159" t="s">
        <v>23</v>
      </c>
      <c r="P48" s="159" t="s">
        <v>23</v>
      </c>
      <c r="Q48" s="1266" t="s">
        <v>103</v>
      </c>
      <c r="R48" s="1266" t="s">
        <v>103</v>
      </c>
      <c r="S48" s="1266" t="s">
        <v>103</v>
      </c>
      <c r="T48" s="1266" t="s">
        <v>103</v>
      </c>
      <c r="U48" s="159" t="s">
        <v>23</v>
      </c>
      <c r="V48" s="1361" t="s">
        <v>23</v>
      </c>
      <c r="W48" s="1220" t="s">
        <v>83</v>
      </c>
      <c r="X48" s="1198" t="s">
        <v>24</v>
      </c>
      <c r="Y48" s="1198" t="s">
        <v>24</v>
      </c>
      <c r="Z48" s="1198" t="s">
        <v>24</v>
      </c>
      <c r="AA48" s="159" t="s">
        <v>23</v>
      </c>
      <c r="AB48" s="159" t="s">
        <v>23</v>
      </c>
      <c r="AC48" s="1235" t="s">
        <v>22</v>
      </c>
      <c r="AD48" s="1277" t="s">
        <v>22</v>
      </c>
      <c r="AE48" s="1235" t="s">
        <v>22</v>
      </c>
      <c r="AF48" s="1238" t="s">
        <v>22</v>
      </c>
      <c r="AH48" s="260">
        <f>VLOOKUP(B48,'OCT25'!B:AK,36,0)</f>
        <v>8</v>
      </c>
      <c r="AI48" s="253">
        <f t="shared" si="8"/>
        <v>0</v>
      </c>
      <c r="AJ48" s="254">
        <f t="shared" si="9"/>
        <v>8</v>
      </c>
    </row>
    <row r="49" spans="1:36" ht="19.5" customHeight="1">
      <c r="A49" s="1281" t="s">
        <v>117</v>
      </c>
      <c r="B49" s="1282" t="s">
        <v>118</v>
      </c>
      <c r="C49" s="1277" t="s">
        <v>22</v>
      </c>
      <c r="D49" s="1235" t="s">
        <v>22</v>
      </c>
      <c r="E49" s="159" t="s">
        <v>23</v>
      </c>
      <c r="F49" s="159" t="s">
        <v>23</v>
      </c>
      <c r="G49" s="1198" t="s">
        <v>24</v>
      </c>
      <c r="H49" s="1198" t="s">
        <v>24</v>
      </c>
      <c r="I49" s="1198" t="s">
        <v>24</v>
      </c>
      <c r="J49" s="1198" t="s">
        <v>24</v>
      </c>
      <c r="K49" s="159" t="s">
        <v>23</v>
      </c>
      <c r="L49" s="159" t="s">
        <v>23</v>
      </c>
      <c r="M49" s="1235" t="s">
        <v>22</v>
      </c>
      <c r="N49" s="1235" t="s">
        <v>22</v>
      </c>
      <c r="O49" s="1235" t="s">
        <v>22</v>
      </c>
      <c r="P49" s="1235" t="s">
        <v>22</v>
      </c>
      <c r="Q49" s="159" t="s">
        <v>23</v>
      </c>
      <c r="R49" s="159" t="s">
        <v>23</v>
      </c>
      <c r="S49" s="1235" t="s">
        <v>22</v>
      </c>
      <c r="T49" s="1235" t="s">
        <v>22</v>
      </c>
      <c r="U49" s="1235" t="s">
        <v>22</v>
      </c>
      <c r="V49" s="159" t="s">
        <v>23</v>
      </c>
      <c r="W49" s="194" t="s">
        <v>23</v>
      </c>
      <c r="X49" s="1376" t="s">
        <v>63</v>
      </c>
      <c r="Y49" s="1376" t="s">
        <v>63</v>
      </c>
      <c r="Z49" s="1376" t="s">
        <v>63</v>
      </c>
      <c r="AA49" s="1376" t="s">
        <v>63</v>
      </c>
      <c r="AB49" s="1376" t="s">
        <v>63</v>
      </c>
      <c r="AC49" s="194" t="s">
        <v>23</v>
      </c>
      <c r="AD49" s="159" t="s">
        <v>23</v>
      </c>
      <c r="AE49" s="1198" t="s">
        <v>24</v>
      </c>
      <c r="AF49" s="1241" t="s">
        <v>24</v>
      </c>
      <c r="AH49" s="260">
        <f>VLOOKUP(B49,'OCT25'!B:AK,36,0)</f>
        <v>4</v>
      </c>
      <c r="AI49" s="253">
        <f t="shared" si="8"/>
        <v>0</v>
      </c>
      <c r="AJ49" s="254">
        <f t="shared" si="9"/>
        <v>4</v>
      </c>
    </row>
    <row r="50" spans="1:36" ht="19.5" customHeight="1">
      <c r="A50" s="1281" t="s">
        <v>119</v>
      </c>
      <c r="B50" s="1282" t="s">
        <v>120</v>
      </c>
      <c r="C50" s="195" t="s">
        <v>23</v>
      </c>
      <c r="D50" s="159" t="s">
        <v>23</v>
      </c>
      <c r="E50" s="1235" t="s">
        <v>22</v>
      </c>
      <c r="F50" s="1235" t="s">
        <v>22</v>
      </c>
      <c r="G50" s="1235" t="s">
        <v>22</v>
      </c>
      <c r="H50" s="1235" t="s">
        <v>22</v>
      </c>
      <c r="I50" s="159" t="s">
        <v>23</v>
      </c>
      <c r="J50" s="159" t="s">
        <v>23</v>
      </c>
      <c r="K50" s="1198" t="s">
        <v>24</v>
      </c>
      <c r="L50" s="1198" t="s">
        <v>24</v>
      </c>
      <c r="M50" s="1198" t="s">
        <v>24</v>
      </c>
      <c r="N50" s="1198" t="s">
        <v>24</v>
      </c>
      <c r="O50" s="159" t="s">
        <v>23</v>
      </c>
      <c r="P50" s="159" t="s">
        <v>23</v>
      </c>
      <c r="Q50" s="1235" t="s">
        <v>22</v>
      </c>
      <c r="R50" s="1235" t="s">
        <v>22</v>
      </c>
      <c r="S50" s="1235" t="s">
        <v>22</v>
      </c>
      <c r="T50" s="1235" t="s">
        <v>22</v>
      </c>
      <c r="U50" s="159" t="s">
        <v>23</v>
      </c>
      <c r="V50" s="159" t="s">
        <v>23</v>
      </c>
      <c r="W50" s="1198" t="s">
        <v>24</v>
      </c>
      <c r="X50" s="1198" t="s">
        <v>24</v>
      </c>
      <c r="Y50" s="1198" t="s">
        <v>24</v>
      </c>
      <c r="Z50" s="1198" t="s">
        <v>24</v>
      </c>
      <c r="AA50" s="159" t="s">
        <v>23</v>
      </c>
      <c r="AB50" s="1272" t="s">
        <v>63</v>
      </c>
      <c r="AC50" s="1236" t="s">
        <v>63</v>
      </c>
      <c r="AD50" s="1236" t="s">
        <v>63</v>
      </c>
      <c r="AE50" s="1236" t="s">
        <v>63</v>
      </c>
      <c r="AF50" s="159" t="s">
        <v>23</v>
      </c>
      <c r="AH50" s="260">
        <f>VLOOKUP(B50,'OCT25'!B:AK,36,0)</f>
        <v>11</v>
      </c>
      <c r="AI50" s="253">
        <f t="shared" si="8"/>
        <v>0</v>
      </c>
      <c r="AJ50" s="254">
        <f t="shared" si="9"/>
        <v>11</v>
      </c>
    </row>
    <row r="51" spans="1:36" ht="19.5" customHeight="1">
      <c r="A51" s="1283" t="s">
        <v>131</v>
      </c>
      <c r="B51" s="1284" t="s">
        <v>132</v>
      </c>
      <c r="C51" s="1278" t="s">
        <v>23</v>
      </c>
      <c r="D51" s="1273" t="s">
        <v>23</v>
      </c>
      <c r="E51" s="1252" t="s">
        <v>144</v>
      </c>
      <c r="F51" s="1252" t="s">
        <v>144</v>
      </c>
      <c r="G51" s="1378" t="s">
        <v>19</v>
      </c>
      <c r="H51" s="1385" t="s">
        <v>19</v>
      </c>
      <c r="I51" s="1273" t="s">
        <v>23</v>
      </c>
      <c r="J51" s="1273" t="s">
        <v>23</v>
      </c>
      <c r="K51" s="1198" t="s">
        <v>24</v>
      </c>
      <c r="L51" s="1198" t="s">
        <v>24</v>
      </c>
      <c r="M51" s="1198" t="s">
        <v>24</v>
      </c>
      <c r="N51" s="1198" t="s">
        <v>24</v>
      </c>
      <c r="O51" s="1273" t="s">
        <v>23</v>
      </c>
      <c r="P51" s="1273" t="s">
        <v>23</v>
      </c>
      <c r="Q51" s="1274" t="s">
        <v>34</v>
      </c>
      <c r="R51" s="1274" t="s">
        <v>34</v>
      </c>
      <c r="S51" s="1274" t="s">
        <v>34</v>
      </c>
      <c r="T51" s="1274" t="s">
        <v>34</v>
      </c>
      <c r="U51" s="1273" t="s">
        <v>23</v>
      </c>
      <c r="V51" s="1273" t="s">
        <v>23</v>
      </c>
      <c r="W51" s="1274" t="s">
        <v>34</v>
      </c>
      <c r="X51" s="1274" t="s">
        <v>34</v>
      </c>
      <c r="Y51" s="1274" t="s">
        <v>34</v>
      </c>
      <c r="Z51" s="1274" t="s">
        <v>34</v>
      </c>
      <c r="AA51" s="1273" t="s">
        <v>23</v>
      </c>
      <c r="AB51" s="1273" t="s">
        <v>23</v>
      </c>
      <c r="AC51" s="1266" t="s">
        <v>103</v>
      </c>
      <c r="AD51" s="1266" t="s">
        <v>103</v>
      </c>
      <c r="AE51" s="1266" t="s">
        <v>103</v>
      </c>
      <c r="AF51" s="1266" t="s">
        <v>103</v>
      </c>
      <c r="AH51" s="261">
        <f>VLOOKUP(B51,'OCT25'!B:AK,36,0)</f>
        <v>12</v>
      </c>
      <c r="AI51" s="256">
        <f t="shared" si="8"/>
        <v>8</v>
      </c>
      <c r="AJ51" s="257">
        <f t="shared" si="9"/>
        <v>4</v>
      </c>
    </row>
    <row r="52" spans="1:36" ht="9.9499999999999993" customHeight="1">
      <c r="A52" s="1"/>
      <c r="B52" s="1"/>
    </row>
    <row r="53" spans="1:36" ht="18">
      <c r="A53" s="931" t="s">
        <v>22</v>
      </c>
      <c r="B53" s="932"/>
      <c r="C53" s="220">
        <f t="shared" ref="C53:AF53" si="10">COUNTIF(C5:C50,$A$53)</f>
        <v>7</v>
      </c>
      <c r="D53" s="218">
        <f t="shared" si="10"/>
        <v>8</v>
      </c>
      <c r="E53" s="218">
        <f t="shared" si="10"/>
        <v>7</v>
      </c>
      <c r="F53" s="218">
        <f t="shared" si="10"/>
        <v>8</v>
      </c>
      <c r="G53" s="218">
        <f t="shared" si="10"/>
        <v>8</v>
      </c>
      <c r="H53" s="218">
        <f t="shared" si="10"/>
        <v>9</v>
      </c>
      <c r="I53" s="218">
        <f t="shared" si="10"/>
        <v>10</v>
      </c>
      <c r="J53" s="218">
        <f t="shared" si="10"/>
        <v>10</v>
      </c>
      <c r="K53" s="218">
        <f t="shared" si="10"/>
        <v>10</v>
      </c>
      <c r="L53" s="218">
        <f t="shared" si="10"/>
        <v>9</v>
      </c>
      <c r="M53" s="218">
        <f t="shared" si="10"/>
        <v>10</v>
      </c>
      <c r="N53" s="218">
        <f t="shared" si="10"/>
        <v>10</v>
      </c>
      <c r="O53" s="218">
        <f t="shared" si="10"/>
        <v>9</v>
      </c>
      <c r="P53" s="218">
        <f t="shared" si="10"/>
        <v>8</v>
      </c>
      <c r="Q53" s="218">
        <f t="shared" si="10"/>
        <v>7</v>
      </c>
      <c r="R53" s="218">
        <f t="shared" si="10"/>
        <v>7</v>
      </c>
      <c r="S53" s="218">
        <f t="shared" si="10"/>
        <v>7</v>
      </c>
      <c r="T53" s="218">
        <f t="shared" si="10"/>
        <v>8</v>
      </c>
      <c r="U53" s="218">
        <f t="shared" si="10"/>
        <v>10</v>
      </c>
      <c r="V53" s="218">
        <f t="shared" si="10"/>
        <v>9</v>
      </c>
      <c r="W53" s="218">
        <f t="shared" si="10"/>
        <v>9</v>
      </c>
      <c r="X53" s="218">
        <f t="shared" si="10"/>
        <v>9</v>
      </c>
      <c r="Y53" s="218">
        <f t="shared" si="10"/>
        <v>8</v>
      </c>
      <c r="Z53" s="218">
        <f t="shared" si="10"/>
        <v>10</v>
      </c>
      <c r="AA53" s="218">
        <f t="shared" si="10"/>
        <v>10</v>
      </c>
      <c r="AB53" s="218">
        <f t="shared" si="10"/>
        <v>10</v>
      </c>
      <c r="AC53" s="218">
        <f t="shared" si="10"/>
        <v>10</v>
      </c>
      <c r="AD53" s="218">
        <f t="shared" si="10"/>
        <v>9</v>
      </c>
      <c r="AE53" s="218">
        <f t="shared" si="10"/>
        <v>9</v>
      </c>
      <c r="AF53" s="221">
        <f t="shared" si="10"/>
        <v>7</v>
      </c>
    </row>
    <row r="54" spans="1:36" ht="18">
      <c r="A54" s="933" t="s">
        <v>147</v>
      </c>
      <c r="B54" s="934"/>
      <c r="C54" s="227">
        <f t="shared" ref="C54:AF54" si="11">COUNTIF(C5:C50,$A$54)</f>
        <v>0</v>
      </c>
      <c r="D54" s="225">
        <f t="shared" si="11"/>
        <v>0</v>
      </c>
      <c r="E54" s="225">
        <f t="shared" si="11"/>
        <v>0</v>
      </c>
      <c r="F54" s="225">
        <f t="shared" si="11"/>
        <v>1</v>
      </c>
      <c r="G54" s="225">
        <f t="shared" si="11"/>
        <v>1</v>
      </c>
      <c r="H54" s="225">
        <f t="shared" si="11"/>
        <v>1</v>
      </c>
      <c r="I54" s="225">
        <f t="shared" si="11"/>
        <v>1</v>
      </c>
      <c r="J54" s="225">
        <f t="shared" si="11"/>
        <v>1</v>
      </c>
      <c r="K54" s="225">
        <f t="shared" si="11"/>
        <v>0</v>
      </c>
      <c r="L54" s="225">
        <f t="shared" si="11"/>
        <v>1</v>
      </c>
      <c r="M54" s="225">
        <f t="shared" si="11"/>
        <v>0</v>
      </c>
      <c r="N54" s="225">
        <f t="shared" si="11"/>
        <v>0</v>
      </c>
      <c r="O54" s="225">
        <f t="shared" si="11"/>
        <v>0</v>
      </c>
      <c r="P54" s="225">
        <f t="shared" si="11"/>
        <v>0</v>
      </c>
      <c r="Q54" s="225">
        <f t="shared" si="11"/>
        <v>0</v>
      </c>
      <c r="R54" s="225">
        <f t="shared" si="11"/>
        <v>0</v>
      </c>
      <c r="S54" s="225">
        <f t="shared" si="11"/>
        <v>0</v>
      </c>
      <c r="T54" s="225">
        <f t="shared" si="11"/>
        <v>0</v>
      </c>
      <c r="U54" s="225">
        <f t="shared" si="11"/>
        <v>0</v>
      </c>
      <c r="V54" s="225">
        <f t="shared" si="11"/>
        <v>0</v>
      </c>
      <c r="W54" s="225">
        <f t="shared" si="11"/>
        <v>0</v>
      </c>
      <c r="X54" s="225">
        <f t="shared" si="11"/>
        <v>0</v>
      </c>
      <c r="Y54" s="225">
        <f t="shared" si="11"/>
        <v>0</v>
      </c>
      <c r="Z54" s="225">
        <f t="shared" si="11"/>
        <v>0</v>
      </c>
      <c r="AA54" s="225">
        <f t="shared" si="11"/>
        <v>0</v>
      </c>
      <c r="AB54" s="225">
        <f t="shared" si="11"/>
        <v>0</v>
      </c>
      <c r="AC54" s="225">
        <f t="shared" si="11"/>
        <v>0</v>
      </c>
      <c r="AD54" s="225">
        <f t="shared" si="11"/>
        <v>0</v>
      </c>
      <c r="AE54" s="225">
        <f t="shared" si="11"/>
        <v>0</v>
      </c>
      <c r="AF54" s="230">
        <f t="shared" si="11"/>
        <v>0</v>
      </c>
    </row>
    <row r="55" spans="1:36" ht="18">
      <c r="A55" s="671" t="s">
        <v>24</v>
      </c>
      <c r="B55" s="672"/>
      <c r="C55" s="227">
        <f t="shared" ref="C55:AF55" si="12">COUNTIF(C5:C50,"P14")+COUNTIF(C5:C50,"P14EW")</f>
        <v>7</v>
      </c>
      <c r="D55" s="225">
        <f t="shared" si="12"/>
        <v>10</v>
      </c>
      <c r="E55" s="225">
        <f t="shared" si="12"/>
        <v>8</v>
      </c>
      <c r="F55" s="225">
        <f t="shared" si="12"/>
        <v>7</v>
      </c>
      <c r="G55" s="225">
        <f t="shared" si="12"/>
        <v>8</v>
      </c>
      <c r="H55" s="225">
        <f t="shared" si="12"/>
        <v>8</v>
      </c>
      <c r="I55" s="225">
        <f t="shared" si="12"/>
        <v>7</v>
      </c>
      <c r="J55" s="225">
        <f t="shared" si="12"/>
        <v>9</v>
      </c>
      <c r="K55" s="225">
        <f t="shared" si="12"/>
        <v>6</v>
      </c>
      <c r="L55" s="225">
        <f t="shared" si="12"/>
        <v>7</v>
      </c>
      <c r="M55" s="225">
        <f t="shared" si="12"/>
        <v>9</v>
      </c>
      <c r="N55" s="225">
        <f t="shared" si="12"/>
        <v>9</v>
      </c>
      <c r="O55" s="225">
        <f t="shared" si="12"/>
        <v>10</v>
      </c>
      <c r="P55" s="225">
        <f t="shared" si="12"/>
        <v>10</v>
      </c>
      <c r="Q55" s="225">
        <f t="shared" si="12"/>
        <v>11</v>
      </c>
      <c r="R55" s="225">
        <f t="shared" si="12"/>
        <v>8</v>
      </c>
      <c r="S55" s="225">
        <f t="shared" si="12"/>
        <v>8</v>
      </c>
      <c r="T55" s="225">
        <f t="shared" si="12"/>
        <v>8</v>
      </c>
      <c r="U55" s="225">
        <f t="shared" si="12"/>
        <v>7</v>
      </c>
      <c r="V55" s="225">
        <f t="shared" si="12"/>
        <v>8</v>
      </c>
      <c r="W55" s="225">
        <f t="shared" si="12"/>
        <v>8</v>
      </c>
      <c r="X55" s="225">
        <f t="shared" si="12"/>
        <v>9</v>
      </c>
      <c r="Y55" s="225">
        <f t="shared" si="12"/>
        <v>8</v>
      </c>
      <c r="Z55" s="225">
        <f t="shared" si="12"/>
        <v>7</v>
      </c>
      <c r="AA55" s="225">
        <f t="shared" si="12"/>
        <v>7</v>
      </c>
      <c r="AB55" s="225">
        <f t="shared" si="12"/>
        <v>8</v>
      </c>
      <c r="AC55" s="225">
        <f t="shared" si="12"/>
        <v>8</v>
      </c>
      <c r="AD55" s="225">
        <f t="shared" si="12"/>
        <v>8</v>
      </c>
      <c r="AE55" s="225">
        <f t="shared" si="12"/>
        <v>6</v>
      </c>
      <c r="AF55" s="230">
        <f t="shared" si="12"/>
        <v>7</v>
      </c>
    </row>
    <row r="56" spans="1:36" ht="20.25" thickBot="1">
      <c r="A56" s="673" t="s">
        <v>63</v>
      </c>
      <c r="B56" s="674"/>
      <c r="C56" s="241">
        <f t="shared" ref="C56:AF56" si="13">COUNTIF(C5:C50,$A$56)</f>
        <v>2</v>
      </c>
      <c r="D56" s="283">
        <f t="shared" si="13"/>
        <v>2</v>
      </c>
      <c r="E56" s="283">
        <f t="shared" si="13"/>
        <v>3</v>
      </c>
      <c r="F56" s="283">
        <f t="shared" si="13"/>
        <v>3</v>
      </c>
      <c r="G56" s="283">
        <f t="shared" si="13"/>
        <v>3</v>
      </c>
      <c r="H56" s="283">
        <f t="shared" si="13"/>
        <v>2</v>
      </c>
      <c r="I56" s="283">
        <f t="shared" si="13"/>
        <v>2</v>
      </c>
      <c r="J56" s="283">
        <f t="shared" si="13"/>
        <v>2</v>
      </c>
      <c r="K56" s="283">
        <f t="shared" si="13"/>
        <v>2</v>
      </c>
      <c r="L56" s="283">
        <f t="shared" si="13"/>
        <v>2</v>
      </c>
      <c r="M56" s="283">
        <f t="shared" si="13"/>
        <v>2</v>
      </c>
      <c r="N56" s="283">
        <f t="shared" si="13"/>
        <v>2</v>
      </c>
      <c r="O56" s="283">
        <f t="shared" si="13"/>
        <v>2</v>
      </c>
      <c r="P56" s="283">
        <f t="shared" si="13"/>
        <v>3</v>
      </c>
      <c r="Q56" s="283">
        <f t="shared" si="13"/>
        <v>2</v>
      </c>
      <c r="R56" s="283">
        <f t="shared" si="13"/>
        <v>2</v>
      </c>
      <c r="S56" s="283">
        <f t="shared" si="13"/>
        <v>2</v>
      </c>
      <c r="T56" s="283">
        <f t="shared" si="13"/>
        <v>2</v>
      </c>
      <c r="U56" s="283">
        <f t="shared" si="13"/>
        <v>2</v>
      </c>
      <c r="V56" s="283">
        <f t="shared" si="13"/>
        <v>3</v>
      </c>
      <c r="W56" s="283">
        <f t="shared" si="13"/>
        <v>3</v>
      </c>
      <c r="X56" s="283">
        <f t="shared" si="13"/>
        <v>2</v>
      </c>
      <c r="Y56" s="283">
        <f t="shared" si="13"/>
        <v>2</v>
      </c>
      <c r="Z56" s="283">
        <f t="shared" si="13"/>
        <v>2</v>
      </c>
      <c r="AA56" s="283">
        <f t="shared" si="13"/>
        <v>2</v>
      </c>
      <c r="AB56" s="283">
        <f t="shared" si="13"/>
        <v>3</v>
      </c>
      <c r="AC56" s="283">
        <f t="shared" si="13"/>
        <v>2</v>
      </c>
      <c r="AD56" s="283">
        <f t="shared" si="13"/>
        <v>2</v>
      </c>
      <c r="AE56" s="283">
        <f t="shared" si="13"/>
        <v>2</v>
      </c>
      <c r="AF56" s="288">
        <f t="shared" si="13"/>
        <v>2</v>
      </c>
    </row>
    <row r="57" spans="1:36" ht="20.100000000000001" customHeight="1"/>
    <row r="58" spans="1:36" ht="24.95" customHeight="1">
      <c r="A58" s="557" t="s">
        <v>126</v>
      </c>
      <c r="B58" s="1116"/>
      <c r="C58" s="1116"/>
      <c r="D58" s="1116"/>
      <c r="E58" s="1116"/>
      <c r="F58" s="1116"/>
      <c r="G58" s="1116"/>
      <c r="H58" s="1116"/>
      <c r="I58" s="1116"/>
      <c r="J58" s="1116"/>
      <c r="K58" s="1116"/>
      <c r="L58" s="1116"/>
      <c r="M58" s="1116"/>
      <c r="N58" s="1116"/>
      <c r="O58" s="1116"/>
      <c r="P58" s="1116"/>
      <c r="Q58" s="1116"/>
      <c r="R58" s="1116"/>
      <c r="S58" s="1116"/>
      <c r="T58" s="1116"/>
      <c r="U58" s="1116"/>
      <c r="V58" s="1116"/>
      <c r="W58" s="1116"/>
      <c r="X58" s="1116"/>
      <c r="Y58" s="1116"/>
      <c r="Z58" s="1116"/>
      <c r="AA58" s="1116"/>
      <c r="AB58" s="1116"/>
      <c r="AC58" s="1116"/>
      <c r="AD58" s="1116"/>
      <c r="AE58" s="1116"/>
      <c r="AF58" s="1117"/>
    </row>
    <row r="59" spans="1:36" ht="18.75" customHeight="1">
      <c r="A59" s="1118" t="s">
        <v>127</v>
      </c>
      <c r="B59" s="896" t="s">
        <v>128</v>
      </c>
      <c r="C59" s="1218" t="s">
        <v>23</v>
      </c>
      <c r="D59" s="1218" t="s">
        <v>23</v>
      </c>
      <c r="E59" s="1219" t="s">
        <v>125</v>
      </c>
      <c r="F59" s="1219" t="s">
        <v>125</v>
      </c>
      <c r="G59" s="1219" t="s">
        <v>125</v>
      </c>
      <c r="H59" s="1219" t="s">
        <v>125</v>
      </c>
      <c r="I59" s="1218" t="s">
        <v>23</v>
      </c>
      <c r="J59" s="1218" t="s">
        <v>23</v>
      </c>
      <c r="K59" s="1220" t="s">
        <v>83</v>
      </c>
      <c r="L59" s="1220" t="s">
        <v>83</v>
      </c>
      <c r="M59" s="1220" t="s">
        <v>83</v>
      </c>
      <c r="N59" s="1220" t="s">
        <v>83</v>
      </c>
      <c r="O59" s="1218" t="s">
        <v>23</v>
      </c>
      <c r="P59" s="1218" t="s">
        <v>23</v>
      </c>
      <c r="Q59" s="1219" t="s">
        <v>125</v>
      </c>
      <c r="R59" s="1219" t="s">
        <v>125</v>
      </c>
      <c r="S59" s="1219" t="s">
        <v>125</v>
      </c>
      <c r="T59" s="1219" t="s">
        <v>125</v>
      </c>
      <c r="U59" s="1218" t="s">
        <v>23</v>
      </c>
      <c r="V59" s="1218" t="s">
        <v>23</v>
      </c>
      <c r="W59" s="1221" t="s">
        <v>34</v>
      </c>
      <c r="X59" s="1220" t="s">
        <v>83</v>
      </c>
      <c r="Y59" s="1220" t="s">
        <v>83</v>
      </c>
      <c r="Z59" s="1220" t="s">
        <v>83</v>
      </c>
      <c r="AA59" s="1218" t="s">
        <v>23</v>
      </c>
      <c r="AB59" s="1218" t="s">
        <v>23</v>
      </c>
      <c r="AC59" s="1219" t="s">
        <v>125</v>
      </c>
      <c r="AD59" s="1219" t="s">
        <v>125</v>
      </c>
      <c r="AE59" s="1219" t="s">
        <v>125</v>
      </c>
      <c r="AF59" s="1285" t="s">
        <v>125</v>
      </c>
      <c r="AH59" s="259">
        <f>VLOOKUP(B59,'OCT25'!B:AK,36,0)</f>
        <v>1</v>
      </c>
      <c r="AI59" s="250">
        <f t="shared" ref="AI59:AI60" si="14">COUNTIF(C59:AF59,"U")</f>
        <v>1</v>
      </c>
      <c r="AJ59" s="252">
        <f t="shared" ref="AJ59:AJ60" si="15">AH59-AI59</f>
        <v>0</v>
      </c>
    </row>
    <row r="60" spans="1:36" ht="18.75" customHeight="1">
      <c r="A60" s="1118" t="s">
        <v>129</v>
      </c>
      <c r="B60" s="896" t="s">
        <v>130</v>
      </c>
      <c r="C60" s="1219" t="s">
        <v>125</v>
      </c>
      <c r="D60" s="1219" t="s">
        <v>125</v>
      </c>
      <c r="E60" s="1218" t="s">
        <v>23</v>
      </c>
      <c r="F60" s="1218" t="s">
        <v>23</v>
      </c>
      <c r="G60" s="1220" t="s">
        <v>83</v>
      </c>
      <c r="H60" s="1220" t="s">
        <v>83</v>
      </c>
      <c r="I60" s="1220" t="s">
        <v>83</v>
      </c>
      <c r="J60" s="1220" t="s">
        <v>83</v>
      </c>
      <c r="K60" s="1218" t="s">
        <v>23</v>
      </c>
      <c r="L60" s="1218" t="s">
        <v>23</v>
      </c>
      <c r="M60" s="1219" t="s">
        <v>125</v>
      </c>
      <c r="N60" s="1219" t="s">
        <v>125</v>
      </c>
      <c r="O60" s="1219" t="s">
        <v>125</v>
      </c>
      <c r="P60" s="1219" t="s">
        <v>125</v>
      </c>
      <c r="Q60" s="1218" t="s">
        <v>23</v>
      </c>
      <c r="R60" s="1218" t="s">
        <v>23</v>
      </c>
      <c r="S60" s="1220" t="s">
        <v>83</v>
      </c>
      <c r="T60" s="1220" t="s">
        <v>83</v>
      </c>
      <c r="U60" s="1220" t="s">
        <v>83</v>
      </c>
      <c r="V60" s="1220" t="s">
        <v>83</v>
      </c>
      <c r="W60" s="1218" t="s">
        <v>23</v>
      </c>
      <c r="X60" s="1218" t="s">
        <v>23</v>
      </c>
      <c r="Y60" s="1219" t="s">
        <v>125</v>
      </c>
      <c r="Z60" s="1219" t="s">
        <v>125</v>
      </c>
      <c r="AA60" s="1219" t="s">
        <v>125</v>
      </c>
      <c r="AB60" s="1219" t="s">
        <v>125</v>
      </c>
      <c r="AC60" s="1218" t="s">
        <v>23</v>
      </c>
      <c r="AD60" s="1218" t="s">
        <v>23</v>
      </c>
      <c r="AE60" s="1220" t="s">
        <v>83</v>
      </c>
      <c r="AF60" s="1286" t="s">
        <v>83</v>
      </c>
      <c r="AH60" s="260">
        <f>VLOOKUP(B60,'OCT25'!B:AK,36,0)</f>
        <v>6</v>
      </c>
      <c r="AI60" s="253">
        <f t="shared" si="14"/>
        <v>0</v>
      </c>
      <c r="AJ60" s="254">
        <f t="shared" si="15"/>
        <v>6</v>
      </c>
    </row>
    <row r="61" spans="1:36" ht="18.75" customHeight="1">
      <c r="A61" s="1118" t="s">
        <v>187</v>
      </c>
      <c r="B61" s="896" t="s">
        <v>188</v>
      </c>
      <c r="C61" s="1220" t="s">
        <v>83</v>
      </c>
      <c r="D61" s="1220" t="s">
        <v>83</v>
      </c>
      <c r="E61" s="1220" t="s">
        <v>83</v>
      </c>
      <c r="F61" s="1220" t="s">
        <v>83</v>
      </c>
      <c r="G61" s="1218" t="s">
        <v>23</v>
      </c>
      <c r="H61" s="1218" t="s">
        <v>23</v>
      </c>
      <c r="I61" s="1219" t="s">
        <v>103</v>
      </c>
      <c r="J61" s="1219" t="s">
        <v>103</v>
      </c>
      <c r="K61" s="1219" t="s">
        <v>103</v>
      </c>
      <c r="L61" s="1219" t="s">
        <v>103</v>
      </c>
      <c r="M61" s="1218" t="s">
        <v>23</v>
      </c>
      <c r="N61" s="1218" t="s">
        <v>23</v>
      </c>
      <c r="O61" s="1220" t="s">
        <v>83</v>
      </c>
      <c r="P61" s="1220" t="s">
        <v>83</v>
      </c>
      <c r="Q61" s="1220" t="s">
        <v>83</v>
      </c>
      <c r="R61" s="1220" t="s">
        <v>83</v>
      </c>
      <c r="S61" s="1218" t="s">
        <v>23</v>
      </c>
      <c r="T61" s="1218" t="s">
        <v>23</v>
      </c>
      <c r="U61" s="1219" t="s">
        <v>103</v>
      </c>
      <c r="V61" s="1219" t="s">
        <v>103</v>
      </c>
      <c r="W61" s="1219" t="s">
        <v>103</v>
      </c>
      <c r="X61" s="1219" t="s">
        <v>103</v>
      </c>
      <c r="Y61" s="1218" t="s">
        <v>23</v>
      </c>
      <c r="Z61" s="1218" t="s">
        <v>23</v>
      </c>
      <c r="AA61" s="1220" t="s">
        <v>83</v>
      </c>
      <c r="AB61" s="1220" t="s">
        <v>83</v>
      </c>
      <c r="AC61" s="1220" t="s">
        <v>83</v>
      </c>
      <c r="AD61" s="1220" t="s">
        <v>83</v>
      </c>
      <c r="AE61" s="1218" t="s">
        <v>23</v>
      </c>
      <c r="AF61" s="1287" t="s">
        <v>23</v>
      </c>
      <c r="AH61" s="260">
        <f>VLOOKUP(B61,'OCT25'!B:AK,36,0)</f>
        <v>4</v>
      </c>
      <c r="AI61" s="253">
        <f t="shared" ref="AI61" si="16">COUNTIF(C61:AF61,"U")</f>
        <v>0</v>
      </c>
      <c r="AJ61" s="254">
        <f t="shared" ref="AJ61" si="17">AH61-AI61</f>
        <v>4</v>
      </c>
    </row>
    <row r="62" spans="1:36" ht="18.75" customHeight="1">
      <c r="A62" s="1119" t="s">
        <v>121</v>
      </c>
      <c r="B62" s="1222" t="s">
        <v>122</v>
      </c>
      <c r="C62" s="1288" t="s">
        <v>19</v>
      </c>
      <c r="D62" s="1288" t="s">
        <v>19</v>
      </c>
      <c r="E62" s="1288" t="s">
        <v>19</v>
      </c>
      <c r="F62" s="1288" t="s">
        <v>19</v>
      </c>
      <c r="G62" s="1288" t="s">
        <v>19</v>
      </c>
      <c r="H62" s="1288" t="s">
        <v>19</v>
      </c>
      <c r="I62" s="1288" t="s">
        <v>19</v>
      </c>
      <c r="J62" s="1288" t="s">
        <v>19</v>
      </c>
      <c r="K62" s="1288" t="s">
        <v>19</v>
      </c>
      <c r="L62" s="1288" t="s">
        <v>19</v>
      </c>
      <c r="M62" s="1288" t="s">
        <v>19</v>
      </c>
      <c r="N62" s="1288" t="s">
        <v>19</v>
      </c>
      <c r="O62" s="1289"/>
      <c r="P62" s="1289"/>
      <c r="Q62" s="1289"/>
      <c r="R62" s="1289"/>
      <c r="S62" s="1273"/>
      <c r="T62" s="1273"/>
      <c r="U62" s="1290"/>
      <c r="V62" s="1290"/>
      <c r="W62" s="1290"/>
      <c r="X62" s="1290"/>
      <c r="Y62" s="1273"/>
      <c r="Z62" s="1273"/>
      <c r="AA62" s="1291"/>
      <c r="AB62" s="1291"/>
      <c r="AC62" s="1291"/>
      <c r="AD62" s="1291"/>
      <c r="AE62" s="1273"/>
      <c r="AF62" s="1292"/>
      <c r="AH62" s="261">
        <f>VLOOKUP(B62,'OCT25'!B:AK,36,0)</f>
        <v>0</v>
      </c>
      <c r="AI62" s="256">
        <f t="shared" ref="AI62" si="18">COUNTIF(C62:AF62,"U")</f>
        <v>0</v>
      </c>
      <c r="AJ62" s="257">
        <f t="shared" ref="AJ62" si="19">AH62-AI62</f>
        <v>0</v>
      </c>
    </row>
    <row r="63" spans="1:36" ht="9.9499999999999993" customHeight="1">
      <c r="A63" s="969"/>
      <c r="B63" s="969"/>
      <c r="C63" s="1293"/>
      <c r="D63" s="1293"/>
      <c r="E63" s="1293"/>
      <c r="F63" s="1293"/>
      <c r="G63" s="1293"/>
      <c r="H63" s="1293"/>
      <c r="I63" s="1293"/>
      <c r="J63" s="1293"/>
      <c r="K63" s="1293"/>
      <c r="L63" s="1293"/>
      <c r="M63" s="1293"/>
      <c r="N63" s="1293"/>
      <c r="O63" s="1293"/>
      <c r="P63" s="1293"/>
      <c r="Q63" s="1293"/>
      <c r="R63" s="1293"/>
      <c r="S63" s="1293"/>
      <c r="T63" s="1293"/>
      <c r="U63" s="1293"/>
      <c r="V63" s="1293"/>
      <c r="W63" s="1293"/>
      <c r="X63" s="1293"/>
      <c r="Y63" s="1293"/>
      <c r="Z63" s="1293"/>
      <c r="AA63" s="1293"/>
      <c r="AB63" s="1293"/>
      <c r="AC63" s="1293"/>
      <c r="AD63" s="1293"/>
      <c r="AE63" s="1293"/>
      <c r="AF63" s="1293"/>
    </row>
    <row r="64" spans="1:36" ht="18">
      <c r="A64" s="665" t="s">
        <v>125</v>
      </c>
      <c r="B64" s="666"/>
      <c r="C64" s="1223">
        <f t="shared" ref="C64:AF64" si="20">COUNTIF(C45:C50,$A$64)+COUNTIF(C59:C62,$A$64)</f>
        <v>1</v>
      </c>
      <c r="D64" s="1224">
        <f t="shared" si="20"/>
        <v>1</v>
      </c>
      <c r="E64" s="1224">
        <f t="shared" si="20"/>
        <v>1</v>
      </c>
      <c r="F64" s="1224">
        <f t="shared" si="20"/>
        <v>1</v>
      </c>
      <c r="G64" s="1224">
        <f t="shared" si="20"/>
        <v>1</v>
      </c>
      <c r="H64" s="1224">
        <f t="shared" si="20"/>
        <v>1</v>
      </c>
      <c r="I64" s="1224">
        <f t="shared" si="20"/>
        <v>0</v>
      </c>
      <c r="J64" s="1224">
        <f t="shared" si="20"/>
        <v>0</v>
      </c>
      <c r="K64" s="1224">
        <f t="shared" si="20"/>
        <v>0</v>
      </c>
      <c r="L64" s="1224">
        <f t="shared" si="20"/>
        <v>0</v>
      </c>
      <c r="M64" s="1224">
        <f t="shared" si="20"/>
        <v>1</v>
      </c>
      <c r="N64" s="1224">
        <f t="shared" si="20"/>
        <v>1</v>
      </c>
      <c r="O64" s="1224">
        <f t="shared" si="20"/>
        <v>1</v>
      </c>
      <c r="P64" s="1224">
        <f t="shared" si="20"/>
        <v>1</v>
      </c>
      <c r="Q64" s="1224">
        <f t="shared" si="20"/>
        <v>1</v>
      </c>
      <c r="R64" s="1224">
        <f t="shared" si="20"/>
        <v>1</v>
      </c>
      <c r="S64" s="1224">
        <f t="shared" si="20"/>
        <v>1</v>
      </c>
      <c r="T64" s="1224">
        <f t="shared" si="20"/>
        <v>1</v>
      </c>
      <c r="U64" s="1224">
        <f t="shared" si="20"/>
        <v>0</v>
      </c>
      <c r="V64" s="1224">
        <f t="shared" si="20"/>
        <v>0</v>
      </c>
      <c r="W64" s="1224">
        <f t="shared" si="20"/>
        <v>0</v>
      </c>
      <c r="X64" s="1224">
        <f t="shared" si="20"/>
        <v>0</v>
      </c>
      <c r="Y64" s="1224">
        <f t="shared" si="20"/>
        <v>1</v>
      </c>
      <c r="Z64" s="1224">
        <f t="shared" si="20"/>
        <v>1</v>
      </c>
      <c r="AA64" s="1224">
        <f t="shared" si="20"/>
        <v>1</v>
      </c>
      <c r="AB64" s="1224">
        <f t="shared" si="20"/>
        <v>1</v>
      </c>
      <c r="AC64" s="1224">
        <f t="shared" si="20"/>
        <v>1</v>
      </c>
      <c r="AD64" s="1224">
        <f t="shared" si="20"/>
        <v>1</v>
      </c>
      <c r="AE64" s="1224">
        <f t="shared" si="20"/>
        <v>1</v>
      </c>
      <c r="AF64" s="1225">
        <f t="shared" si="20"/>
        <v>1</v>
      </c>
    </row>
    <row r="65" spans="1:36" ht="18">
      <c r="A65" s="678" t="s">
        <v>83</v>
      </c>
      <c r="B65" s="679"/>
      <c r="C65" s="298">
        <f t="shared" ref="C65:AF65" si="21">COUNTIF(C45:C50,$A$65)+COUNTIF(C59:C62,$A$65)</f>
        <v>1</v>
      </c>
      <c r="D65" s="299">
        <f t="shared" si="21"/>
        <v>1</v>
      </c>
      <c r="E65" s="299">
        <f t="shared" si="21"/>
        <v>1</v>
      </c>
      <c r="F65" s="299">
        <f t="shared" si="21"/>
        <v>1</v>
      </c>
      <c r="G65" s="299">
        <f t="shared" si="21"/>
        <v>1</v>
      </c>
      <c r="H65" s="299">
        <f t="shared" si="21"/>
        <v>1</v>
      </c>
      <c r="I65" s="299">
        <f t="shared" si="21"/>
        <v>1</v>
      </c>
      <c r="J65" s="299">
        <f t="shared" si="21"/>
        <v>1</v>
      </c>
      <c r="K65" s="299">
        <f t="shared" si="21"/>
        <v>1</v>
      </c>
      <c r="L65" s="299">
        <f t="shared" si="21"/>
        <v>1</v>
      </c>
      <c r="M65" s="299">
        <f t="shared" si="21"/>
        <v>1</v>
      </c>
      <c r="N65" s="299">
        <f t="shared" si="21"/>
        <v>1</v>
      </c>
      <c r="O65" s="299">
        <f t="shared" si="21"/>
        <v>1</v>
      </c>
      <c r="P65" s="299">
        <f t="shared" si="21"/>
        <v>1</v>
      </c>
      <c r="Q65" s="299">
        <f t="shared" si="21"/>
        <v>1</v>
      </c>
      <c r="R65" s="299">
        <f t="shared" si="21"/>
        <v>1</v>
      </c>
      <c r="S65" s="299">
        <f t="shared" si="21"/>
        <v>1</v>
      </c>
      <c r="T65" s="299">
        <f t="shared" si="21"/>
        <v>1</v>
      </c>
      <c r="U65" s="299">
        <f t="shared" si="21"/>
        <v>1</v>
      </c>
      <c r="V65" s="299">
        <f t="shared" si="21"/>
        <v>1</v>
      </c>
      <c r="W65" s="299">
        <f t="shared" si="21"/>
        <v>1</v>
      </c>
      <c r="X65" s="299">
        <f t="shared" si="21"/>
        <v>1</v>
      </c>
      <c r="Y65" s="299">
        <f t="shared" si="21"/>
        <v>1</v>
      </c>
      <c r="Z65" s="299">
        <f t="shared" si="21"/>
        <v>1</v>
      </c>
      <c r="AA65" s="299">
        <f t="shared" si="21"/>
        <v>1</v>
      </c>
      <c r="AB65" s="299">
        <f t="shared" si="21"/>
        <v>1</v>
      </c>
      <c r="AC65" s="299">
        <f t="shared" si="21"/>
        <v>1</v>
      </c>
      <c r="AD65" s="299">
        <f t="shared" si="21"/>
        <v>1</v>
      </c>
      <c r="AE65" s="299">
        <f t="shared" si="21"/>
        <v>1</v>
      </c>
      <c r="AF65" s="300">
        <f t="shared" si="21"/>
        <v>1</v>
      </c>
    </row>
    <row r="69" spans="1:36">
      <c r="B69" s="977"/>
      <c r="C69" s="977"/>
      <c r="D69" s="977"/>
      <c r="E69" s="977"/>
      <c r="F69" s="977"/>
      <c r="G69" s="977"/>
      <c r="H69" s="977"/>
      <c r="I69" s="977"/>
      <c r="J69" s="977"/>
      <c r="K69" s="977"/>
      <c r="L69" s="977"/>
      <c r="M69" s="977"/>
      <c r="N69" s="977"/>
      <c r="O69" s="977"/>
      <c r="P69" s="977"/>
      <c r="Q69" s="977"/>
      <c r="R69" s="977"/>
      <c r="S69" s="977"/>
      <c r="T69" s="977"/>
      <c r="U69" s="977"/>
      <c r="V69" s="977"/>
      <c r="W69" s="977"/>
      <c r="X69" s="977"/>
      <c r="Y69" s="977"/>
      <c r="Z69" s="977"/>
      <c r="AA69" s="977"/>
      <c r="AB69" s="977"/>
      <c r="AC69" s="977"/>
      <c r="AD69" s="977"/>
      <c r="AE69" s="977"/>
      <c r="AF69" s="977"/>
      <c r="AG69" s="977"/>
      <c r="AH69" s="977"/>
      <c r="AI69" s="977"/>
      <c r="AJ69" s="977"/>
    </row>
  </sheetData>
  <mergeCells count="3">
    <mergeCell ref="AH3:AH4"/>
    <mergeCell ref="AI3:AI4"/>
    <mergeCell ref="AJ3:AJ4"/>
  </mergeCells>
  <conditionalFormatting sqref="C56:AF56">
    <cfRule type="cellIs" dxfId="8" priority="2" operator="lessThan">
      <formula>1.5</formula>
    </cfRule>
    <cfRule type="cellIs" dxfId="7" priority="3" operator="lessThan">
      <formula>2.5</formula>
    </cfRule>
  </conditionalFormatting>
  <conditionalFormatting sqref="C64:AF65">
    <cfRule type="cellIs" dxfId="6" priority="1" operator="lessThan">
      <formula>0.5</formula>
    </cfRule>
  </conditionalFormatting>
  <conditionalFormatting sqref="AH12:AH22">
    <cfRule type="cellIs" dxfId="5" priority="4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D9FB-2590-4FFC-9DE4-941940AB23F4}">
  <sheetPr>
    <tabColor rgb="FFC00000"/>
  </sheetPr>
  <dimension ref="A1:AM72"/>
  <sheetViews>
    <sheetView showGridLines="0" zoomScale="70" zoomScaleNormal="70" workbookViewId="0">
      <pane xSplit="2" ySplit="4" topLeftCell="C5" activePane="bottomRight" state="frozen"/>
      <selection pane="bottomRight" activeCell="J10" sqref="J10"/>
      <selection pane="bottomLeft" activeCell="A20" activeCellId="2" sqref="A5:XFD12 A14:XFD18 A20:XFD24"/>
      <selection pane="topRight" activeCell="A20" activeCellId="2" sqref="A5:XFD12 A14:XFD18 A20:XFD24"/>
    </sheetView>
  </sheetViews>
  <sheetFormatPr defaultColWidth="9.140625" defaultRowHeight="15" customHeight="1"/>
  <cols>
    <col min="1" max="2" width="42.5703125" customWidth="1"/>
    <col min="3" max="35" width="9.140625" customWidth="1"/>
  </cols>
  <sheetData>
    <row r="1" spans="1:38" ht="20.100000000000001" customHeight="1">
      <c r="A1" s="906" t="s">
        <v>205</v>
      </c>
      <c r="B1" s="584" t="s">
        <v>0</v>
      </c>
      <c r="C1" s="935" t="s">
        <v>1</v>
      </c>
      <c r="D1" s="936"/>
      <c r="E1" s="936"/>
      <c r="F1" s="936"/>
      <c r="G1" s="936"/>
      <c r="H1" s="936"/>
      <c r="I1" s="936"/>
      <c r="J1" s="936"/>
      <c r="K1" s="936"/>
      <c r="L1" s="936"/>
      <c r="M1" s="936"/>
      <c r="N1" s="936"/>
      <c r="O1" s="936"/>
      <c r="P1" s="936"/>
      <c r="Q1" s="936"/>
      <c r="R1" s="936"/>
      <c r="S1" s="936"/>
      <c r="T1" s="936"/>
      <c r="U1" s="936"/>
      <c r="V1" s="936"/>
      <c r="W1" s="936"/>
      <c r="X1" s="936"/>
      <c r="Y1" s="936"/>
      <c r="Z1" s="936"/>
      <c r="AA1" s="936"/>
      <c r="AB1" s="936"/>
      <c r="AC1" s="936"/>
      <c r="AD1" s="936"/>
      <c r="AE1" s="936"/>
      <c r="AF1" s="936"/>
      <c r="AG1" s="937"/>
      <c r="AH1" s="1304"/>
      <c r="AI1" s="1304"/>
    </row>
    <row r="2" spans="1:38" ht="30" customHeight="1">
      <c r="A2" s="588" t="s">
        <v>2</v>
      </c>
      <c r="B2" s="552"/>
      <c r="C2" s="941" t="s">
        <v>206</v>
      </c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C2" s="1328"/>
      <c r="AD2" s="1328"/>
      <c r="AE2" s="1328"/>
      <c r="AF2" s="1328"/>
      <c r="AG2" s="1329"/>
      <c r="AH2" s="1305"/>
      <c r="AI2" s="1305"/>
      <c r="AJ2" s="618" t="s">
        <v>5</v>
      </c>
      <c r="AK2" s="619"/>
      <c r="AL2" s="620"/>
    </row>
    <row r="3" spans="1:38" ht="24.95" customHeight="1">
      <c r="A3" s="590" t="s">
        <v>0</v>
      </c>
      <c r="B3" s="464" t="s">
        <v>0</v>
      </c>
      <c r="C3" s="1330" t="s">
        <v>11</v>
      </c>
      <c r="D3" s="1331" t="s">
        <v>12</v>
      </c>
      <c r="E3" s="1331" t="s">
        <v>6</v>
      </c>
      <c r="F3" s="1331" t="s">
        <v>7</v>
      </c>
      <c r="G3" s="1331" t="s">
        <v>8</v>
      </c>
      <c r="H3" s="1332" t="s">
        <v>9</v>
      </c>
      <c r="I3" s="1332" t="s">
        <v>10</v>
      </c>
      <c r="J3" s="1333" t="s">
        <v>11</v>
      </c>
      <c r="K3" s="1331" t="s">
        <v>12</v>
      </c>
      <c r="L3" s="1331" t="s">
        <v>6</v>
      </c>
      <c r="M3" s="1331" t="s">
        <v>7</v>
      </c>
      <c r="N3" s="1331" t="s">
        <v>8</v>
      </c>
      <c r="O3" s="1332" t="s">
        <v>9</v>
      </c>
      <c r="P3" s="1332" t="s">
        <v>10</v>
      </c>
      <c r="Q3" s="1331" t="s">
        <v>11</v>
      </c>
      <c r="R3" s="1331" t="s">
        <v>12</v>
      </c>
      <c r="S3" s="1331" t="s">
        <v>6</v>
      </c>
      <c r="T3" s="1331" t="s">
        <v>7</v>
      </c>
      <c r="U3" s="1331" t="s">
        <v>8</v>
      </c>
      <c r="V3" s="1332" t="s">
        <v>9</v>
      </c>
      <c r="W3" s="1332" t="s">
        <v>10</v>
      </c>
      <c r="X3" s="1331" t="s">
        <v>11</v>
      </c>
      <c r="Y3" s="1331" t="s">
        <v>12</v>
      </c>
      <c r="Z3" s="1331" t="s">
        <v>6</v>
      </c>
      <c r="AA3" s="1333" t="s">
        <v>7</v>
      </c>
      <c r="AB3" s="1331" t="s">
        <v>8</v>
      </c>
      <c r="AC3" s="1332" t="s">
        <v>9</v>
      </c>
      <c r="AD3" s="1332" t="s">
        <v>10</v>
      </c>
      <c r="AE3" s="1331" t="s">
        <v>11</v>
      </c>
      <c r="AF3" s="1331" t="s">
        <v>12</v>
      </c>
      <c r="AG3" s="1331" t="s">
        <v>6</v>
      </c>
      <c r="AH3" s="1326" t="s">
        <v>7</v>
      </c>
      <c r="AI3" s="1305"/>
      <c r="AJ3" s="1393">
        <v>2025</v>
      </c>
      <c r="AK3" s="1389" t="s">
        <v>13</v>
      </c>
      <c r="AL3" s="1391" t="s">
        <v>14</v>
      </c>
    </row>
    <row r="4" spans="1:38" ht="24.95" customHeight="1">
      <c r="A4" s="591" t="s">
        <v>15</v>
      </c>
      <c r="B4" s="466" t="s">
        <v>16</v>
      </c>
      <c r="C4" s="1334">
        <v>1</v>
      </c>
      <c r="D4" s="437">
        <v>2</v>
      </c>
      <c r="E4" s="435">
        <v>3</v>
      </c>
      <c r="F4" s="435">
        <v>4</v>
      </c>
      <c r="G4" s="435">
        <v>5</v>
      </c>
      <c r="H4" s="436">
        <v>6</v>
      </c>
      <c r="I4" s="436">
        <v>7</v>
      </c>
      <c r="J4" s="1326">
        <v>8</v>
      </c>
      <c r="K4" s="435">
        <v>9</v>
      </c>
      <c r="L4" s="435">
        <v>10</v>
      </c>
      <c r="M4" s="435">
        <v>11</v>
      </c>
      <c r="N4" s="435">
        <v>12</v>
      </c>
      <c r="O4" s="436">
        <v>13</v>
      </c>
      <c r="P4" s="436">
        <v>14</v>
      </c>
      <c r="Q4" s="435">
        <v>15</v>
      </c>
      <c r="R4" s="435">
        <v>16</v>
      </c>
      <c r="S4" s="435">
        <v>17</v>
      </c>
      <c r="T4" s="435">
        <v>18</v>
      </c>
      <c r="U4" s="435">
        <v>19</v>
      </c>
      <c r="V4" s="436">
        <v>20</v>
      </c>
      <c r="W4" s="436">
        <v>21</v>
      </c>
      <c r="X4" s="435">
        <v>22</v>
      </c>
      <c r="Y4" s="435">
        <v>23</v>
      </c>
      <c r="Z4" s="435">
        <v>24</v>
      </c>
      <c r="AA4" s="1326">
        <v>25</v>
      </c>
      <c r="AB4" s="435">
        <v>26</v>
      </c>
      <c r="AC4" s="436">
        <v>27</v>
      </c>
      <c r="AD4" s="436">
        <v>28</v>
      </c>
      <c r="AE4" s="435">
        <v>29</v>
      </c>
      <c r="AF4" s="435">
        <v>30</v>
      </c>
      <c r="AG4" s="1343">
        <v>31</v>
      </c>
      <c r="AH4" s="1326" t="s">
        <v>207</v>
      </c>
      <c r="AI4" s="1305"/>
      <c r="AJ4" s="1413"/>
      <c r="AK4" s="1414"/>
      <c r="AL4" s="1415"/>
    </row>
    <row r="5" spans="1:38" ht="18.75" customHeight="1">
      <c r="A5" s="780" t="s">
        <v>17</v>
      </c>
      <c r="B5" s="895" t="s">
        <v>18</v>
      </c>
      <c r="C5" s="1335" t="s">
        <v>191</v>
      </c>
      <c r="D5" s="210" t="s">
        <v>191</v>
      </c>
      <c r="E5" s="210" t="s">
        <v>191</v>
      </c>
      <c r="F5" s="210" t="s">
        <v>191</v>
      </c>
      <c r="G5" s="210" t="s">
        <v>191</v>
      </c>
      <c r="H5" s="210" t="s">
        <v>191</v>
      </c>
      <c r="I5" s="210" t="s">
        <v>191</v>
      </c>
      <c r="J5" s="210" t="s">
        <v>191</v>
      </c>
      <c r="K5" s="210" t="s">
        <v>191</v>
      </c>
      <c r="L5" s="210" t="s">
        <v>191</v>
      </c>
      <c r="M5" s="210" t="s">
        <v>191</v>
      </c>
      <c r="N5" s="210" t="s">
        <v>191</v>
      </c>
      <c r="O5" s="210" t="s">
        <v>191</v>
      </c>
      <c r="P5" s="210" t="s">
        <v>191</v>
      </c>
      <c r="Q5" s="210" t="s">
        <v>191</v>
      </c>
      <c r="R5" s="210" t="s">
        <v>191</v>
      </c>
      <c r="S5" s="210" t="s">
        <v>191</v>
      </c>
      <c r="T5" s="210" t="s">
        <v>191</v>
      </c>
      <c r="U5" s="210" t="s">
        <v>191</v>
      </c>
      <c r="V5" s="210" t="s">
        <v>191</v>
      </c>
      <c r="W5" s="210" t="s">
        <v>191</v>
      </c>
      <c r="X5" s="210" t="s">
        <v>191</v>
      </c>
      <c r="Y5" s="210" t="s">
        <v>191</v>
      </c>
      <c r="Z5" s="210" t="s">
        <v>191</v>
      </c>
      <c r="AA5" s="160" t="s">
        <v>23</v>
      </c>
      <c r="AB5" s="131"/>
      <c r="AC5" s="131"/>
      <c r="AD5" s="131"/>
      <c r="AE5" s="131"/>
      <c r="AF5" s="1342" t="s">
        <v>23</v>
      </c>
      <c r="AG5" s="439" t="s">
        <v>23</v>
      </c>
      <c r="AH5" s="138"/>
      <c r="AI5" s="1305"/>
      <c r="AJ5" s="4">
        <f>VLOOKUP(B5,'NOV25'!B:AJ,35,0)</f>
        <v>22</v>
      </c>
      <c r="AK5" s="56">
        <f>COUNTIF(C5:AG5,"U")</f>
        <v>0</v>
      </c>
      <c r="AL5" s="57">
        <f>AJ5-AK5</f>
        <v>22</v>
      </c>
    </row>
    <row r="6" spans="1:38" ht="19.5" customHeight="1">
      <c r="A6" s="780" t="s">
        <v>20</v>
      </c>
      <c r="B6" s="895" t="s">
        <v>21</v>
      </c>
      <c r="C6" s="1336" t="s">
        <v>30</v>
      </c>
      <c r="D6" s="1327" t="s">
        <v>34</v>
      </c>
      <c r="E6" s="419" t="s">
        <v>39</v>
      </c>
      <c r="F6" s="439" t="s">
        <v>23</v>
      </c>
      <c r="G6" s="439" t="s">
        <v>23</v>
      </c>
      <c r="H6" s="139" t="s">
        <v>24</v>
      </c>
      <c r="I6" s="139" t="s">
        <v>24</v>
      </c>
      <c r="J6" s="139" t="s">
        <v>24</v>
      </c>
      <c r="K6" s="139" t="s">
        <v>24</v>
      </c>
      <c r="L6" s="439" t="s">
        <v>23</v>
      </c>
      <c r="M6" s="439" t="s">
        <v>23</v>
      </c>
      <c r="N6" s="138" t="s">
        <v>22</v>
      </c>
      <c r="O6" s="138" t="s">
        <v>22</v>
      </c>
      <c r="P6" s="138" t="s">
        <v>22</v>
      </c>
      <c r="Q6" s="138" t="s">
        <v>22</v>
      </c>
      <c r="R6" s="439" t="s">
        <v>23</v>
      </c>
      <c r="S6" s="439" t="s">
        <v>23</v>
      </c>
      <c r="T6" s="139" t="s">
        <v>24</v>
      </c>
      <c r="U6" s="139" t="s">
        <v>24</v>
      </c>
      <c r="V6" s="139" t="s">
        <v>24</v>
      </c>
      <c r="W6" s="139" t="s">
        <v>24</v>
      </c>
      <c r="X6" s="439" t="s">
        <v>23</v>
      </c>
      <c r="Y6" s="439" t="s">
        <v>23</v>
      </c>
      <c r="Z6" s="6" t="s">
        <v>22</v>
      </c>
      <c r="AA6" s="6" t="s">
        <v>22</v>
      </c>
      <c r="AB6" s="6" t="s">
        <v>22</v>
      </c>
      <c r="AC6" s="6" t="s">
        <v>22</v>
      </c>
      <c r="AD6" s="562" t="s">
        <v>23</v>
      </c>
      <c r="AE6" s="562" t="s">
        <v>23</v>
      </c>
      <c r="AF6" s="978" t="s">
        <v>24</v>
      </c>
      <c r="AG6" s="139" t="s">
        <v>24</v>
      </c>
      <c r="AH6" s="1341" t="s">
        <v>30</v>
      </c>
      <c r="AI6" s="1305"/>
      <c r="AJ6" s="37">
        <f>VLOOKUP(B6,'NOV25'!B:AJ,35,0)</f>
        <v>2</v>
      </c>
      <c r="AK6" s="35">
        <f>COUNTIF(C6:AG6,"U")</f>
        <v>1</v>
      </c>
      <c r="AL6" s="38">
        <f>AJ6-AK6</f>
        <v>1</v>
      </c>
    </row>
    <row r="7" spans="1:38" ht="18.75" customHeight="1">
      <c r="A7" s="566" t="s">
        <v>26</v>
      </c>
      <c r="B7" s="896" t="s">
        <v>27</v>
      </c>
      <c r="C7" s="1337" t="s">
        <v>30</v>
      </c>
      <c r="D7" s="1197" t="s">
        <v>34</v>
      </c>
      <c r="E7" s="137" t="s">
        <v>34</v>
      </c>
      <c r="F7" s="137" t="s">
        <v>34</v>
      </c>
      <c r="G7" s="137" t="s">
        <v>34</v>
      </c>
      <c r="H7" s="160" t="s">
        <v>23</v>
      </c>
      <c r="I7" s="160" t="s">
        <v>23</v>
      </c>
      <c r="J7" s="1306" t="s">
        <v>30</v>
      </c>
      <c r="K7" s="148" t="s">
        <v>24</v>
      </c>
      <c r="L7" s="148" t="s">
        <v>24</v>
      </c>
      <c r="M7" s="148" t="s">
        <v>24</v>
      </c>
      <c r="N7" s="160" t="s">
        <v>23</v>
      </c>
      <c r="O7" s="160" t="s">
        <v>23</v>
      </c>
      <c r="P7" s="138" t="s">
        <v>22</v>
      </c>
      <c r="Q7" s="138" t="s">
        <v>22</v>
      </c>
      <c r="R7" s="138" t="s">
        <v>22</v>
      </c>
      <c r="S7" s="138" t="s">
        <v>22</v>
      </c>
      <c r="T7" s="160" t="s">
        <v>23</v>
      </c>
      <c r="U7" s="160" t="s">
        <v>23</v>
      </c>
      <c r="V7" s="148" t="s">
        <v>24</v>
      </c>
      <c r="W7" s="148" t="s">
        <v>24</v>
      </c>
      <c r="X7" s="148" t="s">
        <v>24</v>
      </c>
      <c r="Y7" s="148" t="s">
        <v>24</v>
      </c>
      <c r="Z7" s="160" t="s">
        <v>23</v>
      </c>
      <c r="AA7" s="160" t="s">
        <v>23</v>
      </c>
      <c r="AB7" s="148" t="s">
        <v>24</v>
      </c>
      <c r="AC7" s="148" t="s">
        <v>24</v>
      </c>
      <c r="AD7" s="148" t="s">
        <v>24</v>
      </c>
      <c r="AE7" s="148" t="s">
        <v>24</v>
      </c>
      <c r="AF7" s="1174" t="s">
        <v>23</v>
      </c>
      <c r="AG7" s="160" t="s">
        <v>23</v>
      </c>
      <c r="AH7" s="1345" t="s">
        <v>24</v>
      </c>
      <c r="AI7" s="1305"/>
      <c r="AJ7" s="37">
        <f>VLOOKUP(B7,'NOV25'!B:AJ,35,0)</f>
        <v>5</v>
      </c>
      <c r="AK7" s="35">
        <f>COUNTIF(C7:AG7,"U")</f>
        <v>4</v>
      </c>
      <c r="AL7" s="38">
        <f>AJ7-AK7</f>
        <v>1</v>
      </c>
    </row>
    <row r="8" spans="1:38" ht="18.75" customHeight="1">
      <c r="A8" s="566" t="s">
        <v>28</v>
      </c>
      <c r="B8" s="896" t="s">
        <v>29</v>
      </c>
      <c r="C8" s="1112" t="s">
        <v>22</v>
      </c>
      <c r="D8" s="138" t="s">
        <v>22</v>
      </c>
      <c r="E8" s="138" t="s">
        <v>22</v>
      </c>
      <c r="F8" s="160" t="s">
        <v>23</v>
      </c>
      <c r="G8" s="160" t="s">
        <v>23</v>
      </c>
      <c r="H8" s="148" t="s">
        <v>24</v>
      </c>
      <c r="I8" s="148" t="s">
        <v>24</v>
      </c>
      <c r="J8" s="148" t="s">
        <v>24</v>
      </c>
      <c r="K8" s="148" t="s">
        <v>24</v>
      </c>
      <c r="L8" s="160" t="s">
        <v>23</v>
      </c>
      <c r="M8" s="160" t="s">
        <v>23</v>
      </c>
      <c r="N8" s="138" t="s">
        <v>22</v>
      </c>
      <c r="O8" s="138" t="s">
        <v>22</v>
      </c>
      <c r="P8" s="138" t="s">
        <v>22</v>
      </c>
      <c r="Q8" s="138" t="s">
        <v>22</v>
      </c>
      <c r="R8" s="160" t="s">
        <v>23</v>
      </c>
      <c r="S8" s="160" t="s">
        <v>23</v>
      </c>
      <c r="T8" s="148" t="s">
        <v>24</v>
      </c>
      <c r="U8" s="148" t="s">
        <v>24</v>
      </c>
      <c r="V8" s="148" t="s">
        <v>24</v>
      </c>
      <c r="W8" s="148" t="s">
        <v>24</v>
      </c>
      <c r="X8" s="160" t="s">
        <v>23</v>
      </c>
      <c r="Y8" s="160" t="s">
        <v>23</v>
      </c>
      <c r="Z8" s="138" t="s">
        <v>22</v>
      </c>
      <c r="AA8" s="138" t="s">
        <v>22</v>
      </c>
      <c r="AB8" s="138" t="s">
        <v>22</v>
      </c>
      <c r="AC8" s="138" t="s">
        <v>22</v>
      </c>
      <c r="AD8" s="160" t="s">
        <v>23</v>
      </c>
      <c r="AE8" s="160" t="s">
        <v>23</v>
      </c>
      <c r="AF8" s="1181" t="s">
        <v>34</v>
      </c>
      <c r="AG8" s="137" t="s">
        <v>34</v>
      </c>
      <c r="AH8" s="137" t="s">
        <v>34</v>
      </c>
      <c r="AI8" s="1305"/>
      <c r="AJ8" s="37">
        <f>VLOOKUP(B8,'NOV25'!B:AJ,35,0)</f>
        <v>5</v>
      </c>
      <c r="AK8" s="35">
        <f t="shared" ref="AK8:AK9" si="0">COUNTIF(C8:AG8,"U")</f>
        <v>2</v>
      </c>
      <c r="AL8" s="38">
        <f t="shared" ref="AL8:AL9" si="1">AJ8-AK8</f>
        <v>3</v>
      </c>
    </row>
    <row r="9" spans="1:38" ht="18.75" customHeight="1">
      <c r="A9" s="566" t="s">
        <v>32</v>
      </c>
      <c r="B9" s="896" t="s">
        <v>33</v>
      </c>
      <c r="C9" s="1112" t="s">
        <v>22</v>
      </c>
      <c r="D9" s="160" t="s">
        <v>23</v>
      </c>
      <c r="E9" s="160" t="s">
        <v>23</v>
      </c>
      <c r="F9" s="1383" t="s">
        <v>22</v>
      </c>
      <c r="G9" s="1383" t="s">
        <v>22</v>
      </c>
      <c r="H9" s="1383" t="s">
        <v>22</v>
      </c>
      <c r="I9" s="1383" t="s">
        <v>22</v>
      </c>
      <c r="J9" s="160" t="s">
        <v>23</v>
      </c>
      <c r="K9" s="160" t="s">
        <v>23</v>
      </c>
      <c r="L9" s="138" t="s">
        <v>22</v>
      </c>
      <c r="M9" s="138" t="s">
        <v>22</v>
      </c>
      <c r="N9" s="138" t="s">
        <v>22</v>
      </c>
      <c r="O9" s="138" t="s">
        <v>22</v>
      </c>
      <c r="P9" s="160" t="s">
        <v>23</v>
      </c>
      <c r="Q9" s="160" t="s">
        <v>23</v>
      </c>
      <c r="R9" s="148" t="s">
        <v>24</v>
      </c>
      <c r="S9" s="148" t="s">
        <v>24</v>
      </c>
      <c r="T9" s="148" t="s">
        <v>24</v>
      </c>
      <c r="U9" s="148" t="s">
        <v>24</v>
      </c>
      <c r="V9" s="160" t="s">
        <v>23</v>
      </c>
      <c r="W9" s="160" t="s">
        <v>23</v>
      </c>
      <c r="X9" s="138" t="s">
        <v>22</v>
      </c>
      <c r="Y9" s="138" t="s">
        <v>22</v>
      </c>
      <c r="Z9" s="138" t="s">
        <v>22</v>
      </c>
      <c r="AA9" s="131" t="s">
        <v>146</v>
      </c>
      <c r="AB9" s="160" t="s">
        <v>23</v>
      </c>
      <c r="AC9" s="160" t="s">
        <v>23</v>
      </c>
      <c r="AD9" s="137" t="s">
        <v>34</v>
      </c>
      <c r="AE9" s="137" t="s">
        <v>34</v>
      </c>
      <c r="AF9" s="137" t="s">
        <v>34</v>
      </c>
      <c r="AG9" s="1344" t="s">
        <v>34</v>
      </c>
      <c r="AH9" s="1346" t="s">
        <v>23</v>
      </c>
      <c r="AI9" s="1305"/>
      <c r="AJ9" s="37">
        <f>VLOOKUP(B9,'NOV25'!B:AJ,35,0)</f>
        <v>4</v>
      </c>
      <c r="AK9" s="35">
        <f t="shared" si="0"/>
        <v>4</v>
      </c>
      <c r="AL9" s="38">
        <f t="shared" si="1"/>
        <v>0</v>
      </c>
    </row>
    <row r="10" spans="1:38" ht="18.75" customHeight="1">
      <c r="A10" s="566" t="s">
        <v>35</v>
      </c>
      <c r="B10" s="896" t="s">
        <v>36</v>
      </c>
      <c r="C10" s="150" t="s">
        <v>23</v>
      </c>
      <c r="D10" s="148" t="s">
        <v>24</v>
      </c>
      <c r="E10" s="148" t="s">
        <v>24</v>
      </c>
      <c r="F10" s="148" t="s">
        <v>24</v>
      </c>
      <c r="G10" s="148" t="s">
        <v>24</v>
      </c>
      <c r="H10" s="160" t="s">
        <v>23</v>
      </c>
      <c r="I10" s="160" t="s">
        <v>23</v>
      </c>
      <c r="J10" s="138" t="s">
        <v>22</v>
      </c>
      <c r="K10" s="138" t="s">
        <v>22</v>
      </c>
      <c r="L10" s="138" t="s">
        <v>22</v>
      </c>
      <c r="M10" s="138" t="s">
        <v>22</v>
      </c>
      <c r="N10" s="160" t="s">
        <v>23</v>
      </c>
      <c r="O10" s="160" t="s">
        <v>23</v>
      </c>
      <c r="P10" s="148" t="s">
        <v>24</v>
      </c>
      <c r="Q10" s="148" t="s">
        <v>24</v>
      </c>
      <c r="R10" s="148" t="s">
        <v>24</v>
      </c>
      <c r="S10" s="148" t="s">
        <v>24</v>
      </c>
      <c r="T10" s="160" t="s">
        <v>23</v>
      </c>
      <c r="U10" s="160" t="s">
        <v>23</v>
      </c>
      <c r="V10" s="138" t="s">
        <v>22</v>
      </c>
      <c r="W10" s="138" t="s">
        <v>22</v>
      </c>
      <c r="X10" s="138" t="s">
        <v>22</v>
      </c>
      <c r="Y10" s="138" t="s">
        <v>22</v>
      </c>
      <c r="Z10" s="138" t="s">
        <v>22</v>
      </c>
      <c r="AA10" s="160" t="s">
        <v>23</v>
      </c>
      <c r="AB10" s="160" t="s">
        <v>23</v>
      </c>
      <c r="AC10" s="137" t="s">
        <v>34</v>
      </c>
      <c r="AD10" s="419" t="s">
        <v>39</v>
      </c>
      <c r="AE10" s="131" t="s">
        <v>146</v>
      </c>
      <c r="AF10" s="160" t="s">
        <v>23</v>
      </c>
      <c r="AG10" s="160" t="s">
        <v>23</v>
      </c>
      <c r="AH10" s="131" t="s">
        <v>146</v>
      </c>
      <c r="AI10" s="1305"/>
      <c r="AJ10" s="37">
        <f>VLOOKUP(B10,'NOV25'!B:AJ,35,0)</f>
        <v>1</v>
      </c>
      <c r="AK10" s="35">
        <f>COUNTIF(C10:AG10,"U")</f>
        <v>1</v>
      </c>
      <c r="AL10" s="38">
        <f>AJ10-AK10</f>
        <v>0</v>
      </c>
    </row>
    <row r="11" spans="1:38" ht="18.75" customHeight="1">
      <c r="A11" s="566" t="s">
        <v>37</v>
      </c>
      <c r="B11" s="896" t="s">
        <v>38</v>
      </c>
      <c r="C11" s="1111" t="s">
        <v>24</v>
      </c>
      <c r="D11" s="148" t="s">
        <v>24</v>
      </c>
      <c r="E11" s="148" t="s">
        <v>24</v>
      </c>
      <c r="F11" s="160" t="s">
        <v>23</v>
      </c>
      <c r="G11" s="160" t="s">
        <v>23</v>
      </c>
      <c r="H11" s="138" t="s">
        <v>22</v>
      </c>
      <c r="I11" s="138" t="s">
        <v>22</v>
      </c>
      <c r="J11" s="138" t="s">
        <v>22</v>
      </c>
      <c r="K11" s="138" t="s">
        <v>22</v>
      </c>
      <c r="L11" s="160" t="s">
        <v>23</v>
      </c>
      <c r="M11" s="160" t="s">
        <v>23</v>
      </c>
      <c r="N11" s="148" t="s">
        <v>24</v>
      </c>
      <c r="O11" s="148" t="s">
        <v>24</v>
      </c>
      <c r="P11" s="148" t="s">
        <v>24</v>
      </c>
      <c r="Q11" s="148" t="s">
        <v>24</v>
      </c>
      <c r="R11" s="160" t="s">
        <v>23</v>
      </c>
      <c r="S11" s="160" t="s">
        <v>23</v>
      </c>
      <c r="T11" s="138" t="s">
        <v>22</v>
      </c>
      <c r="U11" s="138" t="s">
        <v>22</v>
      </c>
      <c r="V11" s="138" t="s">
        <v>22</v>
      </c>
      <c r="W11" s="138" t="s">
        <v>22</v>
      </c>
      <c r="X11" s="160" t="s">
        <v>23</v>
      </c>
      <c r="Y11" s="160" t="s">
        <v>23</v>
      </c>
      <c r="Z11" s="148" t="s">
        <v>24</v>
      </c>
      <c r="AA11" s="1297" t="s">
        <v>30</v>
      </c>
      <c r="AB11" s="148" t="s">
        <v>24</v>
      </c>
      <c r="AC11" s="148" t="s">
        <v>24</v>
      </c>
      <c r="AD11" s="160" t="s">
        <v>23</v>
      </c>
      <c r="AE11" s="160" t="s">
        <v>23</v>
      </c>
      <c r="AF11" s="138" t="s">
        <v>22</v>
      </c>
      <c r="AG11" s="138" t="s">
        <v>22</v>
      </c>
      <c r="AH11" s="138" t="s">
        <v>22</v>
      </c>
      <c r="AI11" s="1305"/>
      <c r="AJ11" s="37">
        <f>VLOOKUP(B11,'NOV25'!B:AJ,35,0)</f>
        <v>0</v>
      </c>
      <c r="AK11" s="35">
        <f>COUNTIF(C11:AG11,"U")</f>
        <v>0</v>
      </c>
      <c r="AL11" s="38">
        <f>AJ11-AK11</f>
        <v>0</v>
      </c>
    </row>
    <row r="12" spans="1:38" ht="19.5" customHeight="1">
      <c r="A12" s="567" t="s">
        <v>43</v>
      </c>
      <c r="B12" s="991" t="s">
        <v>44</v>
      </c>
      <c r="C12" s="1338" t="s">
        <v>24</v>
      </c>
      <c r="D12" s="161" t="s">
        <v>23</v>
      </c>
      <c r="E12" s="161" t="s">
        <v>23</v>
      </c>
      <c r="F12" s="481" t="s">
        <v>63</v>
      </c>
      <c r="G12" s="481" t="s">
        <v>63</v>
      </c>
      <c r="H12" s="481" t="s">
        <v>63</v>
      </c>
      <c r="I12" s="481" t="s">
        <v>63</v>
      </c>
      <c r="J12" s="161" t="s">
        <v>23</v>
      </c>
      <c r="K12" s="161" t="s">
        <v>23</v>
      </c>
      <c r="L12" s="307" t="s">
        <v>24</v>
      </c>
      <c r="M12" s="307" t="s">
        <v>24</v>
      </c>
      <c r="N12" s="307" t="s">
        <v>24</v>
      </c>
      <c r="O12" s="307" t="s">
        <v>24</v>
      </c>
      <c r="P12" s="161" t="s">
        <v>23</v>
      </c>
      <c r="Q12" s="161" t="s">
        <v>23</v>
      </c>
      <c r="R12" s="153" t="s">
        <v>22</v>
      </c>
      <c r="S12" s="153" t="s">
        <v>22</v>
      </c>
      <c r="T12" s="153" t="s">
        <v>22</v>
      </c>
      <c r="U12" s="153" t="s">
        <v>22</v>
      </c>
      <c r="V12" s="161" t="s">
        <v>23</v>
      </c>
      <c r="W12" s="161" t="s">
        <v>23</v>
      </c>
      <c r="X12" s="307" t="s">
        <v>24</v>
      </c>
      <c r="Y12" s="307" t="s">
        <v>24</v>
      </c>
      <c r="Z12" s="307" t="s">
        <v>24</v>
      </c>
      <c r="AA12" s="307" t="s">
        <v>24</v>
      </c>
      <c r="AB12" s="161" t="s">
        <v>23</v>
      </c>
      <c r="AC12" s="161" t="s">
        <v>23</v>
      </c>
      <c r="AD12" s="153" t="s">
        <v>22</v>
      </c>
      <c r="AE12" s="153" t="s">
        <v>22</v>
      </c>
      <c r="AF12" s="153" t="s">
        <v>22</v>
      </c>
      <c r="AG12" s="153" t="s">
        <v>22</v>
      </c>
      <c r="AH12" s="1347" t="s">
        <v>23</v>
      </c>
      <c r="AI12" s="1305"/>
      <c r="AJ12" s="46">
        <f>VLOOKUP(B12,'NOV25'!B:AJ,35,0)</f>
        <v>0</v>
      </c>
      <c r="AK12" s="16">
        <f>COUNTIF(C12:AG12,"U")</f>
        <v>0</v>
      </c>
      <c r="AL12" s="52">
        <f>AJ12-AK12</f>
        <v>0</v>
      </c>
    </row>
    <row r="13" spans="1:38" ht="20.100000000000001" customHeight="1">
      <c r="A13" s="95"/>
      <c r="B13" s="95"/>
      <c r="C13" s="98"/>
      <c r="D13" s="96"/>
      <c r="E13" s="96"/>
      <c r="F13" s="97"/>
      <c r="G13" s="97"/>
      <c r="H13" s="97"/>
      <c r="I13" s="97"/>
      <c r="J13" s="96"/>
      <c r="K13" s="96"/>
      <c r="L13" s="98"/>
      <c r="M13" s="98"/>
      <c r="N13" s="98"/>
      <c r="O13" s="98"/>
      <c r="P13" s="96"/>
      <c r="Q13" s="96"/>
      <c r="R13" s="97"/>
      <c r="S13" s="97"/>
      <c r="T13" s="97"/>
      <c r="U13" s="97"/>
      <c r="V13" s="96"/>
      <c r="W13" s="96"/>
      <c r="X13" s="98"/>
      <c r="Y13" s="98"/>
      <c r="Z13" s="98"/>
      <c r="AA13" s="98"/>
      <c r="AB13" s="96"/>
      <c r="AC13" s="96"/>
      <c r="AD13" s="97"/>
      <c r="AE13" s="97"/>
      <c r="AF13" s="97"/>
      <c r="AG13" s="97"/>
      <c r="AH13" s="97"/>
      <c r="AI13" s="1305"/>
      <c r="AJ13" s="72"/>
      <c r="AK13" s="72"/>
      <c r="AL13" s="72"/>
    </row>
    <row r="14" spans="1:38" ht="24.95" customHeight="1">
      <c r="A14" s="599" t="s">
        <v>196</v>
      </c>
      <c r="B14" s="600"/>
      <c r="C14" s="1412"/>
      <c r="D14" s="1410"/>
      <c r="E14" s="1410"/>
      <c r="F14" s="1410"/>
      <c r="G14" s="1410"/>
      <c r="H14" s="1410"/>
      <c r="I14" s="1410"/>
      <c r="J14" s="1410"/>
      <c r="K14" s="1410"/>
      <c r="L14" s="1410"/>
      <c r="M14" s="1410"/>
      <c r="N14" s="1410"/>
      <c r="O14" s="1410"/>
      <c r="P14" s="1410"/>
      <c r="Q14" s="1410"/>
      <c r="R14" s="1410"/>
      <c r="S14" s="1410"/>
      <c r="T14" s="1410"/>
      <c r="U14" s="1410"/>
      <c r="V14" s="1410"/>
      <c r="W14" s="1410"/>
      <c r="X14" s="1410"/>
      <c r="Y14" s="1410"/>
      <c r="Z14" s="1410"/>
      <c r="AA14" s="1410"/>
      <c r="AB14" s="1410"/>
      <c r="AC14" s="1410"/>
      <c r="AD14" s="1410"/>
      <c r="AE14" s="1410"/>
      <c r="AF14" s="1410"/>
      <c r="AG14" s="1410"/>
      <c r="AH14" s="1411"/>
      <c r="AI14" s="1305"/>
      <c r="AJ14" s="72"/>
      <c r="AK14" s="72"/>
      <c r="AL14" s="72"/>
    </row>
    <row r="15" spans="1:38" ht="20.25" customHeight="1">
      <c r="A15" s="566" t="s">
        <v>192</v>
      </c>
      <c r="B15" s="896" t="s">
        <v>193</v>
      </c>
      <c r="C15" s="350" t="s">
        <v>165</v>
      </c>
      <c r="D15" s="350" t="s">
        <v>165</v>
      </c>
      <c r="E15" s="350" t="s">
        <v>165</v>
      </c>
      <c r="F15" s="350" t="s">
        <v>165</v>
      </c>
      <c r="G15" s="350" t="s">
        <v>165</v>
      </c>
      <c r="H15" s="160" t="s">
        <v>23</v>
      </c>
      <c r="I15" s="160" t="s">
        <v>23</v>
      </c>
      <c r="J15" s="350" t="s">
        <v>165</v>
      </c>
      <c r="K15" s="350" t="s">
        <v>165</v>
      </c>
      <c r="L15" s="350" t="s">
        <v>165</v>
      </c>
      <c r="M15" s="350" t="s">
        <v>165</v>
      </c>
      <c r="N15" s="350" t="s">
        <v>165</v>
      </c>
      <c r="O15" s="160" t="s">
        <v>23</v>
      </c>
      <c r="P15" s="160" t="s">
        <v>23</v>
      </c>
      <c r="Q15" s="350" t="s">
        <v>165</v>
      </c>
      <c r="R15" s="350" t="s">
        <v>165</v>
      </c>
      <c r="S15" s="350" t="s">
        <v>165</v>
      </c>
      <c r="T15" s="350" t="s">
        <v>165</v>
      </c>
      <c r="U15" s="350" t="s">
        <v>165</v>
      </c>
      <c r="V15" s="160" t="s">
        <v>23</v>
      </c>
      <c r="W15" s="160" t="s">
        <v>23</v>
      </c>
      <c r="X15" s="350" t="s">
        <v>165</v>
      </c>
      <c r="Y15" s="350" t="s">
        <v>165</v>
      </c>
      <c r="Z15" s="350" t="s">
        <v>165</v>
      </c>
      <c r="AA15" s="350" t="s">
        <v>165</v>
      </c>
      <c r="AB15" s="350" t="s">
        <v>165</v>
      </c>
      <c r="AC15" s="160" t="s">
        <v>23</v>
      </c>
      <c r="AD15" s="160" t="s">
        <v>23</v>
      </c>
      <c r="AE15" s="350" t="s">
        <v>165</v>
      </c>
      <c r="AF15" s="350" t="s">
        <v>165</v>
      </c>
      <c r="AG15" s="350" t="s">
        <v>165</v>
      </c>
      <c r="AH15" s="1297" t="s">
        <v>30</v>
      </c>
      <c r="AI15" s="1305"/>
      <c r="AJ15" s="4">
        <f>VLOOKUP(B15,'NOV25'!B:AJ,35,0)</f>
        <v>-23</v>
      </c>
      <c r="AK15" s="56">
        <f>COUNTIF(C15:AG15,"U")</f>
        <v>0</v>
      </c>
      <c r="AL15" s="57">
        <f>AJ15-AK15</f>
        <v>-23</v>
      </c>
    </row>
    <row r="16" spans="1:38" ht="21" customHeight="1">
      <c r="A16" s="566" t="s">
        <v>51</v>
      </c>
      <c r="B16" s="1191" t="s">
        <v>52</v>
      </c>
      <c r="C16" s="350" t="s">
        <v>165</v>
      </c>
      <c r="D16" s="350" t="s">
        <v>165</v>
      </c>
      <c r="E16" s="350" t="s">
        <v>165</v>
      </c>
      <c r="F16" s="350" t="s">
        <v>165</v>
      </c>
      <c r="G16" s="350" t="s">
        <v>165</v>
      </c>
      <c r="H16" s="160" t="s">
        <v>23</v>
      </c>
      <c r="I16" s="160" t="s">
        <v>23</v>
      </c>
      <c r="J16" s="350" t="s">
        <v>165</v>
      </c>
      <c r="K16" s="350" t="s">
        <v>165</v>
      </c>
      <c r="L16" s="350" t="s">
        <v>165</v>
      </c>
      <c r="M16" s="350" t="s">
        <v>165</v>
      </c>
      <c r="N16" s="350" t="s">
        <v>165</v>
      </c>
      <c r="O16" s="160" t="s">
        <v>23</v>
      </c>
      <c r="P16" s="160" t="s">
        <v>23</v>
      </c>
      <c r="Q16" s="350" t="s">
        <v>165</v>
      </c>
      <c r="R16" s="350" t="s">
        <v>165</v>
      </c>
      <c r="S16" s="350" t="s">
        <v>165</v>
      </c>
      <c r="T16" s="350" t="s">
        <v>165</v>
      </c>
      <c r="U16" s="350" t="s">
        <v>165</v>
      </c>
      <c r="V16" s="160" t="s">
        <v>23</v>
      </c>
      <c r="W16" s="160" t="s">
        <v>23</v>
      </c>
      <c r="X16" s="137" t="s">
        <v>34</v>
      </c>
      <c r="Y16" s="137" t="s">
        <v>34</v>
      </c>
      <c r="Z16" s="137" t="s">
        <v>34</v>
      </c>
      <c r="AA16" s="137" t="s">
        <v>30</v>
      </c>
      <c r="AB16" s="419" t="s">
        <v>39</v>
      </c>
      <c r="AC16" s="160" t="s">
        <v>23</v>
      </c>
      <c r="AD16" s="160" t="s">
        <v>23</v>
      </c>
      <c r="AE16" s="350" t="s">
        <v>165</v>
      </c>
      <c r="AF16" s="350" t="s">
        <v>165</v>
      </c>
      <c r="AG16" s="350" t="s">
        <v>165</v>
      </c>
      <c r="AH16" s="350" t="s">
        <v>165</v>
      </c>
      <c r="AI16" s="1305"/>
      <c r="AJ16" s="37">
        <f>VLOOKUP(B16,'NOV25'!B:AJ,35,0)</f>
        <v>3</v>
      </c>
      <c r="AK16" s="35">
        <f t="shared" ref="AK16:AK22" si="2">COUNTIF(C16:AG16,"U")</f>
        <v>3</v>
      </c>
      <c r="AL16" s="38">
        <f t="shared" ref="AL16:AL22" si="3">AJ16-AK16</f>
        <v>0</v>
      </c>
    </row>
    <row r="17" spans="1:39" ht="21" customHeight="1">
      <c r="A17" s="566" t="s">
        <v>54</v>
      </c>
      <c r="B17" s="1191" t="s">
        <v>55</v>
      </c>
      <c r="C17" s="139" t="s">
        <v>24</v>
      </c>
      <c r="D17" s="139" t="s">
        <v>24</v>
      </c>
      <c r="E17" s="160" t="s">
        <v>23</v>
      </c>
      <c r="F17" s="160" t="s">
        <v>23</v>
      </c>
      <c r="G17" s="138" t="s">
        <v>22</v>
      </c>
      <c r="H17" s="138" t="s">
        <v>22</v>
      </c>
      <c r="I17" s="139" t="s">
        <v>24</v>
      </c>
      <c r="J17" s="139" t="s">
        <v>24</v>
      </c>
      <c r="K17" s="160" t="s">
        <v>23</v>
      </c>
      <c r="L17" s="160" t="s">
        <v>23</v>
      </c>
      <c r="M17" s="139" t="s">
        <v>24</v>
      </c>
      <c r="N17" s="139" t="s">
        <v>24</v>
      </c>
      <c r="O17" s="139" t="s">
        <v>24</v>
      </c>
      <c r="P17" s="139" t="s">
        <v>24</v>
      </c>
      <c r="Q17" s="160" t="s">
        <v>23</v>
      </c>
      <c r="R17" s="160" t="s">
        <v>23</v>
      </c>
      <c r="S17" s="138" t="s">
        <v>22</v>
      </c>
      <c r="T17" s="138" t="s">
        <v>22</v>
      </c>
      <c r="U17" s="138" t="s">
        <v>22</v>
      </c>
      <c r="V17" s="138" t="s">
        <v>22</v>
      </c>
      <c r="W17" s="160" t="s">
        <v>23</v>
      </c>
      <c r="X17" s="160" t="s">
        <v>23</v>
      </c>
      <c r="Y17" s="139" t="s">
        <v>24</v>
      </c>
      <c r="Z17" s="139" t="s">
        <v>24</v>
      </c>
      <c r="AA17" s="139" t="s">
        <v>24</v>
      </c>
      <c r="AB17" s="139" t="s">
        <v>24</v>
      </c>
      <c r="AC17" s="160" t="s">
        <v>23</v>
      </c>
      <c r="AD17" s="160" t="s">
        <v>23</v>
      </c>
      <c r="AE17" s="138" t="s">
        <v>22</v>
      </c>
      <c r="AF17" s="138" t="s">
        <v>22</v>
      </c>
      <c r="AG17" s="138" t="s">
        <v>22</v>
      </c>
      <c r="AH17" s="1297" t="s">
        <v>30</v>
      </c>
      <c r="AI17" s="1305"/>
      <c r="AJ17" s="37">
        <f>VLOOKUP(B17,'NOV25'!B:AJ,35,0)</f>
        <v>0</v>
      </c>
      <c r="AK17" s="35">
        <f t="shared" si="2"/>
        <v>0</v>
      </c>
      <c r="AL17" s="38">
        <f t="shared" si="3"/>
        <v>0</v>
      </c>
    </row>
    <row r="18" spans="1:39" ht="18.75" customHeight="1">
      <c r="A18" s="566" t="s">
        <v>157</v>
      </c>
      <c r="B18" s="1191" t="s">
        <v>158</v>
      </c>
      <c r="C18" s="139" t="s">
        <v>24</v>
      </c>
      <c r="D18" s="160" t="s">
        <v>23</v>
      </c>
      <c r="E18" s="160" t="s">
        <v>23</v>
      </c>
      <c r="F18" s="138" t="s">
        <v>22</v>
      </c>
      <c r="G18" s="138" t="s">
        <v>22</v>
      </c>
      <c r="H18" s="138" t="s">
        <v>22</v>
      </c>
      <c r="I18" s="138" t="s">
        <v>22</v>
      </c>
      <c r="J18" s="138" t="s">
        <v>22</v>
      </c>
      <c r="K18" s="160" t="s">
        <v>23</v>
      </c>
      <c r="L18" s="160" t="s">
        <v>23</v>
      </c>
      <c r="M18" s="139" t="s">
        <v>24</v>
      </c>
      <c r="N18" s="139" t="s">
        <v>24</v>
      </c>
      <c r="O18" s="139" t="s">
        <v>24</v>
      </c>
      <c r="P18" s="139" t="s">
        <v>24</v>
      </c>
      <c r="Q18" s="160" t="s">
        <v>23</v>
      </c>
      <c r="R18" s="160" t="s">
        <v>23</v>
      </c>
      <c r="S18" s="138" t="s">
        <v>22</v>
      </c>
      <c r="T18" s="138" t="s">
        <v>22</v>
      </c>
      <c r="U18" s="137" t="s">
        <v>34</v>
      </c>
      <c r="V18" s="137" t="s">
        <v>34</v>
      </c>
      <c r="W18" s="160" t="s">
        <v>23</v>
      </c>
      <c r="X18" s="160" t="s">
        <v>23</v>
      </c>
      <c r="Y18" s="137" t="s">
        <v>34</v>
      </c>
      <c r="Z18" s="137" t="s">
        <v>34</v>
      </c>
      <c r="AA18" s="1297" t="s">
        <v>30</v>
      </c>
      <c r="AB18" s="137" t="s">
        <v>34</v>
      </c>
      <c r="AC18" s="160" t="s">
        <v>23</v>
      </c>
      <c r="AD18" s="160" t="s">
        <v>23</v>
      </c>
      <c r="AE18" s="419" t="s">
        <v>39</v>
      </c>
      <c r="AF18" s="138" t="s">
        <v>22</v>
      </c>
      <c r="AG18" s="138" t="s">
        <v>22</v>
      </c>
      <c r="AH18" s="138" t="s">
        <v>22</v>
      </c>
      <c r="AI18" s="1305"/>
      <c r="AJ18" s="37">
        <f>VLOOKUP(B18,'NOV25'!B:AJ,35,0)</f>
        <v>11</v>
      </c>
      <c r="AK18" s="35">
        <f t="shared" si="2"/>
        <v>5</v>
      </c>
      <c r="AL18" s="38">
        <f t="shared" si="3"/>
        <v>6</v>
      </c>
      <c r="AM18" s="72"/>
    </row>
    <row r="19" spans="1:39" ht="18.75" customHeight="1">
      <c r="A19" s="566" t="s">
        <v>166</v>
      </c>
      <c r="B19" s="1191" t="s">
        <v>167</v>
      </c>
      <c r="C19" s="1297" t="s">
        <v>30</v>
      </c>
      <c r="D19" s="137" t="s">
        <v>34</v>
      </c>
      <c r="E19" s="137" t="s">
        <v>34</v>
      </c>
      <c r="F19" s="137" t="s">
        <v>34</v>
      </c>
      <c r="G19" s="160" t="s">
        <v>23</v>
      </c>
      <c r="H19" s="160" t="s">
        <v>23</v>
      </c>
      <c r="I19" s="137" t="s">
        <v>34</v>
      </c>
      <c r="J19" s="1297" t="s">
        <v>30</v>
      </c>
      <c r="K19" s="138" t="s">
        <v>22</v>
      </c>
      <c r="L19" s="138" t="s">
        <v>22</v>
      </c>
      <c r="M19" s="138" t="s">
        <v>22</v>
      </c>
      <c r="N19" s="138" t="s">
        <v>22</v>
      </c>
      <c r="O19" s="160" t="s">
        <v>23</v>
      </c>
      <c r="P19" s="160" t="s">
        <v>23</v>
      </c>
      <c r="Q19" s="139" t="s">
        <v>24</v>
      </c>
      <c r="R19" s="139" t="s">
        <v>24</v>
      </c>
      <c r="S19" s="139" t="s">
        <v>24</v>
      </c>
      <c r="T19" s="139" t="s">
        <v>24</v>
      </c>
      <c r="U19" s="160" t="s">
        <v>23</v>
      </c>
      <c r="V19" s="160" t="s">
        <v>23</v>
      </c>
      <c r="W19" s="138" t="s">
        <v>22</v>
      </c>
      <c r="X19" s="138" t="s">
        <v>22</v>
      </c>
      <c r="Y19" s="138" t="s">
        <v>22</v>
      </c>
      <c r="Z19" s="138" t="s">
        <v>22</v>
      </c>
      <c r="AA19" s="1297" t="s">
        <v>30</v>
      </c>
      <c r="AB19" s="160" t="s">
        <v>23</v>
      </c>
      <c r="AC19" s="419" t="s">
        <v>39</v>
      </c>
      <c r="AD19" s="139" t="s">
        <v>24</v>
      </c>
      <c r="AE19" s="139" t="s">
        <v>24</v>
      </c>
      <c r="AF19" s="139" t="s">
        <v>24</v>
      </c>
      <c r="AG19" s="160" t="s">
        <v>23</v>
      </c>
      <c r="AH19" s="139" t="s">
        <v>24</v>
      </c>
      <c r="AI19" s="1305"/>
      <c r="AJ19" s="37">
        <f>VLOOKUP(B19,'NOV25'!B:AJ,35,0)</f>
        <v>4</v>
      </c>
      <c r="AK19" s="35">
        <f t="shared" si="2"/>
        <v>4</v>
      </c>
      <c r="AL19" s="38">
        <f t="shared" si="3"/>
        <v>0</v>
      </c>
      <c r="AM19" s="72"/>
    </row>
    <row r="20" spans="1:39" ht="18.75" customHeight="1">
      <c r="A20" s="566" t="s">
        <v>155</v>
      </c>
      <c r="B20" s="1191" t="s">
        <v>156</v>
      </c>
      <c r="C20" s="160" t="s">
        <v>23</v>
      </c>
      <c r="D20" s="160" t="s">
        <v>23</v>
      </c>
      <c r="E20" s="139" t="s">
        <v>24</v>
      </c>
      <c r="F20" s="139" t="s">
        <v>24</v>
      </c>
      <c r="G20" s="139" t="s">
        <v>24</v>
      </c>
      <c r="H20" s="139" t="s">
        <v>24</v>
      </c>
      <c r="I20" s="160" t="s">
        <v>23</v>
      </c>
      <c r="J20" s="160" t="s">
        <v>23</v>
      </c>
      <c r="K20" s="419" t="s">
        <v>39</v>
      </c>
      <c r="L20" s="138" t="s">
        <v>22</v>
      </c>
      <c r="M20" s="138" t="s">
        <v>22</v>
      </c>
      <c r="N20" s="138" t="s">
        <v>22</v>
      </c>
      <c r="O20" s="160" t="s">
        <v>23</v>
      </c>
      <c r="P20" s="160" t="s">
        <v>23</v>
      </c>
      <c r="Q20" s="139" t="s">
        <v>24</v>
      </c>
      <c r="R20" s="139" t="s">
        <v>24</v>
      </c>
      <c r="S20" s="139" t="s">
        <v>24</v>
      </c>
      <c r="T20" s="139" t="s">
        <v>24</v>
      </c>
      <c r="U20" s="160" t="s">
        <v>23</v>
      </c>
      <c r="V20" s="160" t="s">
        <v>23</v>
      </c>
      <c r="W20" s="138" t="s">
        <v>22</v>
      </c>
      <c r="X20" s="138" t="s">
        <v>22</v>
      </c>
      <c r="Y20" s="138" t="s">
        <v>22</v>
      </c>
      <c r="Z20" s="138" t="s">
        <v>22</v>
      </c>
      <c r="AA20" s="160" t="s">
        <v>23</v>
      </c>
      <c r="AB20" s="160" t="s">
        <v>23</v>
      </c>
      <c r="AC20" s="139" t="s">
        <v>24</v>
      </c>
      <c r="AD20" s="139" t="s">
        <v>24</v>
      </c>
      <c r="AE20" s="139" t="s">
        <v>24</v>
      </c>
      <c r="AF20" s="139" t="s">
        <v>24</v>
      </c>
      <c r="AG20" s="160" t="s">
        <v>23</v>
      </c>
      <c r="AH20" s="160" t="s">
        <v>23</v>
      </c>
      <c r="AI20" s="1305"/>
      <c r="AJ20" s="37">
        <f>VLOOKUP(B20,'NOV25'!B:AJ,35,0)</f>
        <v>1</v>
      </c>
      <c r="AK20" s="35">
        <f t="shared" si="2"/>
        <v>0</v>
      </c>
      <c r="AL20" s="38">
        <f t="shared" si="3"/>
        <v>1</v>
      </c>
      <c r="AM20" s="72"/>
    </row>
    <row r="21" spans="1:39" ht="18.75" customHeight="1">
      <c r="A21" s="566" t="s">
        <v>159</v>
      </c>
      <c r="B21" s="1191" t="s">
        <v>160</v>
      </c>
      <c r="C21" s="1368" t="s">
        <v>22</v>
      </c>
      <c r="D21" s="1004" t="s">
        <v>22</v>
      </c>
      <c r="E21" s="1004" t="s">
        <v>22</v>
      </c>
      <c r="F21" s="1004" t="s">
        <v>22</v>
      </c>
      <c r="G21" s="1226" t="s">
        <v>23</v>
      </c>
      <c r="H21" s="1226" t="s">
        <v>23</v>
      </c>
      <c r="I21" s="1017" t="s">
        <v>24</v>
      </c>
      <c r="J21" s="1017" t="s">
        <v>24</v>
      </c>
      <c r="K21" s="1017" t="s">
        <v>24</v>
      </c>
      <c r="L21" s="1017" t="s">
        <v>24</v>
      </c>
      <c r="M21" s="1226" t="s">
        <v>23</v>
      </c>
      <c r="N21" s="1226" t="s">
        <v>23</v>
      </c>
      <c r="O21" s="1004" t="s">
        <v>22</v>
      </c>
      <c r="P21" s="1004" t="s">
        <v>22</v>
      </c>
      <c r="Q21" s="1004" t="s">
        <v>22</v>
      </c>
      <c r="R21" s="1004" t="s">
        <v>22</v>
      </c>
      <c r="S21" s="1226" t="s">
        <v>23</v>
      </c>
      <c r="T21" s="1226" t="s">
        <v>23</v>
      </c>
      <c r="U21" s="1017" t="s">
        <v>24</v>
      </c>
      <c r="V21" s="1017" t="s">
        <v>24</v>
      </c>
      <c r="W21" s="1017" t="s">
        <v>24</v>
      </c>
      <c r="X21" s="1017" t="s">
        <v>24</v>
      </c>
      <c r="Y21" s="1226" t="s">
        <v>23</v>
      </c>
      <c r="Z21" s="1369" t="s">
        <v>23</v>
      </c>
      <c r="AA21" s="1004" t="s">
        <v>22</v>
      </c>
      <c r="AB21" s="1004" t="s">
        <v>22</v>
      </c>
      <c r="AC21" s="1004" t="s">
        <v>22</v>
      </c>
      <c r="AD21" s="1004" t="s">
        <v>22</v>
      </c>
      <c r="AE21" s="1226" t="s">
        <v>23</v>
      </c>
      <c r="AF21" s="1226" t="s">
        <v>23</v>
      </c>
      <c r="AG21" s="1228" t="s">
        <v>34</v>
      </c>
      <c r="AH21" s="1370" t="s">
        <v>30</v>
      </c>
      <c r="AI21" s="1305"/>
      <c r="AJ21" s="37">
        <f>VLOOKUP(B21,'NOV25'!B:AJ,35,0)</f>
        <v>3</v>
      </c>
      <c r="AK21" s="35">
        <f t="shared" si="2"/>
        <v>1</v>
      </c>
      <c r="AL21" s="38">
        <f t="shared" si="3"/>
        <v>2</v>
      </c>
      <c r="AM21" s="72"/>
    </row>
    <row r="22" spans="1:39" ht="19.5" customHeight="1">
      <c r="A22" s="938" t="s">
        <v>46</v>
      </c>
      <c r="B22" s="1192" t="s">
        <v>47</v>
      </c>
      <c r="C22" s="1324" t="s">
        <v>186</v>
      </c>
      <c r="D22" s="1325" t="s">
        <v>186</v>
      </c>
      <c r="E22" s="1325" t="s">
        <v>186</v>
      </c>
      <c r="F22" s="1325" t="s">
        <v>186</v>
      </c>
      <c r="G22" s="1325" t="s">
        <v>186</v>
      </c>
      <c r="H22" s="1325" t="s">
        <v>186</v>
      </c>
      <c r="I22" s="1325" t="s">
        <v>186</v>
      </c>
      <c r="J22" s="1325" t="s">
        <v>186</v>
      </c>
      <c r="K22" s="1325" t="s">
        <v>186</v>
      </c>
      <c r="L22" s="1325" t="s">
        <v>186</v>
      </c>
      <c r="M22" s="1325" t="s">
        <v>186</v>
      </c>
      <c r="N22" s="1325" t="s">
        <v>186</v>
      </c>
      <c r="O22" s="1325" t="s">
        <v>186</v>
      </c>
      <c r="P22" s="1325" t="s">
        <v>186</v>
      </c>
      <c r="Q22" s="1325" t="s">
        <v>186</v>
      </c>
      <c r="R22" s="1325" t="s">
        <v>186</v>
      </c>
      <c r="S22" s="1325" t="s">
        <v>186</v>
      </c>
      <c r="T22" s="1325" t="s">
        <v>186</v>
      </c>
      <c r="U22" s="1325" t="s">
        <v>186</v>
      </c>
      <c r="V22" s="1325" t="s">
        <v>186</v>
      </c>
      <c r="W22" s="1325" t="s">
        <v>186</v>
      </c>
      <c r="X22" s="1325" t="s">
        <v>186</v>
      </c>
      <c r="Y22" s="1325" t="s">
        <v>186</v>
      </c>
      <c r="Z22" s="1325" t="s">
        <v>186</v>
      </c>
      <c r="AA22" s="1325" t="s">
        <v>186</v>
      </c>
      <c r="AB22" s="1325" t="s">
        <v>186</v>
      </c>
      <c r="AC22" s="1325" t="s">
        <v>186</v>
      </c>
      <c r="AD22" s="1325" t="s">
        <v>186</v>
      </c>
      <c r="AE22" s="1325" t="s">
        <v>186</v>
      </c>
      <c r="AF22" s="1325" t="s">
        <v>186</v>
      </c>
      <c r="AG22" s="1325" t="s">
        <v>186</v>
      </c>
      <c r="AH22" s="1310"/>
      <c r="AI22" s="1305"/>
      <c r="AJ22" s="46">
        <f>VLOOKUP(B22,'NOV25'!B:AJ,35,0)</f>
        <v>15</v>
      </c>
      <c r="AK22" s="16">
        <f t="shared" si="2"/>
        <v>0</v>
      </c>
      <c r="AL22" s="52">
        <f t="shared" si="3"/>
        <v>15</v>
      </c>
      <c r="AM22" s="72"/>
    </row>
    <row r="23" spans="1:39" ht="20.100000000000001" customHeight="1">
      <c r="A23" s="95"/>
      <c r="B23" s="95"/>
      <c r="C23" s="99"/>
      <c r="D23" s="99"/>
      <c r="E23" s="99"/>
      <c r="F23" s="99"/>
      <c r="G23" s="96"/>
      <c r="H23" s="96"/>
      <c r="I23" s="99"/>
      <c r="J23" s="97"/>
      <c r="K23" s="97"/>
      <c r="L23" s="97"/>
      <c r="M23" s="96"/>
      <c r="N23" s="96"/>
      <c r="O23" s="98"/>
      <c r="P23" s="98"/>
      <c r="Q23" s="98"/>
      <c r="R23" s="98"/>
      <c r="S23" s="96"/>
      <c r="T23" s="96"/>
      <c r="U23" s="97"/>
      <c r="V23" s="97"/>
      <c r="W23" s="97"/>
      <c r="X23" s="97"/>
      <c r="Y23" s="96"/>
      <c r="Z23" s="96"/>
      <c r="AA23" s="98"/>
      <c r="AB23" s="98"/>
      <c r="AC23" s="98"/>
      <c r="AD23" s="98"/>
      <c r="AE23" s="338"/>
      <c r="AF23" s="106"/>
      <c r="AG23" s="53"/>
      <c r="AH23" s="53"/>
      <c r="AI23" s="1305"/>
      <c r="AJ23" s="48"/>
      <c r="AK23" s="72"/>
      <c r="AL23" s="72"/>
      <c r="AM23" s="72"/>
    </row>
    <row r="24" spans="1:39" ht="24.95" customHeight="1">
      <c r="A24" s="599" t="s">
        <v>60</v>
      </c>
      <c r="B24" s="600"/>
      <c r="C24" s="1416"/>
      <c r="D24" s="1417"/>
      <c r="E24" s="1417"/>
      <c r="F24" s="1417"/>
      <c r="G24" s="1417"/>
      <c r="H24" s="1417"/>
      <c r="I24" s="1417"/>
      <c r="J24" s="1417"/>
      <c r="K24" s="1417"/>
      <c r="L24" s="1417"/>
      <c r="M24" s="1417"/>
      <c r="N24" s="1417"/>
      <c r="O24" s="1417"/>
      <c r="P24" s="1417"/>
      <c r="Q24" s="1417"/>
      <c r="R24" s="1417"/>
      <c r="S24" s="1417"/>
      <c r="T24" s="1417"/>
      <c r="U24" s="1417"/>
      <c r="V24" s="1417"/>
      <c r="W24" s="1417"/>
      <c r="X24" s="1417"/>
      <c r="Y24" s="1417"/>
      <c r="Z24" s="1417"/>
      <c r="AA24" s="1417"/>
      <c r="AB24" s="1417"/>
      <c r="AC24" s="1417"/>
      <c r="AD24" s="1417"/>
      <c r="AE24" s="1417"/>
      <c r="AF24" s="1417"/>
      <c r="AG24" s="1417"/>
      <c r="AH24" s="1418"/>
      <c r="AI24" s="1305"/>
      <c r="AJ24" s="48"/>
      <c r="AK24" s="72"/>
      <c r="AL24" s="72"/>
      <c r="AM24" s="72"/>
    </row>
    <row r="25" spans="1:39" ht="18.75" customHeight="1">
      <c r="A25" s="566" t="s">
        <v>64</v>
      </c>
      <c r="B25" s="896" t="s">
        <v>65</v>
      </c>
      <c r="C25" s="1312" t="s">
        <v>63</v>
      </c>
      <c r="D25" s="1247" t="s">
        <v>63</v>
      </c>
      <c r="E25" s="1247" t="s">
        <v>63</v>
      </c>
      <c r="F25" s="1246" t="s">
        <v>23</v>
      </c>
      <c r="G25" s="1246" t="s">
        <v>23</v>
      </c>
      <c r="H25" s="1313" t="s">
        <v>24</v>
      </c>
      <c r="I25" s="1313" t="s">
        <v>24</v>
      </c>
      <c r="J25" s="1313" t="s">
        <v>24</v>
      </c>
      <c r="K25" s="1313" t="s">
        <v>24</v>
      </c>
      <c r="L25" s="1246" t="s">
        <v>23</v>
      </c>
      <c r="M25" s="1246" t="s">
        <v>23</v>
      </c>
      <c r="N25" s="1314" t="s">
        <v>22</v>
      </c>
      <c r="O25" s="1314" t="s">
        <v>22</v>
      </c>
      <c r="P25" s="1314" t="s">
        <v>22</v>
      </c>
      <c r="Q25" s="1314" t="s">
        <v>22</v>
      </c>
      <c r="R25" s="1246" t="s">
        <v>23</v>
      </c>
      <c r="S25" s="1246" t="s">
        <v>23</v>
      </c>
      <c r="T25" s="1313" t="s">
        <v>24</v>
      </c>
      <c r="U25" s="1313" t="s">
        <v>24</v>
      </c>
      <c r="V25" s="1313" t="s">
        <v>146</v>
      </c>
      <c r="W25" s="1313" t="s">
        <v>24</v>
      </c>
      <c r="X25" s="1246" t="s">
        <v>23</v>
      </c>
      <c r="Y25" s="1246" t="s">
        <v>23</v>
      </c>
      <c r="Z25" s="420" t="s">
        <v>63</v>
      </c>
      <c r="AA25" s="420" t="s">
        <v>63</v>
      </c>
      <c r="AB25" s="420" t="s">
        <v>63</v>
      </c>
      <c r="AC25" s="420" t="s">
        <v>63</v>
      </c>
      <c r="AD25" s="1246" t="s">
        <v>23</v>
      </c>
      <c r="AE25" s="1246" t="s">
        <v>23</v>
      </c>
      <c r="AF25" s="139" t="s">
        <v>24</v>
      </c>
      <c r="AG25" s="139" t="s">
        <v>24</v>
      </c>
      <c r="AH25" s="1306" t="s">
        <v>30</v>
      </c>
      <c r="AI25" s="1305"/>
      <c r="AJ25" s="4">
        <f>VLOOKUP(B25,'NOV25'!B:AJ,35,0)</f>
        <v>1</v>
      </c>
      <c r="AK25" s="56">
        <f t="shared" ref="AK25:AK36" si="4">COUNTIF(C25:AG25,"U")</f>
        <v>0</v>
      </c>
      <c r="AL25" s="57">
        <f t="shared" ref="AL25:AL36" si="5">AJ25-AK25</f>
        <v>1</v>
      </c>
    </row>
    <row r="26" spans="1:39" ht="18.75" customHeight="1">
      <c r="A26" s="566" t="s">
        <v>66</v>
      </c>
      <c r="B26" s="896" t="s">
        <v>67</v>
      </c>
      <c r="C26" s="1112" t="s">
        <v>22</v>
      </c>
      <c r="D26" s="160" t="s">
        <v>23</v>
      </c>
      <c r="E26" s="160" t="s">
        <v>23</v>
      </c>
      <c r="F26" s="137" t="s">
        <v>34</v>
      </c>
      <c r="G26" s="137" t="s">
        <v>34</v>
      </c>
      <c r="H26" s="137" t="s">
        <v>34</v>
      </c>
      <c r="I26" s="137" t="s">
        <v>34</v>
      </c>
      <c r="J26" s="160" t="s">
        <v>23</v>
      </c>
      <c r="K26" s="160" t="s">
        <v>23</v>
      </c>
      <c r="L26" s="137" t="s">
        <v>34</v>
      </c>
      <c r="M26" s="137" t="s">
        <v>34</v>
      </c>
      <c r="N26" s="137" t="s">
        <v>34</v>
      </c>
      <c r="O26" s="137" t="s">
        <v>34</v>
      </c>
      <c r="P26" s="160" t="s">
        <v>23</v>
      </c>
      <c r="Q26" s="160" t="s">
        <v>23</v>
      </c>
      <c r="R26" s="137" t="s">
        <v>34</v>
      </c>
      <c r="S26" s="137" t="s">
        <v>34</v>
      </c>
      <c r="T26" s="138" t="s">
        <v>22</v>
      </c>
      <c r="U26" s="138" t="s">
        <v>22</v>
      </c>
      <c r="V26" s="160" t="s">
        <v>23</v>
      </c>
      <c r="W26" s="160" t="s">
        <v>23</v>
      </c>
      <c r="X26" s="139" t="s">
        <v>24</v>
      </c>
      <c r="Y26" s="139" t="s">
        <v>24</v>
      </c>
      <c r="Z26" s="419" t="s">
        <v>39</v>
      </c>
      <c r="AA26" s="1306" t="s">
        <v>30</v>
      </c>
      <c r="AB26" s="160" t="s">
        <v>23</v>
      </c>
      <c r="AC26" s="160" t="s">
        <v>23</v>
      </c>
      <c r="AD26" s="138" t="s">
        <v>22</v>
      </c>
      <c r="AE26" s="138" t="s">
        <v>22</v>
      </c>
      <c r="AF26" s="138" t="s">
        <v>22</v>
      </c>
      <c r="AG26" s="138" t="s">
        <v>22</v>
      </c>
      <c r="AH26" s="139" t="s">
        <v>24</v>
      </c>
      <c r="AI26" s="1305"/>
      <c r="AJ26" s="37">
        <f>VLOOKUP(B26,'NOV25'!B:AJ,35,0)</f>
        <v>10</v>
      </c>
      <c r="AK26" s="35">
        <f t="shared" si="4"/>
        <v>10</v>
      </c>
      <c r="AL26" s="38">
        <f t="shared" si="5"/>
        <v>0</v>
      </c>
    </row>
    <row r="27" spans="1:39" ht="18.75" customHeight="1">
      <c r="A27" s="566" t="s">
        <v>69</v>
      </c>
      <c r="B27" s="896" t="s">
        <v>70</v>
      </c>
      <c r="C27" s="150" t="s">
        <v>23</v>
      </c>
      <c r="D27" s="138" t="s">
        <v>22</v>
      </c>
      <c r="E27" s="138" t="s">
        <v>22</v>
      </c>
      <c r="F27" s="138" t="s">
        <v>22</v>
      </c>
      <c r="G27" s="138" t="s">
        <v>22</v>
      </c>
      <c r="H27" s="160" t="s">
        <v>23</v>
      </c>
      <c r="I27" s="160" t="s">
        <v>23</v>
      </c>
      <c r="J27" s="420" t="s">
        <v>63</v>
      </c>
      <c r="K27" s="420" t="s">
        <v>63</v>
      </c>
      <c r="L27" s="420" t="s">
        <v>63</v>
      </c>
      <c r="M27" s="420" t="s">
        <v>63</v>
      </c>
      <c r="N27" s="160" t="s">
        <v>23</v>
      </c>
      <c r="O27" s="160" t="s">
        <v>23</v>
      </c>
      <c r="P27" s="139" t="s">
        <v>24</v>
      </c>
      <c r="Q27" s="139" t="s">
        <v>24</v>
      </c>
      <c r="R27" s="139" t="s">
        <v>24</v>
      </c>
      <c r="S27" s="139" t="s">
        <v>24</v>
      </c>
      <c r="T27" s="160" t="s">
        <v>23</v>
      </c>
      <c r="U27" s="160" t="s">
        <v>23</v>
      </c>
      <c r="V27" s="138" t="s">
        <v>22</v>
      </c>
      <c r="W27" s="138" t="s">
        <v>22</v>
      </c>
      <c r="X27" s="138" t="s">
        <v>22</v>
      </c>
      <c r="Y27" s="138" t="s">
        <v>22</v>
      </c>
      <c r="Z27" s="160" t="s">
        <v>23</v>
      </c>
      <c r="AA27" s="160" t="s">
        <v>23</v>
      </c>
      <c r="AB27" s="139" t="s">
        <v>24</v>
      </c>
      <c r="AC27" s="139" t="s">
        <v>24</v>
      </c>
      <c r="AD27" s="139" t="s">
        <v>24</v>
      </c>
      <c r="AE27" s="139" t="s">
        <v>24</v>
      </c>
      <c r="AF27" s="160" t="s">
        <v>23</v>
      </c>
      <c r="AG27" s="160" t="s">
        <v>23</v>
      </c>
      <c r="AH27" s="138" t="s">
        <v>22</v>
      </c>
      <c r="AI27" s="1305"/>
      <c r="AJ27" s="37">
        <f>VLOOKUP(B27,'NOV25'!B:AJ,35,0)</f>
        <v>11</v>
      </c>
      <c r="AK27" s="35">
        <f t="shared" si="4"/>
        <v>0</v>
      </c>
      <c r="AL27" s="38">
        <f t="shared" si="5"/>
        <v>11</v>
      </c>
    </row>
    <row r="28" spans="1:39" ht="18.75" customHeight="1">
      <c r="A28" s="566" t="s">
        <v>71</v>
      </c>
      <c r="B28" s="896" t="s">
        <v>72</v>
      </c>
      <c r="C28" s="1136" t="s">
        <v>24</v>
      </c>
      <c r="D28" s="139" t="s">
        <v>24</v>
      </c>
      <c r="E28" s="139" t="s">
        <v>24</v>
      </c>
      <c r="F28" s="160" t="s">
        <v>23</v>
      </c>
      <c r="G28" s="160" t="s">
        <v>23</v>
      </c>
      <c r="H28" s="138" t="s">
        <v>22</v>
      </c>
      <c r="I28" s="138" t="s">
        <v>22</v>
      </c>
      <c r="J28" s="138" t="s">
        <v>22</v>
      </c>
      <c r="K28" s="138" t="s">
        <v>22</v>
      </c>
      <c r="L28" s="160" t="s">
        <v>23</v>
      </c>
      <c r="M28" s="160" t="s">
        <v>23</v>
      </c>
      <c r="N28" s="420" t="s">
        <v>63</v>
      </c>
      <c r="O28" s="420" t="s">
        <v>63</v>
      </c>
      <c r="P28" s="420" t="s">
        <v>63</v>
      </c>
      <c r="Q28" s="420" t="s">
        <v>63</v>
      </c>
      <c r="R28" s="160" t="s">
        <v>23</v>
      </c>
      <c r="S28" s="160" t="s">
        <v>23</v>
      </c>
      <c r="T28" s="137" t="s">
        <v>34</v>
      </c>
      <c r="U28" s="137" t="s">
        <v>34</v>
      </c>
      <c r="V28" s="137" t="s">
        <v>34</v>
      </c>
      <c r="W28" s="137" t="s">
        <v>34</v>
      </c>
      <c r="X28" s="160" t="s">
        <v>23</v>
      </c>
      <c r="Y28" s="441" t="s">
        <v>53</v>
      </c>
      <c r="Z28" s="441" t="s">
        <v>148</v>
      </c>
      <c r="AA28" s="1306" t="s">
        <v>30</v>
      </c>
      <c r="AB28" s="137" t="s">
        <v>34</v>
      </c>
      <c r="AC28" s="419" t="s">
        <v>39</v>
      </c>
      <c r="AD28" s="160" t="s">
        <v>23</v>
      </c>
      <c r="AE28" s="160" t="s">
        <v>23</v>
      </c>
      <c r="AF28" s="139" t="s">
        <v>24</v>
      </c>
      <c r="AG28" s="139" t="s">
        <v>24</v>
      </c>
      <c r="AH28" s="139" t="s">
        <v>24</v>
      </c>
      <c r="AI28" s="1305"/>
      <c r="AJ28" s="37">
        <f>VLOOKUP(B28,'NOV25'!B:AJ,35,0)</f>
        <v>8</v>
      </c>
      <c r="AK28" s="35">
        <f t="shared" si="4"/>
        <v>5</v>
      </c>
      <c r="AL28" s="38">
        <f t="shared" si="5"/>
        <v>3</v>
      </c>
    </row>
    <row r="29" spans="1:39" ht="18.75" customHeight="1">
      <c r="A29" s="566" t="s">
        <v>73</v>
      </c>
      <c r="B29" s="896" t="s">
        <v>74</v>
      </c>
      <c r="C29" s="1309" t="s">
        <v>30</v>
      </c>
      <c r="D29" s="160" t="s">
        <v>23</v>
      </c>
      <c r="E29" s="160" t="s">
        <v>23</v>
      </c>
      <c r="F29" s="137" t="s">
        <v>34</v>
      </c>
      <c r="G29" s="137" t="s">
        <v>34</v>
      </c>
      <c r="H29" s="139" t="s">
        <v>24</v>
      </c>
      <c r="I29" s="139" t="s">
        <v>24</v>
      </c>
      <c r="J29" s="160" t="s">
        <v>23</v>
      </c>
      <c r="K29" s="160" t="s">
        <v>23</v>
      </c>
      <c r="L29" s="138" t="s">
        <v>22</v>
      </c>
      <c r="M29" s="138" t="s">
        <v>22</v>
      </c>
      <c r="N29" s="138" t="s">
        <v>22</v>
      </c>
      <c r="O29" s="138" t="s">
        <v>22</v>
      </c>
      <c r="P29" s="160" t="s">
        <v>23</v>
      </c>
      <c r="Q29" s="160" t="s">
        <v>23</v>
      </c>
      <c r="R29" s="420" t="s">
        <v>63</v>
      </c>
      <c r="S29" s="420" t="s">
        <v>63</v>
      </c>
      <c r="T29" s="420" t="s">
        <v>63</v>
      </c>
      <c r="U29" s="420" t="s">
        <v>63</v>
      </c>
      <c r="V29" s="160" t="s">
        <v>23</v>
      </c>
      <c r="W29" s="160" t="s">
        <v>23</v>
      </c>
      <c r="X29" s="139" t="s">
        <v>24</v>
      </c>
      <c r="Y29" s="139" t="s">
        <v>24</v>
      </c>
      <c r="Z29" s="139" t="s">
        <v>24</v>
      </c>
      <c r="AA29" s="139" t="s">
        <v>24</v>
      </c>
      <c r="AB29" s="160" t="s">
        <v>23</v>
      </c>
      <c r="AC29" s="160" t="s">
        <v>23</v>
      </c>
      <c r="AD29" s="138" t="s">
        <v>22</v>
      </c>
      <c r="AE29" s="138" t="s">
        <v>22</v>
      </c>
      <c r="AF29" s="138" t="s">
        <v>22</v>
      </c>
      <c r="AG29" s="138" t="s">
        <v>22</v>
      </c>
      <c r="AH29" s="1128" t="s">
        <v>23</v>
      </c>
      <c r="AI29" s="1305"/>
      <c r="AJ29" s="37">
        <f>VLOOKUP(B29,'NOV25'!B:AJ,35,0)</f>
        <v>2</v>
      </c>
      <c r="AK29" s="35">
        <f t="shared" si="4"/>
        <v>2</v>
      </c>
      <c r="AL29" s="38">
        <f t="shared" si="5"/>
        <v>0</v>
      </c>
    </row>
    <row r="30" spans="1:39" ht="18.75" customHeight="1">
      <c r="A30" s="566" t="s">
        <v>75</v>
      </c>
      <c r="B30" s="896" t="s">
        <v>76</v>
      </c>
      <c r="C30" s="150" t="s">
        <v>23</v>
      </c>
      <c r="D30" s="137" t="s">
        <v>34</v>
      </c>
      <c r="E30" s="137" t="s">
        <v>34</v>
      </c>
      <c r="F30" s="138" t="s">
        <v>22</v>
      </c>
      <c r="G30" s="138" t="s">
        <v>22</v>
      </c>
      <c r="H30" s="160" t="s">
        <v>23</v>
      </c>
      <c r="I30" s="160" t="s">
        <v>23</v>
      </c>
      <c r="J30" s="137" t="s">
        <v>34</v>
      </c>
      <c r="K30" s="137" t="s">
        <v>34</v>
      </c>
      <c r="L30" s="137" t="s">
        <v>34</v>
      </c>
      <c r="M30" s="137" t="s">
        <v>34</v>
      </c>
      <c r="N30" s="160" t="s">
        <v>23</v>
      </c>
      <c r="O30" s="160" t="s">
        <v>23</v>
      </c>
      <c r="P30" s="138" t="s">
        <v>22</v>
      </c>
      <c r="Q30" s="138" t="s">
        <v>22</v>
      </c>
      <c r="R30" s="138" t="s">
        <v>22</v>
      </c>
      <c r="S30" s="138" t="s">
        <v>22</v>
      </c>
      <c r="T30" s="160" t="s">
        <v>23</v>
      </c>
      <c r="U30" s="160" t="s">
        <v>23</v>
      </c>
      <c r="V30" s="420" t="s">
        <v>63</v>
      </c>
      <c r="W30" s="420" t="s">
        <v>63</v>
      </c>
      <c r="X30" s="420" t="s">
        <v>63</v>
      </c>
      <c r="Y30" s="420" t="s">
        <v>63</v>
      </c>
      <c r="Z30" s="160" t="s">
        <v>23</v>
      </c>
      <c r="AA30" s="160" t="s">
        <v>23</v>
      </c>
      <c r="AB30" s="139" t="s">
        <v>24</v>
      </c>
      <c r="AC30" s="139" t="s">
        <v>24</v>
      </c>
      <c r="AD30" s="139" t="s">
        <v>24</v>
      </c>
      <c r="AE30" s="139" t="s">
        <v>24</v>
      </c>
      <c r="AF30" s="160" t="s">
        <v>23</v>
      </c>
      <c r="AG30" s="160" t="s">
        <v>23</v>
      </c>
      <c r="AH30" s="138" t="s">
        <v>22</v>
      </c>
      <c r="AI30" s="1305"/>
      <c r="AJ30" s="37">
        <f>VLOOKUP(B30,'NOV25'!B:AJ,35,0)</f>
        <v>6</v>
      </c>
      <c r="AK30" s="35">
        <f t="shared" si="4"/>
        <v>6</v>
      </c>
      <c r="AL30" s="38">
        <f t="shared" si="5"/>
        <v>0</v>
      </c>
    </row>
    <row r="31" spans="1:39" ht="18.75" customHeight="1">
      <c r="A31" s="566" t="s">
        <v>77</v>
      </c>
      <c r="B31" s="896" t="s">
        <v>78</v>
      </c>
      <c r="C31" s="1136" t="s">
        <v>24</v>
      </c>
      <c r="D31" s="139" t="s">
        <v>24</v>
      </c>
      <c r="E31" s="139" t="s">
        <v>24</v>
      </c>
      <c r="F31" s="160" t="s">
        <v>23</v>
      </c>
      <c r="G31" s="160" t="s">
        <v>23</v>
      </c>
      <c r="H31" s="138" t="s">
        <v>22</v>
      </c>
      <c r="I31" s="138" t="s">
        <v>22</v>
      </c>
      <c r="J31" s="138" t="s">
        <v>22</v>
      </c>
      <c r="K31" s="138" t="s">
        <v>22</v>
      </c>
      <c r="L31" s="160" t="s">
        <v>23</v>
      </c>
      <c r="M31" s="160" t="s">
        <v>23</v>
      </c>
      <c r="N31" s="137" t="s">
        <v>34</v>
      </c>
      <c r="O31" s="137" t="s">
        <v>34</v>
      </c>
      <c r="P31" s="137" t="s">
        <v>34</v>
      </c>
      <c r="Q31" s="137" t="s">
        <v>34</v>
      </c>
      <c r="R31" s="160" t="s">
        <v>23</v>
      </c>
      <c r="S31" s="160" t="s">
        <v>23</v>
      </c>
      <c r="T31" s="138" t="s">
        <v>22</v>
      </c>
      <c r="U31" s="138" t="s">
        <v>22</v>
      </c>
      <c r="V31" s="138" t="s">
        <v>22</v>
      </c>
      <c r="W31" s="138" t="s">
        <v>22</v>
      </c>
      <c r="X31" s="160" t="s">
        <v>23</v>
      </c>
      <c r="Y31" s="160" t="s">
        <v>23</v>
      </c>
      <c r="Z31" s="138" t="s">
        <v>22</v>
      </c>
      <c r="AA31" s="1306" t="s">
        <v>30</v>
      </c>
      <c r="AB31" s="138" t="s">
        <v>22</v>
      </c>
      <c r="AC31" s="138" t="s">
        <v>22</v>
      </c>
      <c r="AD31" s="160" t="s">
        <v>23</v>
      </c>
      <c r="AE31" s="160" t="s">
        <v>23</v>
      </c>
      <c r="AF31" s="420" t="s">
        <v>63</v>
      </c>
      <c r="AG31" s="420" t="s">
        <v>63</v>
      </c>
      <c r="AH31" s="420" t="s">
        <v>63</v>
      </c>
      <c r="AI31" s="1305"/>
      <c r="AJ31" s="37">
        <f>VLOOKUP(B31,'NOV25'!B:AJ,35,0)</f>
        <v>4</v>
      </c>
      <c r="AK31" s="35">
        <f t="shared" si="4"/>
        <v>4</v>
      </c>
      <c r="AL31" s="38">
        <f t="shared" si="5"/>
        <v>0</v>
      </c>
    </row>
    <row r="32" spans="1:39" ht="18.75" customHeight="1">
      <c r="A32" s="566" t="s">
        <v>79</v>
      </c>
      <c r="B32" s="896" t="s">
        <v>80</v>
      </c>
      <c r="C32" s="1138" t="s">
        <v>63</v>
      </c>
      <c r="D32" s="160" t="s">
        <v>23</v>
      </c>
      <c r="E32" s="160" t="s">
        <v>23</v>
      </c>
      <c r="F32" s="139" t="s">
        <v>24</v>
      </c>
      <c r="G32" s="139" t="s">
        <v>24</v>
      </c>
      <c r="H32" s="139" t="s">
        <v>24</v>
      </c>
      <c r="I32" s="139" t="s">
        <v>24</v>
      </c>
      <c r="J32" s="160" t="s">
        <v>23</v>
      </c>
      <c r="K32" s="160" t="s">
        <v>23</v>
      </c>
      <c r="L32" s="138" t="s">
        <v>22</v>
      </c>
      <c r="M32" s="138" t="s">
        <v>22</v>
      </c>
      <c r="N32" s="138" t="s">
        <v>22</v>
      </c>
      <c r="O32" s="138" t="s">
        <v>22</v>
      </c>
      <c r="P32" s="160" t="s">
        <v>23</v>
      </c>
      <c r="Q32" s="160" t="s">
        <v>23</v>
      </c>
      <c r="R32" s="139" t="s">
        <v>24</v>
      </c>
      <c r="S32" s="139" t="s">
        <v>24</v>
      </c>
      <c r="T32" s="137" t="s">
        <v>34</v>
      </c>
      <c r="U32" s="137" t="s">
        <v>34</v>
      </c>
      <c r="V32" s="160" t="s">
        <v>23</v>
      </c>
      <c r="W32" s="160" t="s">
        <v>23</v>
      </c>
      <c r="X32" s="138" t="s">
        <v>22</v>
      </c>
      <c r="Y32" s="138" t="s">
        <v>22</v>
      </c>
      <c r="Z32" s="138" t="s">
        <v>22</v>
      </c>
      <c r="AA32" s="138" t="s">
        <v>22</v>
      </c>
      <c r="AB32" s="160" t="s">
        <v>23</v>
      </c>
      <c r="AC32" s="160" t="s">
        <v>23</v>
      </c>
      <c r="AD32" s="420" t="s">
        <v>63</v>
      </c>
      <c r="AE32" s="420" t="s">
        <v>63</v>
      </c>
      <c r="AF32" s="420" t="s">
        <v>63</v>
      </c>
      <c r="AG32" s="420" t="s">
        <v>63</v>
      </c>
      <c r="AH32" s="1128" t="s">
        <v>23</v>
      </c>
      <c r="AI32" s="1305"/>
      <c r="AJ32" s="37">
        <f>VLOOKUP(B32,'NOV25'!B:AJ,35,0)</f>
        <v>6</v>
      </c>
      <c r="AK32" s="35">
        <f t="shared" si="4"/>
        <v>2</v>
      </c>
      <c r="AL32" s="38">
        <f t="shared" si="5"/>
        <v>4</v>
      </c>
    </row>
    <row r="33" spans="1:38" ht="18.75" customHeight="1">
      <c r="A33" s="566" t="s">
        <v>81</v>
      </c>
      <c r="B33" s="896" t="s">
        <v>82</v>
      </c>
      <c r="C33" s="150" t="s">
        <v>23</v>
      </c>
      <c r="D33" s="420" t="s">
        <v>63</v>
      </c>
      <c r="E33" s="420" t="s">
        <v>63</v>
      </c>
      <c r="F33" s="420" t="s">
        <v>63</v>
      </c>
      <c r="G33" s="420" t="s">
        <v>63</v>
      </c>
      <c r="H33" s="160" t="s">
        <v>23</v>
      </c>
      <c r="I33" s="160" t="s">
        <v>23</v>
      </c>
      <c r="J33" s="139" t="s">
        <v>24</v>
      </c>
      <c r="K33" s="139" t="s">
        <v>24</v>
      </c>
      <c r="L33" s="139" t="s">
        <v>24</v>
      </c>
      <c r="M33" s="139" t="s">
        <v>24</v>
      </c>
      <c r="N33" s="160" t="s">
        <v>23</v>
      </c>
      <c r="O33" s="160" t="s">
        <v>23</v>
      </c>
      <c r="P33" s="441" t="s">
        <v>53</v>
      </c>
      <c r="Q33" s="137" t="s">
        <v>34</v>
      </c>
      <c r="R33" s="137" t="s">
        <v>34</v>
      </c>
      <c r="S33" s="137" t="s">
        <v>34</v>
      </c>
      <c r="T33" s="160" t="s">
        <v>23</v>
      </c>
      <c r="U33" s="160" t="s">
        <v>23</v>
      </c>
      <c r="V33" s="139" t="s">
        <v>24</v>
      </c>
      <c r="W33" s="139" t="s">
        <v>24</v>
      </c>
      <c r="X33" s="139" t="s">
        <v>24</v>
      </c>
      <c r="Y33" s="139" t="s">
        <v>24</v>
      </c>
      <c r="Z33" s="160" t="s">
        <v>23</v>
      </c>
      <c r="AA33" s="160" t="s">
        <v>23</v>
      </c>
      <c r="AB33" s="137" t="s">
        <v>34</v>
      </c>
      <c r="AC33" s="137" t="s">
        <v>34</v>
      </c>
      <c r="AD33" s="137" t="s">
        <v>34</v>
      </c>
      <c r="AE33" s="137" t="s">
        <v>34</v>
      </c>
      <c r="AF33" s="160" t="s">
        <v>23</v>
      </c>
      <c r="AG33" s="160" t="s">
        <v>23</v>
      </c>
      <c r="AH33" s="137" t="s">
        <v>34</v>
      </c>
      <c r="AI33" s="1305"/>
      <c r="AJ33" s="37">
        <f>VLOOKUP(B33,'NOV25'!B:AJ,35,0)</f>
        <v>10</v>
      </c>
      <c r="AK33" s="35">
        <f t="shared" si="4"/>
        <v>7</v>
      </c>
      <c r="AL33" s="38">
        <f t="shared" si="5"/>
        <v>3</v>
      </c>
    </row>
    <row r="34" spans="1:38" ht="18.75" customHeight="1">
      <c r="A34" s="566" t="s">
        <v>85</v>
      </c>
      <c r="B34" s="896" t="s">
        <v>86</v>
      </c>
      <c r="C34" s="1112" t="s">
        <v>22</v>
      </c>
      <c r="D34" s="138" t="s">
        <v>22</v>
      </c>
      <c r="E34" s="138" t="s">
        <v>22</v>
      </c>
      <c r="F34" s="160" t="s">
        <v>23</v>
      </c>
      <c r="G34" s="160" t="s">
        <v>23</v>
      </c>
      <c r="H34" s="420" t="s">
        <v>63</v>
      </c>
      <c r="I34" s="420" t="s">
        <v>63</v>
      </c>
      <c r="J34" s="420" t="s">
        <v>63</v>
      </c>
      <c r="K34" s="420" t="s">
        <v>63</v>
      </c>
      <c r="L34" s="160" t="s">
        <v>23</v>
      </c>
      <c r="M34" s="160" t="s">
        <v>23</v>
      </c>
      <c r="N34" s="139" t="s">
        <v>24</v>
      </c>
      <c r="O34" s="139" t="s">
        <v>24</v>
      </c>
      <c r="P34" s="139" t="s">
        <v>24</v>
      </c>
      <c r="Q34" s="139" t="s">
        <v>24</v>
      </c>
      <c r="R34" s="160" t="s">
        <v>23</v>
      </c>
      <c r="S34" s="160" t="s">
        <v>23</v>
      </c>
      <c r="T34" s="138" t="s">
        <v>22</v>
      </c>
      <c r="U34" s="138" t="s">
        <v>22</v>
      </c>
      <c r="V34" s="138" t="s">
        <v>22</v>
      </c>
      <c r="W34" s="138" t="s">
        <v>22</v>
      </c>
      <c r="X34" s="160" t="s">
        <v>23</v>
      </c>
      <c r="Y34" s="160" t="s">
        <v>23</v>
      </c>
      <c r="Z34" s="139" t="s">
        <v>24</v>
      </c>
      <c r="AA34" s="1306" t="s">
        <v>30</v>
      </c>
      <c r="AB34" s="139" t="s">
        <v>24</v>
      </c>
      <c r="AC34" s="139" t="s">
        <v>24</v>
      </c>
      <c r="AD34" s="160" t="s">
        <v>23</v>
      </c>
      <c r="AE34" s="160" t="s">
        <v>23</v>
      </c>
      <c r="AF34" s="138" t="s">
        <v>22</v>
      </c>
      <c r="AG34" s="138" t="s">
        <v>22</v>
      </c>
      <c r="AH34" s="138" t="s">
        <v>22</v>
      </c>
      <c r="AI34" s="1305"/>
      <c r="AJ34" s="37">
        <f>VLOOKUP(B34,'NOV25'!B:AJ,35,0)</f>
        <v>0</v>
      </c>
      <c r="AK34" s="35">
        <f t="shared" si="4"/>
        <v>0</v>
      </c>
      <c r="AL34" s="38">
        <f t="shared" si="5"/>
        <v>0</v>
      </c>
    </row>
    <row r="35" spans="1:38" ht="18.75" customHeight="1">
      <c r="A35" s="566" t="s">
        <v>87</v>
      </c>
      <c r="B35" s="896" t="s">
        <v>88</v>
      </c>
      <c r="C35" s="1136" t="s">
        <v>24</v>
      </c>
      <c r="D35" s="160" t="s">
        <v>23</v>
      </c>
      <c r="E35" s="160" t="s">
        <v>23</v>
      </c>
      <c r="F35" s="138" t="s">
        <v>22</v>
      </c>
      <c r="G35" s="138" t="s">
        <v>22</v>
      </c>
      <c r="H35" s="138" t="s">
        <v>22</v>
      </c>
      <c r="I35" s="138" t="s">
        <v>22</v>
      </c>
      <c r="J35" s="160" t="s">
        <v>23</v>
      </c>
      <c r="K35" s="160" t="s">
        <v>23</v>
      </c>
      <c r="L35" s="420" t="s">
        <v>63</v>
      </c>
      <c r="M35" s="420" t="s">
        <v>63</v>
      </c>
      <c r="N35" s="420" t="s">
        <v>63</v>
      </c>
      <c r="O35" s="420" t="s">
        <v>63</v>
      </c>
      <c r="P35" s="160" t="s">
        <v>23</v>
      </c>
      <c r="Q35" s="160" t="s">
        <v>23</v>
      </c>
      <c r="R35" s="139" t="s">
        <v>24</v>
      </c>
      <c r="S35" s="139" t="s">
        <v>24</v>
      </c>
      <c r="T35" s="139" t="s">
        <v>24</v>
      </c>
      <c r="U35" s="139" t="s">
        <v>24</v>
      </c>
      <c r="V35" s="160" t="s">
        <v>23</v>
      </c>
      <c r="W35" s="160" t="s">
        <v>23</v>
      </c>
      <c r="X35" s="138" t="s">
        <v>22</v>
      </c>
      <c r="Y35" s="138" t="s">
        <v>22</v>
      </c>
      <c r="Z35" s="138" t="s">
        <v>22</v>
      </c>
      <c r="AA35" s="138" t="s">
        <v>22</v>
      </c>
      <c r="AB35" s="160" t="s">
        <v>23</v>
      </c>
      <c r="AC35" s="160" t="s">
        <v>23</v>
      </c>
      <c r="AD35" s="420" t="s">
        <v>63</v>
      </c>
      <c r="AE35" s="420" t="s">
        <v>63</v>
      </c>
      <c r="AF35" s="420" t="s">
        <v>63</v>
      </c>
      <c r="AG35" s="420" t="s">
        <v>63</v>
      </c>
      <c r="AH35" s="160" t="s">
        <v>23</v>
      </c>
      <c r="AI35" s="1305"/>
      <c r="AJ35" s="37">
        <f>VLOOKUP(B35,'NOV25'!B:AJ,35,0)</f>
        <v>1</v>
      </c>
      <c r="AK35" s="35">
        <f t="shared" si="4"/>
        <v>0</v>
      </c>
      <c r="AL35" s="38">
        <f t="shared" si="5"/>
        <v>1</v>
      </c>
    </row>
    <row r="36" spans="1:38" ht="18.75" customHeight="1">
      <c r="A36" s="567" t="s">
        <v>90</v>
      </c>
      <c r="B36" s="991" t="s">
        <v>91</v>
      </c>
      <c r="C36" s="1144" t="s">
        <v>23</v>
      </c>
      <c r="D36" s="1160" t="s">
        <v>24</v>
      </c>
      <c r="E36" s="1160" t="s">
        <v>24</v>
      </c>
      <c r="F36" s="1160" t="s">
        <v>24</v>
      </c>
      <c r="G36" s="1160" t="s">
        <v>24</v>
      </c>
      <c r="H36" s="161" t="s">
        <v>23</v>
      </c>
      <c r="I36" s="161" t="s">
        <v>23</v>
      </c>
      <c r="J36" s="153" t="s">
        <v>22</v>
      </c>
      <c r="K36" s="153" t="s">
        <v>22</v>
      </c>
      <c r="L36" s="153" t="s">
        <v>22</v>
      </c>
      <c r="M36" s="153" t="s">
        <v>22</v>
      </c>
      <c r="N36" s="161" t="s">
        <v>23</v>
      </c>
      <c r="O36" s="161" t="s">
        <v>23</v>
      </c>
      <c r="P36" s="481" t="s">
        <v>63</v>
      </c>
      <c r="Q36" s="481" t="s">
        <v>63</v>
      </c>
      <c r="R36" s="481" t="s">
        <v>63</v>
      </c>
      <c r="S36" s="481" t="s">
        <v>63</v>
      </c>
      <c r="T36" s="161" t="s">
        <v>23</v>
      </c>
      <c r="U36" s="161" t="s">
        <v>23</v>
      </c>
      <c r="V36" s="1160" t="s">
        <v>24</v>
      </c>
      <c r="W36" s="1160" t="s">
        <v>24</v>
      </c>
      <c r="X36" s="1160" t="s">
        <v>24</v>
      </c>
      <c r="Y36" s="1160" t="s">
        <v>24</v>
      </c>
      <c r="Z36" s="161" t="s">
        <v>23</v>
      </c>
      <c r="AA36" s="161" t="s">
        <v>23</v>
      </c>
      <c r="AB36" s="153" t="s">
        <v>22</v>
      </c>
      <c r="AC36" s="153" t="s">
        <v>22</v>
      </c>
      <c r="AD36" s="153" t="s">
        <v>22</v>
      </c>
      <c r="AE36" s="153" t="s">
        <v>22</v>
      </c>
      <c r="AF36" s="161" t="s">
        <v>23</v>
      </c>
      <c r="AG36" s="161" t="s">
        <v>23</v>
      </c>
      <c r="AH36" s="139" t="s">
        <v>24</v>
      </c>
      <c r="AI36" s="1305"/>
      <c r="AJ36" s="46">
        <f>VLOOKUP(B36,'NOV25'!B:AJ,35,0)</f>
        <v>18</v>
      </c>
      <c r="AK36" s="16">
        <f t="shared" si="4"/>
        <v>0</v>
      </c>
      <c r="AL36" s="52">
        <f t="shared" si="5"/>
        <v>18</v>
      </c>
    </row>
    <row r="37" spans="1:38" ht="20.100000000000001" customHeight="1">
      <c r="A37" s="930"/>
      <c r="B37" s="930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423"/>
      <c r="Q37" s="423"/>
      <c r="R37" s="423"/>
      <c r="S37" s="423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1305"/>
      <c r="AJ37" s="72"/>
      <c r="AK37" s="72"/>
      <c r="AL37" s="72"/>
    </row>
    <row r="38" spans="1:38" ht="24.95" customHeight="1">
      <c r="A38" s="581" t="s">
        <v>197</v>
      </c>
      <c r="B38" s="514"/>
      <c r="C38" s="1408"/>
      <c r="D38" s="1409"/>
      <c r="E38" s="1409"/>
      <c r="F38" s="1409"/>
      <c r="G38" s="1409"/>
      <c r="H38" s="1409"/>
      <c r="I38" s="1409"/>
      <c r="J38" s="1409"/>
      <c r="K38" s="1409"/>
      <c r="L38" s="1409"/>
      <c r="M38" s="1409"/>
      <c r="N38" s="1409"/>
      <c r="O38" s="1409"/>
      <c r="P38" s="1409"/>
      <c r="Q38" s="1409"/>
      <c r="R38" s="1409"/>
      <c r="S38" s="1409"/>
      <c r="T38" s="1409"/>
      <c r="U38" s="1409"/>
      <c r="V38" s="1409"/>
      <c r="W38" s="1409"/>
      <c r="X38" s="1409"/>
      <c r="Y38" s="1409"/>
      <c r="Z38" s="1409"/>
      <c r="AA38" s="1409"/>
      <c r="AB38" s="1409"/>
      <c r="AC38" s="1409"/>
      <c r="AD38" s="1409"/>
      <c r="AE38" s="1409"/>
      <c r="AF38" s="1409"/>
      <c r="AG38" s="1409"/>
      <c r="AH38" s="1419"/>
      <c r="AI38" s="1305"/>
      <c r="AJ38" s="72"/>
      <c r="AK38" s="72"/>
      <c r="AL38" s="72"/>
    </row>
    <row r="39" spans="1:38" ht="19.5" customHeight="1">
      <c r="A39" s="566" t="s">
        <v>98</v>
      </c>
      <c r="B39" s="1105" t="s">
        <v>99</v>
      </c>
      <c r="C39" s="1316" t="s">
        <v>30</v>
      </c>
      <c r="D39" s="137" t="s">
        <v>34</v>
      </c>
      <c r="E39" s="137" t="s">
        <v>34</v>
      </c>
      <c r="F39" s="137" t="s">
        <v>34</v>
      </c>
      <c r="G39" s="159" t="s">
        <v>23</v>
      </c>
      <c r="H39" s="159" t="s">
        <v>23</v>
      </c>
      <c r="I39" s="138" t="s">
        <v>22</v>
      </c>
      <c r="J39" s="138" t="s">
        <v>22</v>
      </c>
      <c r="K39" s="138" t="s">
        <v>22</v>
      </c>
      <c r="L39" s="138" t="s">
        <v>22</v>
      </c>
      <c r="M39" s="159" t="s">
        <v>23</v>
      </c>
      <c r="N39" s="159" t="s">
        <v>23</v>
      </c>
      <c r="O39" s="148" t="s">
        <v>24</v>
      </c>
      <c r="P39" s="148" t="s">
        <v>24</v>
      </c>
      <c r="Q39" s="148" t="s">
        <v>24</v>
      </c>
      <c r="R39" s="148" t="s">
        <v>24</v>
      </c>
      <c r="S39" s="159" t="s">
        <v>23</v>
      </c>
      <c r="T39" s="159" t="s">
        <v>23</v>
      </c>
      <c r="U39" s="138" t="s">
        <v>22</v>
      </c>
      <c r="V39" s="138" t="s">
        <v>22</v>
      </c>
      <c r="W39" s="419" t="s">
        <v>39</v>
      </c>
      <c r="X39" s="138" t="s">
        <v>22</v>
      </c>
      <c r="Y39" s="1348" t="s">
        <v>23</v>
      </c>
      <c r="Z39" s="1348" t="s">
        <v>23</v>
      </c>
      <c r="AA39" s="1349" t="s">
        <v>30</v>
      </c>
      <c r="AB39" s="1350" t="s">
        <v>24</v>
      </c>
      <c r="AC39" s="1350" t="s">
        <v>24</v>
      </c>
      <c r="AD39" s="1350" t="s">
        <v>24</v>
      </c>
      <c r="AE39" s="1348" t="s">
        <v>23</v>
      </c>
      <c r="AF39" s="1348" t="s">
        <v>23</v>
      </c>
      <c r="AG39" s="1027" t="s">
        <v>22</v>
      </c>
      <c r="AH39" s="1351" t="s">
        <v>22</v>
      </c>
      <c r="AI39" s="1305"/>
      <c r="AJ39" s="4">
        <f>VLOOKUP(B39,'NOV25'!B:AJ,35,0)</f>
        <v>10</v>
      </c>
      <c r="AK39" s="56">
        <f t="shared" ref="AK39:AK40" si="6">COUNTIF(C39:AG39,"U")</f>
        <v>3</v>
      </c>
      <c r="AL39" s="57">
        <f t="shared" ref="AL39:AL40" si="7">AJ39-AK39</f>
        <v>7</v>
      </c>
    </row>
    <row r="40" spans="1:38" ht="19.5" customHeight="1">
      <c r="A40" s="566" t="s">
        <v>123</v>
      </c>
      <c r="B40" s="1105" t="s">
        <v>124</v>
      </c>
      <c r="C40" s="1240" t="s">
        <v>22</v>
      </c>
      <c r="D40" s="1235" t="s">
        <v>22</v>
      </c>
      <c r="E40" s="159" t="s">
        <v>23</v>
      </c>
      <c r="F40" s="159" t="s">
        <v>23</v>
      </c>
      <c r="G40" s="148" t="s">
        <v>24</v>
      </c>
      <c r="H40" s="148" t="s">
        <v>24</v>
      </c>
      <c r="I40" s="148" t="s">
        <v>24</v>
      </c>
      <c r="J40" s="148" t="s">
        <v>24</v>
      </c>
      <c r="K40" s="159" t="s">
        <v>23</v>
      </c>
      <c r="L40" s="159" t="s">
        <v>23</v>
      </c>
      <c r="M40" s="138" t="s">
        <v>22</v>
      </c>
      <c r="N40" s="138" t="s">
        <v>22</v>
      </c>
      <c r="O40" s="419" t="s">
        <v>39</v>
      </c>
      <c r="P40" s="138" t="s">
        <v>22</v>
      </c>
      <c r="Q40" s="159" t="s">
        <v>23</v>
      </c>
      <c r="R40" s="159" t="s">
        <v>23</v>
      </c>
      <c r="S40" s="148" t="s">
        <v>24</v>
      </c>
      <c r="T40" s="148" t="s">
        <v>24</v>
      </c>
      <c r="U40" s="148" t="s">
        <v>24</v>
      </c>
      <c r="V40" s="148" t="s">
        <v>24</v>
      </c>
      <c r="W40" s="159" t="s">
        <v>23</v>
      </c>
      <c r="X40" s="159" t="s">
        <v>23</v>
      </c>
      <c r="Y40" s="6" t="s">
        <v>22</v>
      </c>
      <c r="Z40" s="6" t="s">
        <v>22</v>
      </c>
      <c r="AA40" s="1340" t="s">
        <v>30</v>
      </c>
      <c r="AB40" s="6" t="s">
        <v>22</v>
      </c>
      <c r="AC40" s="25" t="s">
        <v>23</v>
      </c>
      <c r="AD40" s="25" t="s">
        <v>23</v>
      </c>
      <c r="AE40" s="111" t="s">
        <v>24</v>
      </c>
      <c r="AF40" s="111" t="s">
        <v>24</v>
      </c>
      <c r="AG40" s="119" t="s">
        <v>24</v>
      </c>
      <c r="AH40" s="119" t="s">
        <v>24</v>
      </c>
      <c r="AI40" s="1305"/>
      <c r="AJ40" s="37">
        <f>VLOOKUP(B40,'NOV25'!B:AJ,35,0)</f>
        <v>1</v>
      </c>
      <c r="AK40" s="35">
        <f t="shared" si="6"/>
        <v>0</v>
      </c>
      <c r="AL40" s="38">
        <f t="shared" si="7"/>
        <v>1</v>
      </c>
    </row>
    <row r="41" spans="1:38" ht="19.5" customHeight="1">
      <c r="A41" s="567" t="s">
        <v>94</v>
      </c>
      <c r="B41" s="1315" t="s">
        <v>95</v>
      </c>
      <c r="C41" s="193" t="s">
        <v>23</v>
      </c>
      <c r="D41" s="188" t="s">
        <v>23</v>
      </c>
      <c r="E41" s="153" t="s">
        <v>22</v>
      </c>
      <c r="F41" s="153" t="s">
        <v>22</v>
      </c>
      <c r="G41" s="153" t="s">
        <v>22</v>
      </c>
      <c r="H41" s="153" t="s">
        <v>22</v>
      </c>
      <c r="I41" s="188" t="s">
        <v>23</v>
      </c>
      <c r="J41" s="188" t="s">
        <v>23</v>
      </c>
      <c r="K41" s="307" t="s">
        <v>24</v>
      </c>
      <c r="L41" s="307" t="s">
        <v>24</v>
      </c>
      <c r="M41" s="307" t="s">
        <v>24</v>
      </c>
      <c r="N41" s="307" t="s">
        <v>24</v>
      </c>
      <c r="O41" s="188" t="s">
        <v>23</v>
      </c>
      <c r="P41" s="188" t="s">
        <v>23</v>
      </c>
      <c r="Q41" s="153" t="s">
        <v>22</v>
      </c>
      <c r="R41" s="153" t="s">
        <v>22</v>
      </c>
      <c r="S41" s="153" t="s">
        <v>22</v>
      </c>
      <c r="T41" s="153" t="s">
        <v>22</v>
      </c>
      <c r="U41" s="188" t="s">
        <v>23</v>
      </c>
      <c r="V41" s="188" t="s">
        <v>23</v>
      </c>
      <c r="W41" s="307" t="s">
        <v>24</v>
      </c>
      <c r="X41" s="307" t="s">
        <v>24</v>
      </c>
      <c r="Y41" s="1213" t="s">
        <v>24</v>
      </c>
      <c r="Z41" s="1213" t="s">
        <v>24</v>
      </c>
      <c r="AA41" s="1352" t="s">
        <v>23</v>
      </c>
      <c r="AB41" s="1352" t="s">
        <v>23</v>
      </c>
      <c r="AC41" s="1355" t="s">
        <v>22</v>
      </c>
      <c r="AD41" s="1049" t="s">
        <v>22</v>
      </c>
      <c r="AE41" s="1049" t="s">
        <v>22</v>
      </c>
      <c r="AF41" s="1049" t="s">
        <v>22</v>
      </c>
      <c r="AG41" s="1353" t="s">
        <v>23</v>
      </c>
      <c r="AH41" s="1354" t="s">
        <v>23</v>
      </c>
      <c r="AI41" s="1305"/>
      <c r="AJ41" s="46">
        <f>VLOOKUP(B41,'NOV25'!B:AJ,35,0)</f>
        <v>5</v>
      </c>
      <c r="AK41" s="16">
        <f>COUNTIF(C41:AG41,"U")</f>
        <v>0</v>
      </c>
      <c r="AL41" s="52">
        <f>AJ41-AK41</f>
        <v>5</v>
      </c>
    </row>
    <row r="42" spans="1:38" ht="20.100000000000001" customHeight="1">
      <c r="A42" s="930"/>
      <c r="B42" s="930"/>
      <c r="C42" s="167"/>
      <c r="D42" s="167"/>
      <c r="E42" s="98"/>
      <c r="F42" s="98"/>
      <c r="G42" s="98"/>
      <c r="H42" s="98"/>
      <c r="I42" s="167"/>
      <c r="J42" s="167"/>
      <c r="K42" s="167"/>
      <c r="L42" s="167"/>
      <c r="M42" s="167"/>
      <c r="N42" s="167"/>
      <c r="O42" s="167"/>
      <c r="P42" s="167"/>
      <c r="Q42" s="98"/>
      <c r="R42" s="98"/>
      <c r="S42" s="98"/>
      <c r="T42" s="98"/>
      <c r="U42" s="167"/>
      <c r="V42" s="167"/>
      <c r="W42" s="167"/>
      <c r="X42" s="167"/>
      <c r="Y42" s="167"/>
      <c r="Z42" s="167"/>
      <c r="AA42" s="167"/>
      <c r="AB42" s="167"/>
      <c r="AC42" s="98"/>
      <c r="AD42" s="98"/>
      <c r="AE42" s="98"/>
      <c r="AF42" s="98"/>
      <c r="AG42" s="167"/>
      <c r="AH42" s="167"/>
      <c r="AI42" s="1305"/>
      <c r="AJ42" s="72"/>
      <c r="AK42" s="72"/>
      <c r="AL42" s="72"/>
    </row>
    <row r="43" spans="1:38" ht="24.95" customHeight="1">
      <c r="A43" s="581" t="s">
        <v>198</v>
      </c>
      <c r="B43" s="514"/>
      <c r="C43" s="1408"/>
      <c r="D43" s="1409"/>
      <c r="E43" s="1409"/>
      <c r="F43" s="1409"/>
      <c r="G43" s="1409"/>
      <c r="H43" s="1409"/>
      <c r="I43" s="1409"/>
      <c r="J43" s="1409"/>
      <c r="K43" s="1409"/>
      <c r="L43" s="1409"/>
      <c r="M43" s="1409"/>
      <c r="N43" s="1409"/>
      <c r="O43" s="1409"/>
      <c r="P43" s="1409"/>
      <c r="Q43" s="1409"/>
      <c r="R43" s="1409"/>
      <c r="S43" s="1409"/>
      <c r="T43" s="1409"/>
      <c r="U43" s="1410"/>
      <c r="V43" s="1410"/>
      <c r="W43" s="1410"/>
      <c r="X43" s="1410"/>
      <c r="Y43" s="1410"/>
      <c r="Z43" s="1410"/>
      <c r="AA43" s="1410"/>
      <c r="AB43" s="1410"/>
      <c r="AC43" s="1410"/>
      <c r="AD43" s="1410"/>
      <c r="AE43" s="1410"/>
      <c r="AF43" s="1410"/>
      <c r="AG43" s="1410"/>
      <c r="AH43" s="1411"/>
      <c r="AI43" s="1305"/>
      <c r="AJ43" s="72"/>
      <c r="AK43" s="72"/>
      <c r="AL43" s="72"/>
    </row>
    <row r="44" spans="1:38" ht="19.5" customHeight="1">
      <c r="A44" s="1279" t="s">
        <v>201</v>
      </c>
      <c r="B44" s="1298" t="s">
        <v>202</v>
      </c>
      <c r="C44" s="1317" t="s">
        <v>63</v>
      </c>
      <c r="D44" s="1236" t="s">
        <v>63</v>
      </c>
      <c r="E44" s="1236" t="s">
        <v>63</v>
      </c>
      <c r="F44" s="1236" t="s">
        <v>63</v>
      </c>
      <c r="G44" s="159" t="s">
        <v>23</v>
      </c>
      <c r="H44" s="159" t="s">
        <v>23</v>
      </c>
      <c r="I44" s="1198" t="s">
        <v>24</v>
      </c>
      <c r="J44" s="1198" t="s">
        <v>24</v>
      </c>
      <c r="K44" s="1198" t="s">
        <v>24</v>
      </c>
      <c r="L44" s="1198" t="s">
        <v>24</v>
      </c>
      <c r="M44" s="159" t="s">
        <v>23</v>
      </c>
      <c r="N44" s="159" t="s">
        <v>23</v>
      </c>
      <c r="O44" s="1235" t="s">
        <v>22</v>
      </c>
      <c r="P44" s="1235" t="s">
        <v>22</v>
      </c>
      <c r="Q44" s="1235" t="s">
        <v>22</v>
      </c>
      <c r="R44" s="1235" t="s">
        <v>22</v>
      </c>
      <c r="S44" s="159" t="s">
        <v>23</v>
      </c>
      <c r="T44" s="1361" t="s">
        <v>23</v>
      </c>
      <c r="U44" s="1198" t="s">
        <v>24</v>
      </c>
      <c r="V44" s="1198" t="s">
        <v>24</v>
      </c>
      <c r="W44" s="1198" t="s">
        <v>24</v>
      </c>
      <c r="X44" s="1198" t="s">
        <v>24</v>
      </c>
      <c r="Y44" s="159" t="s">
        <v>23</v>
      </c>
      <c r="Z44" s="159" t="s">
        <v>23</v>
      </c>
      <c r="AA44" s="148" t="s">
        <v>24</v>
      </c>
      <c r="AB44" s="148" t="s">
        <v>24</v>
      </c>
      <c r="AC44" s="148" t="s">
        <v>24</v>
      </c>
      <c r="AD44" s="148" t="s">
        <v>24</v>
      </c>
      <c r="AE44" s="159" t="s">
        <v>23</v>
      </c>
      <c r="AF44" s="159" t="s">
        <v>23</v>
      </c>
      <c r="AG44" s="1237" t="s">
        <v>147</v>
      </c>
      <c r="AH44" s="1365" t="s">
        <v>30</v>
      </c>
      <c r="AI44" s="1305"/>
      <c r="AJ44" s="72"/>
      <c r="AK44" s="72"/>
      <c r="AL44" s="72"/>
    </row>
    <row r="45" spans="1:38" ht="19.5" customHeight="1">
      <c r="A45" s="429" t="s">
        <v>111</v>
      </c>
      <c r="B45" s="1299" t="s">
        <v>112</v>
      </c>
      <c r="C45" s="1301" t="s">
        <v>147</v>
      </c>
      <c r="D45" s="1237" t="s">
        <v>147</v>
      </c>
      <c r="E45" s="159" t="s">
        <v>23</v>
      </c>
      <c r="F45" s="159" t="s">
        <v>23</v>
      </c>
      <c r="G45" s="137" t="s">
        <v>34</v>
      </c>
      <c r="H45" s="137" t="s">
        <v>34</v>
      </c>
      <c r="I45" s="137" t="s">
        <v>34</v>
      </c>
      <c r="J45" s="1254" t="s">
        <v>30</v>
      </c>
      <c r="K45" s="159" t="s">
        <v>23</v>
      </c>
      <c r="L45" s="159" t="s">
        <v>23</v>
      </c>
      <c r="M45" s="148" t="s">
        <v>24</v>
      </c>
      <c r="N45" s="148" t="s">
        <v>24</v>
      </c>
      <c r="O45" s="148" t="s">
        <v>24</v>
      </c>
      <c r="P45" s="148" t="s">
        <v>24</v>
      </c>
      <c r="Q45" s="159" t="s">
        <v>23</v>
      </c>
      <c r="R45" s="159" t="s">
        <v>23</v>
      </c>
      <c r="S45" s="138" t="s">
        <v>22</v>
      </c>
      <c r="T45" s="1173" t="s">
        <v>22</v>
      </c>
      <c r="U45" s="138" t="s">
        <v>22</v>
      </c>
      <c r="V45" s="138" t="s">
        <v>22</v>
      </c>
      <c r="W45" s="159" t="s">
        <v>23</v>
      </c>
      <c r="X45" s="159" t="s">
        <v>23</v>
      </c>
      <c r="Y45" s="206" t="s">
        <v>83</v>
      </c>
      <c r="Z45" s="206" t="s">
        <v>83</v>
      </c>
      <c r="AA45" s="206" t="s">
        <v>83</v>
      </c>
      <c r="AB45" s="148" t="s">
        <v>24</v>
      </c>
      <c r="AC45" s="159" t="s">
        <v>23</v>
      </c>
      <c r="AD45" s="159" t="s">
        <v>23</v>
      </c>
      <c r="AE45" s="138" t="s">
        <v>22</v>
      </c>
      <c r="AF45" s="138" t="s">
        <v>22</v>
      </c>
      <c r="AG45" s="138" t="s">
        <v>22</v>
      </c>
      <c r="AH45" s="1365" t="s">
        <v>30</v>
      </c>
      <c r="AI45" s="1305"/>
      <c r="AJ45" s="189">
        <f>VLOOKUP(B45,'NOV25'!B:AJ,35,0)</f>
        <v>4</v>
      </c>
      <c r="AK45" s="171">
        <f t="shared" ref="AK45:AK51" si="8">COUNTIF(C45:AG45,"U")</f>
        <v>3</v>
      </c>
      <c r="AL45" s="190">
        <f t="shared" ref="AL45:AL51" si="9">AJ45-AK45</f>
        <v>1</v>
      </c>
    </row>
    <row r="46" spans="1:38" ht="19.5" customHeight="1">
      <c r="A46" s="429" t="s">
        <v>140</v>
      </c>
      <c r="B46" s="1299" t="s">
        <v>141</v>
      </c>
      <c r="C46" s="1240" t="s">
        <v>22</v>
      </c>
      <c r="D46" s="1235" t="s">
        <v>22</v>
      </c>
      <c r="E46" s="138" t="s">
        <v>22</v>
      </c>
      <c r="F46" s="138" t="s">
        <v>22</v>
      </c>
      <c r="G46" s="159" t="s">
        <v>23</v>
      </c>
      <c r="H46" s="159" t="s">
        <v>23</v>
      </c>
      <c r="I46" s="1146" t="s">
        <v>147</v>
      </c>
      <c r="J46" s="138" t="s">
        <v>22</v>
      </c>
      <c r="K46" s="1146" t="s">
        <v>147</v>
      </c>
      <c r="L46" s="1146" t="s">
        <v>147</v>
      </c>
      <c r="M46" s="1363" t="s">
        <v>23</v>
      </c>
      <c r="N46" s="1363" t="s">
        <v>23</v>
      </c>
      <c r="O46" s="420" t="s">
        <v>63</v>
      </c>
      <c r="P46" s="420" t="s">
        <v>63</v>
      </c>
      <c r="Q46" s="420" t="s">
        <v>63</v>
      </c>
      <c r="R46" s="420" t="s">
        <v>63</v>
      </c>
      <c r="S46" s="159" t="s">
        <v>23</v>
      </c>
      <c r="T46" s="1361" t="s">
        <v>23</v>
      </c>
      <c r="U46" s="148" t="s">
        <v>24</v>
      </c>
      <c r="V46" s="148" t="s">
        <v>24</v>
      </c>
      <c r="W46" s="148" t="s">
        <v>24</v>
      </c>
      <c r="X46" s="148" t="s">
        <v>24</v>
      </c>
      <c r="Y46" s="159" t="s">
        <v>23</v>
      </c>
      <c r="Z46" s="159" t="s">
        <v>23</v>
      </c>
      <c r="AA46" s="1297" t="s">
        <v>30</v>
      </c>
      <c r="AB46" s="137" t="s">
        <v>34</v>
      </c>
      <c r="AC46" s="137" t="s">
        <v>34</v>
      </c>
      <c r="AD46" s="137" t="s">
        <v>34</v>
      </c>
      <c r="AE46" s="159" t="s">
        <v>23</v>
      </c>
      <c r="AF46" s="159" t="s">
        <v>23</v>
      </c>
      <c r="AG46" s="137" t="s">
        <v>34</v>
      </c>
      <c r="AH46" s="1365" t="s">
        <v>30</v>
      </c>
      <c r="AI46" s="1305"/>
      <c r="AJ46" s="191">
        <f>VLOOKUP(B46,'NOV25'!B:AJ,35,0)</f>
        <v>5</v>
      </c>
      <c r="AK46" s="169">
        <f t="shared" si="8"/>
        <v>4</v>
      </c>
      <c r="AL46" s="192">
        <f t="shared" si="9"/>
        <v>1</v>
      </c>
    </row>
    <row r="47" spans="1:38" ht="19.5" customHeight="1">
      <c r="A47" s="429" t="s">
        <v>151</v>
      </c>
      <c r="B47" s="1299" t="s">
        <v>152</v>
      </c>
      <c r="C47" s="1254" t="s">
        <v>30</v>
      </c>
      <c r="D47" s="137" t="s">
        <v>34</v>
      </c>
      <c r="E47" s="159" t="s">
        <v>23</v>
      </c>
      <c r="F47" s="159" t="s">
        <v>23</v>
      </c>
      <c r="G47" s="138" t="s">
        <v>22</v>
      </c>
      <c r="H47" s="138" t="s">
        <v>22</v>
      </c>
      <c r="I47" s="441" t="s">
        <v>53</v>
      </c>
      <c r="J47" s="1254" t="s">
        <v>30</v>
      </c>
      <c r="K47" s="159" t="s">
        <v>23</v>
      </c>
      <c r="L47" s="1361" t="s">
        <v>23</v>
      </c>
      <c r="M47" s="137" t="s">
        <v>34</v>
      </c>
      <c r="N47" s="137" t="s">
        <v>34</v>
      </c>
      <c r="O47" s="1362" t="s">
        <v>147</v>
      </c>
      <c r="P47" s="1146" t="s">
        <v>147</v>
      </c>
      <c r="Q47" s="159" t="s">
        <v>23</v>
      </c>
      <c r="R47" s="159" t="s">
        <v>23</v>
      </c>
      <c r="S47" s="420" t="s">
        <v>63</v>
      </c>
      <c r="T47" s="1366" t="s">
        <v>63</v>
      </c>
      <c r="U47" s="420" t="s">
        <v>63</v>
      </c>
      <c r="V47" s="420" t="s">
        <v>63</v>
      </c>
      <c r="W47" s="159" t="s">
        <v>23</v>
      </c>
      <c r="X47" s="159" t="s">
        <v>23</v>
      </c>
      <c r="Y47" s="148" t="s">
        <v>24</v>
      </c>
      <c r="Z47" s="148" t="s">
        <v>24</v>
      </c>
      <c r="AA47" s="1365" t="s">
        <v>30</v>
      </c>
      <c r="AB47" s="148" t="s">
        <v>24</v>
      </c>
      <c r="AC47" s="159" t="s">
        <v>23</v>
      </c>
      <c r="AD47" s="159" t="s">
        <v>23</v>
      </c>
      <c r="AE47" s="138" t="s">
        <v>22</v>
      </c>
      <c r="AF47" s="138" t="s">
        <v>22</v>
      </c>
      <c r="AG47" s="138" t="s">
        <v>22</v>
      </c>
      <c r="AH47" s="138" t="s">
        <v>22</v>
      </c>
      <c r="AI47" s="1305"/>
      <c r="AJ47" s="191">
        <f>VLOOKUP(B47,'NOV25'!B:AJ,35,0)</f>
        <v>3</v>
      </c>
      <c r="AK47" s="169">
        <f t="shared" si="8"/>
        <v>3</v>
      </c>
      <c r="AL47" s="192">
        <f t="shared" si="9"/>
        <v>0</v>
      </c>
    </row>
    <row r="48" spans="1:38" ht="19.5" customHeight="1">
      <c r="A48" s="429" t="s">
        <v>113</v>
      </c>
      <c r="B48" s="1299" t="s">
        <v>114</v>
      </c>
      <c r="C48" s="747" t="s">
        <v>23</v>
      </c>
      <c r="D48" s="159" t="s">
        <v>23</v>
      </c>
      <c r="E48" s="148" t="s">
        <v>24</v>
      </c>
      <c r="F48" s="148" t="s">
        <v>24</v>
      </c>
      <c r="G48" s="148" t="s">
        <v>24</v>
      </c>
      <c r="H48" s="148" t="s">
        <v>24</v>
      </c>
      <c r="I48" s="159" t="s">
        <v>23</v>
      </c>
      <c r="J48" s="159" t="s">
        <v>23</v>
      </c>
      <c r="K48" s="138" t="s">
        <v>22</v>
      </c>
      <c r="L48" s="1173" t="s">
        <v>22</v>
      </c>
      <c r="M48" s="138" t="s">
        <v>22</v>
      </c>
      <c r="N48" s="138" t="s">
        <v>22</v>
      </c>
      <c r="O48" s="195" t="s">
        <v>23</v>
      </c>
      <c r="P48" s="159" t="s">
        <v>23</v>
      </c>
      <c r="Q48" s="1379" t="s">
        <v>83</v>
      </c>
      <c r="R48" s="1382" t="s">
        <v>24</v>
      </c>
      <c r="S48" s="1382" t="s">
        <v>24</v>
      </c>
      <c r="T48" s="1382" t="s">
        <v>24</v>
      </c>
      <c r="U48" s="159" t="s">
        <v>23</v>
      </c>
      <c r="V48" s="159" t="s">
        <v>23</v>
      </c>
      <c r="W48" s="420" t="s">
        <v>63</v>
      </c>
      <c r="X48" s="420" t="s">
        <v>63</v>
      </c>
      <c r="Y48" s="420" t="s">
        <v>63</v>
      </c>
      <c r="Z48" s="420" t="s">
        <v>63</v>
      </c>
      <c r="AA48" s="159" t="s">
        <v>23</v>
      </c>
      <c r="AB48" s="159" t="s">
        <v>23</v>
      </c>
      <c r="AC48" s="1381" t="s">
        <v>39</v>
      </c>
      <c r="AD48" s="148" t="s">
        <v>24</v>
      </c>
      <c r="AE48" s="148" t="s">
        <v>24</v>
      </c>
      <c r="AF48" s="148" t="s">
        <v>24</v>
      </c>
      <c r="AG48" s="159" t="s">
        <v>23</v>
      </c>
      <c r="AH48" s="159" t="s">
        <v>23</v>
      </c>
      <c r="AI48" s="1305"/>
      <c r="AJ48" s="191">
        <f>VLOOKUP(B48,'NOV25'!B:AJ,35,0)</f>
        <v>8</v>
      </c>
      <c r="AK48" s="169">
        <f t="shared" si="8"/>
        <v>0</v>
      </c>
      <c r="AL48" s="192">
        <f t="shared" si="9"/>
        <v>8</v>
      </c>
    </row>
    <row r="49" spans="1:38" ht="19.5" customHeight="1">
      <c r="A49" s="429" t="s">
        <v>117</v>
      </c>
      <c r="B49" s="1299" t="s">
        <v>118</v>
      </c>
      <c r="C49" s="1302" t="s">
        <v>24</v>
      </c>
      <c r="D49" s="1198" t="s">
        <v>24</v>
      </c>
      <c r="E49" s="159" t="s">
        <v>23</v>
      </c>
      <c r="F49" s="159" t="s">
        <v>23</v>
      </c>
      <c r="G49" s="138" t="s">
        <v>22</v>
      </c>
      <c r="H49" s="138" t="s">
        <v>22</v>
      </c>
      <c r="I49" s="138" t="s">
        <v>22</v>
      </c>
      <c r="J49" s="138" t="s">
        <v>22</v>
      </c>
      <c r="K49" s="159" t="s">
        <v>23</v>
      </c>
      <c r="L49" s="159" t="s">
        <v>23</v>
      </c>
      <c r="M49" s="1364" t="s">
        <v>24</v>
      </c>
      <c r="N49" s="1364" t="s">
        <v>24</v>
      </c>
      <c r="O49" s="148" t="s">
        <v>24</v>
      </c>
      <c r="P49" s="148" t="s">
        <v>24</v>
      </c>
      <c r="Q49" s="159" t="s">
        <v>23</v>
      </c>
      <c r="R49" s="159" t="s">
        <v>23</v>
      </c>
      <c r="S49" s="138" t="s">
        <v>22</v>
      </c>
      <c r="T49" s="1173" t="s">
        <v>22</v>
      </c>
      <c r="U49" s="138" t="s">
        <v>22</v>
      </c>
      <c r="V49" s="138" t="s">
        <v>22</v>
      </c>
      <c r="W49" s="159" t="s">
        <v>23</v>
      </c>
      <c r="X49" s="159" t="s">
        <v>23</v>
      </c>
      <c r="Y49" s="420" t="s">
        <v>63</v>
      </c>
      <c r="Z49" s="420" t="s">
        <v>63</v>
      </c>
      <c r="AA49" s="420" t="s">
        <v>63</v>
      </c>
      <c r="AB49" s="420" t="s">
        <v>63</v>
      </c>
      <c r="AC49" s="420" t="s">
        <v>63</v>
      </c>
      <c r="AD49" s="159" t="s">
        <v>23</v>
      </c>
      <c r="AE49" s="159" t="s">
        <v>23</v>
      </c>
      <c r="AF49" s="138" t="s">
        <v>22</v>
      </c>
      <c r="AG49" s="138" t="s">
        <v>22</v>
      </c>
      <c r="AH49" s="1365" t="s">
        <v>30</v>
      </c>
      <c r="AI49" s="1305"/>
      <c r="AJ49" s="191">
        <f>VLOOKUP(B49,'NOV25'!B:AJ,35,0)</f>
        <v>4</v>
      </c>
      <c r="AK49" s="169">
        <f t="shared" si="8"/>
        <v>0</v>
      </c>
      <c r="AL49" s="192">
        <f t="shared" si="9"/>
        <v>4</v>
      </c>
    </row>
    <row r="50" spans="1:38" ht="19.5" customHeight="1">
      <c r="A50" s="429" t="s">
        <v>119</v>
      </c>
      <c r="B50" s="1299" t="s">
        <v>120</v>
      </c>
      <c r="C50" s="747" t="s">
        <v>23</v>
      </c>
      <c r="D50" s="159" t="s">
        <v>23</v>
      </c>
      <c r="E50" s="148" t="s">
        <v>24</v>
      </c>
      <c r="F50" s="148" t="s">
        <v>24</v>
      </c>
      <c r="G50" s="148" t="s">
        <v>24</v>
      </c>
      <c r="H50" s="148" t="s">
        <v>24</v>
      </c>
      <c r="I50" s="159" t="s">
        <v>23</v>
      </c>
      <c r="J50" s="159" t="s">
        <v>23</v>
      </c>
      <c r="K50" s="138" t="s">
        <v>22</v>
      </c>
      <c r="L50" s="138" t="s">
        <v>22</v>
      </c>
      <c r="M50" s="138" t="s">
        <v>22</v>
      </c>
      <c r="N50" s="138" t="s">
        <v>22</v>
      </c>
      <c r="O50" s="159" t="s">
        <v>23</v>
      </c>
      <c r="P50" s="159" t="s">
        <v>23</v>
      </c>
      <c r="Q50" s="1380" t="s">
        <v>24</v>
      </c>
      <c r="R50" s="148" t="s">
        <v>24</v>
      </c>
      <c r="S50" s="148" t="s">
        <v>24</v>
      </c>
      <c r="T50" s="1175" t="s">
        <v>24</v>
      </c>
      <c r="U50" s="159" t="s">
        <v>23</v>
      </c>
      <c r="V50" s="441" t="s">
        <v>53</v>
      </c>
      <c r="W50" s="441" t="s">
        <v>148</v>
      </c>
      <c r="X50" s="138" t="s">
        <v>22</v>
      </c>
      <c r="Y50" s="138" t="s">
        <v>22</v>
      </c>
      <c r="Z50" s="138" t="s">
        <v>22</v>
      </c>
      <c r="AA50" s="159" t="s">
        <v>23</v>
      </c>
      <c r="AB50" s="159" t="s">
        <v>23</v>
      </c>
      <c r="AC50" s="205" t="s">
        <v>103</v>
      </c>
      <c r="AD50" s="205" t="s">
        <v>103</v>
      </c>
      <c r="AE50" s="138" t="s">
        <v>22</v>
      </c>
      <c r="AF50" s="138" t="s">
        <v>22</v>
      </c>
      <c r="AG50" s="159" t="s">
        <v>23</v>
      </c>
      <c r="AH50" s="159" t="s">
        <v>23</v>
      </c>
      <c r="AI50" s="1305"/>
      <c r="AJ50" s="191">
        <f>VLOOKUP(B50,'NOV25'!B:AJ,35,0)</f>
        <v>11</v>
      </c>
      <c r="AK50" s="169">
        <f t="shared" si="8"/>
        <v>0</v>
      </c>
      <c r="AL50" s="192">
        <f t="shared" si="9"/>
        <v>11</v>
      </c>
    </row>
    <row r="51" spans="1:38" ht="19.5" customHeight="1">
      <c r="A51" s="428" t="s">
        <v>131</v>
      </c>
      <c r="B51" s="1300" t="s">
        <v>132</v>
      </c>
      <c r="C51" s="1303" t="s">
        <v>83</v>
      </c>
      <c r="D51" s="1267" t="s">
        <v>83</v>
      </c>
      <c r="E51" s="1267" t="s">
        <v>83</v>
      </c>
      <c r="F51" s="1267" t="s">
        <v>83</v>
      </c>
      <c r="G51" s="161" t="s">
        <v>23</v>
      </c>
      <c r="H51" s="161" t="s">
        <v>23</v>
      </c>
      <c r="I51" s="1266" t="s">
        <v>103</v>
      </c>
      <c r="J51" s="1266" t="s">
        <v>125</v>
      </c>
      <c r="K51" s="1266" t="s">
        <v>103</v>
      </c>
      <c r="L51" s="419" t="s">
        <v>39</v>
      </c>
      <c r="M51" s="161" t="s">
        <v>23</v>
      </c>
      <c r="N51" s="161" t="s">
        <v>23</v>
      </c>
      <c r="O51" s="365" t="s">
        <v>34</v>
      </c>
      <c r="P51" s="365" t="s">
        <v>34</v>
      </c>
      <c r="Q51" s="365" t="s">
        <v>34</v>
      </c>
      <c r="R51" s="365" t="s">
        <v>34</v>
      </c>
      <c r="S51" s="161" t="s">
        <v>23</v>
      </c>
      <c r="T51" s="1367" t="s">
        <v>23</v>
      </c>
      <c r="U51" s="138" t="s">
        <v>22</v>
      </c>
      <c r="V51" s="138" t="s">
        <v>22</v>
      </c>
      <c r="W51" s="160" t="s">
        <v>23</v>
      </c>
      <c r="X51" s="160" t="s">
        <v>23</v>
      </c>
      <c r="Y51" s="205" t="s">
        <v>125</v>
      </c>
      <c r="Z51" s="205" t="s">
        <v>125</v>
      </c>
      <c r="AA51" s="205" t="s">
        <v>125</v>
      </c>
      <c r="AB51" s="205" t="s">
        <v>125</v>
      </c>
      <c r="AC51" s="160" t="s">
        <v>23</v>
      </c>
      <c r="AD51" s="160" t="s">
        <v>23</v>
      </c>
      <c r="AE51" s="205" t="s">
        <v>125</v>
      </c>
      <c r="AF51" s="205" t="s">
        <v>125</v>
      </c>
      <c r="AG51" s="205" t="s">
        <v>125</v>
      </c>
      <c r="AH51" s="1306" t="s">
        <v>30</v>
      </c>
      <c r="AI51" s="1305"/>
      <c r="AJ51" s="1121">
        <f>VLOOKUP(B51,'NOV25'!B:AJ,35,0)</f>
        <v>4</v>
      </c>
      <c r="AK51" s="176">
        <f t="shared" si="8"/>
        <v>4</v>
      </c>
      <c r="AL51" s="487">
        <f t="shared" si="9"/>
        <v>0</v>
      </c>
    </row>
    <row r="52" spans="1:38" ht="9.9499999999999993" customHeight="1">
      <c r="A52" s="1"/>
      <c r="B52" s="1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  <c r="AA52" s="338"/>
      <c r="AB52" s="338"/>
      <c r="AC52" s="338"/>
      <c r="AD52" s="338"/>
      <c r="AE52" s="338"/>
      <c r="AF52" s="338"/>
      <c r="AG52" s="338"/>
      <c r="AH52" s="338"/>
      <c r="AI52" s="1305"/>
    </row>
    <row r="53" spans="1:38" ht="29.25">
      <c r="A53" s="931" t="s">
        <v>22</v>
      </c>
      <c r="B53" s="932"/>
      <c r="C53" s="189">
        <f t="shared" ref="C53:AH53" si="10">COUNTIF(C25:C50,$A$53)</f>
        <v>4</v>
      </c>
      <c r="D53" s="171">
        <f t="shared" si="10"/>
        <v>4</v>
      </c>
      <c r="E53" s="171">
        <f t="shared" si="10"/>
        <v>4</v>
      </c>
      <c r="F53" s="171">
        <f t="shared" si="10"/>
        <v>5</v>
      </c>
      <c r="G53" s="171">
        <f t="shared" si="10"/>
        <v>6</v>
      </c>
      <c r="H53" s="171">
        <f t="shared" si="10"/>
        <v>6</v>
      </c>
      <c r="I53" s="171">
        <f t="shared" si="10"/>
        <v>5</v>
      </c>
      <c r="J53" s="171">
        <f t="shared" si="10"/>
        <v>6</v>
      </c>
      <c r="K53" s="171">
        <f t="shared" si="10"/>
        <v>6</v>
      </c>
      <c r="L53" s="171">
        <f t="shared" si="10"/>
        <v>6</v>
      </c>
      <c r="M53" s="171">
        <f t="shared" si="10"/>
        <v>6</v>
      </c>
      <c r="N53" s="171">
        <f t="shared" si="10"/>
        <v>6</v>
      </c>
      <c r="O53" s="171">
        <f t="shared" si="10"/>
        <v>4</v>
      </c>
      <c r="P53" s="171">
        <f t="shared" si="10"/>
        <v>4</v>
      </c>
      <c r="Q53" s="171">
        <f t="shared" si="10"/>
        <v>4</v>
      </c>
      <c r="R53" s="171">
        <f t="shared" si="10"/>
        <v>3</v>
      </c>
      <c r="S53" s="171">
        <f t="shared" si="10"/>
        <v>4</v>
      </c>
      <c r="T53" s="171">
        <f t="shared" si="10"/>
        <v>6</v>
      </c>
      <c r="U53" s="171">
        <f t="shared" si="10"/>
        <v>6</v>
      </c>
      <c r="V53" s="171">
        <f t="shared" si="10"/>
        <v>6</v>
      </c>
      <c r="W53" s="171">
        <f t="shared" si="10"/>
        <v>3</v>
      </c>
      <c r="X53" s="171">
        <f t="shared" si="10"/>
        <v>5</v>
      </c>
      <c r="Y53" s="171">
        <f t="shared" si="10"/>
        <v>5</v>
      </c>
      <c r="Z53" s="171">
        <f t="shared" si="10"/>
        <v>5</v>
      </c>
      <c r="AA53" s="171">
        <f t="shared" si="10"/>
        <v>2</v>
      </c>
      <c r="AB53" s="171">
        <f t="shared" si="10"/>
        <v>3</v>
      </c>
      <c r="AC53" s="171">
        <f t="shared" si="10"/>
        <v>3</v>
      </c>
      <c r="AD53" s="171">
        <f t="shared" si="10"/>
        <v>4</v>
      </c>
      <c r="AE53" s="171">
        <f t="shared" si="10"/>
        <v>7</v>
      </c>
      <c r="AF53" s="171">
        <f t="shared" si="10"/>
        <v>8</v>
      </c>
      <c r="AG53" s="171">
        <f t="shared" si="10"/>
        <v>7</v>
      </c>
      <c r="AH53" s="190">
        <f t="shared" si="10"/>
        <v>5</v>
      </c>
      <c r="AI53" s="1305"/>
    </row>
    <row r="54" spans="1:38" ht="29.25">
      <c r="A54" s="933" t="s">
        <v>147</v>
      </c>
      <c r="B54" s="934"/>
      <c r="C54" s="191">
        <f t="shared" ref="C54:AH54" si="11">COUNTIF(C25:C50,$A$54)</f>
        <v>1</v>
      </c>
      <c r="D54" s="169">
        <f t="shared" si="11"/>
        <v>1</v>
      </c>
      <c r="E54" s="169">
        <f t="shared" si="11"/>
        <v>0</v>
      </c>
      <c r="F54" s="169">
        <f t="shared" si="11"/>
        <v>0</v>
      </c>
      <c r="G54" s="169">
        <f t="shared" si="11"/>
        <v>0</v>
      </c>
      <c r="H54" s="169">
        <f t="shared" si="11"/>
        <v>0</v>
      </c>
      <c r="I54" s="169">
        <f t="shared" si="11"/>
        <v>1</v>
      </c>
      <c r="J54" s="169">
        <f t="shared" si="11"/>
        <v>0</v>
      </c>
      <c r="K54" s="169">
        <f t="shared" si="11"/>
        <v>1</v>
      </c>
      <c r="L54" s="169">
        <f t="shared" si="11"/>
        <v>1</v>
      </c>
      <c r="M54" s="169">
        <f t="shared" si="11"/>
        <v>0</v>
      </c>
      <c r="N54" s="169">
        <f t="shared" si="11"/>
        <v>0</v>
      </c>
      <c r="O54" s="169">
        <f t="shared" si="11"/>
        <v>1</v>
      </c>
      <c r="P54" s="169">
        <f t="shared" si="11"/>
        <v>1</v>
      </c>
      <c r="Q54" s="169">
        <f t="shared" si="11"/>
        <v>0</v>
      </c>
      <c r="R54" s="169">
        <f t="shared" si="11"/>
        <v>0</v>
      </c>
      <c r="S54" s="169">
        <f t="shared" si="11"/>
        <v>0</v>
      </c>
      <c r="T54" s="169">
        <f t="shared" si="11"/>
        <v>0</v>
      </c>
      <c r="U54" s="169">
        <f t="shared" si="11"/>
        <v>0</v>
      </c>
      <c r="V54" s="169">
        <f t="shared" si="11"/>
        <v>0</v>
      </c>
      <c r="W54" s="169">
        <f t="shared" si="11"/>
        <v>0</v>
      </c>
      <c r="X54" s="169">
        <f t="shared" si="11"/>
        <v>0</v>
      </c>
      <c r="Y54" s="169">
        <f t="shared" si="11"/>
        <v>0</v>
      </c>
      <c r="Z54" s="169">
        <f t="shared" si="11"/>
        <v>0</v>
      </c>
      <c r="AA54" s="169">
        <f t="shared" si="11"/>
        <v>0</v>
      </c>
      <c r="AB54" s="169">
        <f t="shared" si="11"/>
        <v>0</v>
      </c>
      <c r="AC54" s="169">
        <f t="shared" si="11"/>
        <v>0</v>
      </c>
      <c r="AD54" s="169">
        <f t="shared" si="11"/>
        <v>0</v>
      </c>
      <c r="AE54" s="169">
        <f t="shared" si="11"/>
        <v>0</v>
      </c>
      <c r="AF54" s="169">
        <f t="shared" si="11"/>
        <v>0</v>
      </c>
      <c r="AG54" s="169">
        <f t="shared" si="11"/>
        <v>1</v>
      </c>
      <c r="AH54" s="192">
        <f t="shared" si="11"/>
        <v>0</v>
      </c>
      <c r="AI54" s="1305"/>
    </row>
    <row r="55" spans="1:38" ht="29.25">
      <c r="A55" s="671" t="s">
        <v>24</v>
      </c>
      <c r="B55" s="672"/>
      <c r="C55" s="191">
        <f t="shared" ref="C55:AH55" si="12">COUNTIF(C25:C50,$A$55)</f>
        <v>4</v>
      </c>
      <c r="D55" s="169">
        <f t="shared" si="12"/>
        <v>4</v>
      </c>
      <c r="E55" s="169">
        <f t="shared" si="12"/>
        <v>5</v>
      </c>
      <c r="F55" s="169">
        <f t="shared" si="12"/>
        <v>4</v>
      </c>
      <c r="G55" s="169">
        <f t="shared" si="12"/>
        <v>5</v>
      </c>
      <c r="H55" s="169">
        <f t="shared" si="12"/>
        <v>6</v>
      </c>
      <c r="I55" s="169">
        <f t="shared" si="12"/>
        <v>5</v>
      </c>
      <c r="J55" s="169">
        <f t="shared" si="12"/>
        <v>4</v>
      </c>
      <c r="K55" s="169">
        <f t="shared" si="12"/>
        <v>4</v>
      </c>
      <c r="L55" s="169">
        <f t="shared" si="12"/>
        <v>3</v>
      </c>
      <c r="M55" s="169">
        <f t="shared" si="12"/>
        <v>4</v>
      </c>
      <c r="N55" s="169">
        <f t="shared" si="12"/>
        <v>4</v>
      </c>
      <c r="O55" s="169">
        <f t="shared" si="12"/>
        <v>4</v>
      </c>
      <c r="P55" s="169">
        <f t="shared" si="12"/>
        <v>5</v>
      </c>
      <c r="Q55" s="169">
        <f t="shared" si="12"/>
        <v>4</v>
      </c>
      <c r="R55" s="169">
        <f t="shared" si="12"/>
        <v>6</v>
      </c>
      <c r="S55" s="169">
        <f t="shared" si="12"/>
        <v>6</v>
      </c>
      <c r="T55" s="169">
        <f t="shared" si="12"/>
        <v>5</v>
      </c>
      <c r="U55" s="169">
        <f t="shared" si="12"/>
        <v>5</v>
      </c>
      <c r="V55" s="169">
        <f t="shared" si="12"/>
        <v>5</v>
      </c>
      <c r="W55" s="169">
        <f t="shared" si="12"/>
        <v>6</v>
      </c>
      <c r="X55" s="169">
        <f t="shared" si="12"/>
        <v>7</v>
      </c>
      <c r="Y55" s="169">
        <f t="shared" si="12"/>
        <v>6</v>
      </c>
      <c r="Z55" s="169">
        <f t="shared" si="12"/>
        <v>4</v>
      </c>
      <c r="AA55" s="169">
        <f t="shared" si="12"/>
        <v>2</v>
      </c>
      <c r="AB55" s="169">
        <f t="shared" si="12"/>
        <v>7</v>
      </c>
      <c r="AC55" s="169">
        <f t="shared" si="12"/>
        <v>5</v>
      </c>
      <c r="AD55" s="169">
        <f t="shared" si="12"/>
        <v>5</v>
      </c>
      <c r="AE55" s="169">
        <f t="shared" si="12"/>
        <v>4</v>
      </c>
      <c r="AF55" s="169">
        <f t="shared" si="12"/>
        <v>4</v>
      </c>
      <c r="AG55" s="169">
        <f t="shared" si="12"/>
        <v>3</v>
      </c>
      <c r="AH55" s="192">
        <f t="shared" si="12"/>
        <v>4</v>
      </c>
      <c r="AI55" s="1305"/>
    </row>
    <row r="56" spans="1:38" ht="29.25">
      <c r="A56" s="673" t="s">
        <v>63</v>
      </c>
      <c r="B56" s="674"/>
      <c r="C56" s="1121">
        <f t="shared" ref="C56:AH56" si="13">COUNTIF(C25:C50,$A$56)</f>
        <v>3</v>
      </c>
      <c r="D56" s="176">
        <f t="shared" si="13"/>
        <v>3</v>
      </c>
      <c r="E56" s="176">
        <f t="shared" si="13"/>
        <v>3</v>
      </c>
      <c r="F56" s="176">
        <f t="shared" si="13"/>
        <v>2</v>
      </c>
      <c r="G56" s="176">
        <f t="shared" si="13"/>
        <v>1</v>
      </c>
      <c r="H56" s="176">
        <f t="shared" si="13"/>
        <v>1</v>
      </c>
      <c r="I56" s="176">
        <f t="shared" si="13"/>
        <v>1</v>
      </c>
      <c r="J56" s="176">
        <f t="shared" si="13"/>
        <v>2</v>
      </c>
      <c r="K56" s="176">
        <f t="shared" si="13"/>
        <v>2</v>
      </c>
      <c r="L56" s="176">
        <f t="shared" si="13"/>
        <v>2</v>
      </c>
      <c r="M56" s="176">
        <f t="shared" si="13"/>
        <v>2</v>
      </c>
      <c r="N56" s="176">
        <f t="shared" si="13"/>
        <v>2</v>
      </c>
      <c r="O56" s="176">
        <f t="shared" si="13"/>
        <v>3</v>
      </c>
      <c r="P56" s="176">
        <f t="shared" si="13"/>
        <v>3</v>
      </c>
      <c r="Q56" s="176">
        <f t="shared" si="13"/>
        <v>3</v>
      </c>
      <c r="R56" s="176">
        <f t="shared" si="13"/>
        <v>3</v>
      </c>
      <c r="S56" s="176">
        <f t="shared" si="13"/>
        <v>3</v>
      </c>
      <c r="T56" s="176">
        <f t="shared" si="13"/>
        <v>2</v>
      </c>
      <c r="U56" s="176">
        <f t="shared" si="13"/>
        <v>2</v>
      </c>
      <c r="V56" s="176">
        <f t="shared" si="13"/>
        <v>2</v>
      </c>
      <c r="W56" s="176">
        <f t="shared" si="13"/>
        <v>2</v>
      </c>
      <c r="X56" s="176">
        <f t="shared" si="13"/>
        <v>2</v>
      </c>
      <c r="Y56" s="176">
        <f t="shared" si="13"/>
        <v>3</v>
      </c>
      <c r="Z56" s="176">
        <f t="shared" si="13"/>
        <v>3</v>
      </c>
      <c r="AA56" s="176">
        <f t="shared" si="13"/>
        <v>2</v>
      </c>
      <c r="AB56" s="176">
        <f t="shared" si="13"/>
        <v>2</v>
      </c>
      <c r="AC56" s="176">
        <f t="shared" si="13"/>
        <v>2</v>
      </c>
      <c r="AD56" s="176">
        <f t="shared" si="13"/>
        <v>2</v>
      </c>
      <c r="AE56" s="176">
        <f t="shared" si="13"/>
        <v>2</v>
      </c>
      <c r="AF56" s="176">
        <f t="shared" si="13"/>
        <v>3</v>
      </c>
      <c r="AG56" s="176">
        <f t="shared" si="13"/>
        <v>3</v>
      </c>
      <c r="AH56" s="487">
        <f t="shared" si="13"/>
        <v>1</v>
      </c>
      <c r="AI56" s="1305"/>
    </row>
    <row r="57" spans="1:38" ht="20.100000000000001" customHeight="1"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  <c r="Z57" s="338"/>
      <c r="AA57" s="338"/>
      <c r="AB57" s="338"/>
      <c r="AC57" s="338"/>
      <c r="AD57" s="338"/>
      <c r="AE57" s="338"/>
      <c r="AF57" s="338"/>
      <c r="AG57" s="338"/>
      <c r="AH57" s="338"/>
      <c r="AI57" s="1305"/>
    </row>
    <row r="58" spans="1:38" ht="24.95" customHeight="1">
      <c r="A58" s="1294" t="s">
        <v>126</v>
      </c>
      <c r="B58" s="473"/>
      <c r="C58" s="1307"/>
      <c r="D58" s="1308"/>
      <c r="E58" s="1311"/>
      <c r="F58" s="1311"/>
      <c r="G58" s="1311"/>
      <c r="H58" s="1311"/>
      <c r="I58" s="1311"/>
      <c r="J58" s="1311"/>
      <c r="K58" s="1311"/>
      <c r="L58" s="1311"/>
      <c r="M58" s="1311"/>
      <c r="N58" s="1311"/>
      <c r="O58" s="1311"/>
      <c r="P58" s="1311"/>
      <c r="Q58" s="1311"/>
      <c r="R58" s="1311"/>
      <c r="S58" s="1311"/>
      <c r="T58" s="1311"/>
      <c r="U58" s="1311"/>
      <c r="V58" s="1311"/>
      <c r="W58" s="1311"/>
      <c r="X58" s="1311"/>
      <c r="Y58" s="1311"/>
      <c r="Z58" s="1311"/>
      <c r="AA58" s="1311"/>
      <c r="AB58" s="1311"/>
      <c r="AC58" s="1311"/>
      <c r="AD58" s="1311"/>
      <c r="AE58" s="1311"/>
      <c r="AF58" s="1311"/>
      <c r="AG58" s="1311"/>
      <c r="AH58" s="1319"/>
      <c r="AI58" s="1305"/>
    </row>
    <row r="59" spans="1:38" ht="18.75" customHeight="1">
      <c r="A59" s="1295" t="s">
        <v>127</v>
      </c>
      <c r="B59" s="896" t="s">
        <v>128</v>
      </c>
      <c r="C59" s="150" t="s">
        <v>23</v>
      </c>
      <c r="D59" s="160" t="s">
        <v>23</v>
      </c>
      <c r="E59" s="206" t="s">
        <v>83</v>
      </c>
      <c r="F59" s="206" t="s">
        <v>83</v>
      </c>
      <c r="G59" s="206" t="s">
        <v>83</v>
      </c>
      <c r="H59" s="206" t="s">
        <v>83</v>
      </c>
      <c r="I59" s="160" t="s">
        <v>23</v>
      </c>
      <c r="J59" s="160" t="s">
        <v>23</v>
      </c>
      <c r="K59" s="205" t="s">
        <v>125</v>
      </c>
      <c r="L59" s="205" t="s">
        <v>125</v>
      </c>
      <c r="M59" s="205" t="s">
        <v>125</v>
      </c>
      <c r="N59" s="205" t="s">
        <v>125</v>
      </c>
      <c r="O59" s="160" t="s">
        <v>23</v>
      </c>
      <c r="P59" s="160" t="s">
        <v>23</v>
      </c>
      <c r="Q59" s="1381" t="s">
        <v>39</v>
      </c>
      <c r="R59" s="206" t="s">
        <v>83</v>
      </c>
      <c r="S59" s="206" t="s">
        <v>83</v>
      </c>
      <c r="T59" s="206" t="s">
        <v>83</v>
      </c>
      <c r="U59" s="160" t="s">
        <v>23</v>
      </c>
      <c r="V59" s="160" t="s">
        <v>23</v>
      </c>
      <c r="W59" s="205" t="s">
        <v>125</v>
      </c>
      <c r="X59" s="205" t="s">
        <v>125</v>
      </c>
      <c r="Y59" s="1356" t="s">
        <v>125</v>
      </c>
      <c r="Z59" s="1356" t="s">
        <v>125</v>
      </c>
      <c r="AA59" s="1025" t="s">
        <v>23</v>
      </c>
      <c r="AB59" s="1025" t="s">
        <v>23</v>
      </c>
      <c r="AC59" s="1357" t="s">
        <v>83</v>
      </c>
      <c r="AD59" s="1357" t="s">
        <v>83</v>
      </c>
      <c r="AE59" s="1357" t="s">
        <v>83</v>
      </c>
      <c r="AF59" s="1357" t="s">
        <v>83</v>
      </c>
      <c r="AG59" s="1358" t="s">
        <v>23</v>
      </c>
      <c r="AH59" s="1359" t="s">
        <v>23</v>
      </c>
      <c r="AI59" s="1305"/>
      <c r="AJ59" s="189">
        <f>VLOOKUP(B59,'NOV25'!B:AJ,35,0)</f>
        <v>0</v>
      </c>
      <c r="AK59" s="171">
        <f t="shared" ref="AK59:AK60" si="14">COUNTIF(C59:AG59,"U")</f>
        <v>0</v>
      </c>
      <c r="AL59" s="190">
        <f t="shared" ref="AL59:AL60" si="15">AJ59-AK59</f>
        <v>0</v>
      </c>
    </row>
    <row r="60" spans="1:38" ht="18.75" customHeight="1">
      <c r="A60" s="1295" t="s">
        <v>129</v>
      </c>
      <c r="B60" s="896" t="s">
        <v>130</v>
      </c>
      <c r="C60" s="1264" t="s">
        <v>83</v>
      </c>
      <c r="D60" s="206" t="s">
        <v>83</v>
      </c>
      <c r="E60" s="160" t="s">
        <v>23</v>
      </c>
      <c r="F60" s="160" t="s">
        <v>23</v>
      </c>
      <c r="G60" s="205" t="s">
        <v>125</v>
      </c>
      <c r="H60" s="205" t="s">
        <v>125</v>
      </c>
      <c r="I60" s="205" t="s">
        <v>125</v>
      </c>
      <c r="J60" s="1306" t="s">
        <v>30</v>
      </c>
      <c r="K60" s="160" t="s">
        <v>23</v>
      </c>
      <c r="L60" s="160" t="s">
        <v>23</v>
      </c>
      <c r="M60" s="206" t="s">
        <v>83</v>
      </c>
      <c r="N60" s="206" t="s">
        <v>83</v>
      </c>
      <c r="O60" s="206" t="s">
        <v>83</v>
      </c>
      <c r="P60" s="1379" t="s">
        <v>83</v>
      </c>
      <c r="Q60" s="160" t="s">
        <v>23</v>
      </c>
      <c r="R60" s="160" t="s">
        <v>23</v>
      </c>
      <c r="S60" s="205" t="s">
        <v>125</v>
      </c>
      <c r="T60" s="205" t="s">
        <v>125</v>
      </c>
      <c r="U60" s="205" t="s">
        <v>125</v>
      </c>
      <c r="V60" s="205" t="s">
        <v>125</v>
      </c>
      <c r="W60" s="160" t="s">
        <v>23</v>
      </c>
      <c r="X60" s="160" t="s">
        <v>23</v>
      </c>
      <c r="Y60" s="92" t="s">
        <v>34</v>
      </c>
      <c r="Z60" s="92" t="s">
        <v>34</v>
      </c>
      <c r="AA60" s="110" t="s">
        <v>30</v>
      </c>
      <c r="AB60" s="92" t="s">
        <v>34</v>
      </c>
      <c r="AC60" s="29" t="s">
        <v>23</v>
      </c>
      <c r="AD60" s="29" t="s">
        <v>23</v>
      </c>
      <c r="AE60" s="92" t="s">
        <v>34</v>
      </c>
      <c r="AF60" s="92" t="s">
        <v>34</v>
      </c>
      <c r="AG60" s="93" t="s">
        <v>34</v>
      </c>
      <c r="AH60" s="1360" t="s">
        <v>34</v>
      </c>
      <c r="AI60" s="1305"/>
      <c r="AJ60" s="191">
        <f>VLOOKUP(B60,'NOV25'!B:AJ,35,0)</f>
        <v>6</v>
      </c>
      <c r="AK60" s="169">
        <f t="shared" si="14"/>
        <v>6</v>
      </c>
      <c r="AL60" s="192">
        <f t="shared" si="15"/>
        <v>0</v>
      </c>
    </row>
    <row r="61" spans="1:38" ht="18.75" customHeight="1">
      <c r="A61" s="1295" t="s">
        <v>187</v>
      </c>
      <c r="B61" s="1318" t="s">
        <v>188</v>
      </c>
      <c r="C61" s="1262" t="s">
        <v>125</v>
      </c>
      <c r="D61" s="205" t="s">
        <v>125</v>
      </c>
      <c r="E61" s="205" t="s">
        <v>125</v>
      </c>
      <c r="F61" s="205" t="s">
        <v>125</v>
      </c>
      <c r="G61" s="160" t="s">
        <v>23</v>
      </c>
      <c r="H61" s="160" t="s">
        <v>23</v>
      </c>
      <c r="I61" s="206" t="s">
        <v>83</v>
      </c>
      <c r="J61" s="206" t="s">
        <v>83</v>
      </c>
      <c r="K61" s="206" t="s">
        <v>83</v>
      </c>
      <c r="L61" s="206" t="s">
        <v>83</v>
      </c>
      <c r="M61" s="160" t="s">
        <v>23</v>
      </c>
      <c r="N61" s="160" t="s">
        <v>23</v>
      </c>
      <c r="O61" s="205" t="s">
        <v>125</v>
      </c>
      <c r="P61" s="205" t="s">
        <v>125</v>
      </c>
      <c r="Q61" s="205" t="s">
        <v>125</v>
      </c>
      <c r="R61" s="205" t="s">
        <v>125</v>
      </c>
      <c r="S61" s="160" t="s">
        <v>23</v>
      </c>
      <c r="T61" s="160" t="s">
        <v>23</v>
      </c>
      <c r="U61" s="206" t="s">
        <v>83</v>
      </c>
      <c r="V61" s="206" t="s">
        <v>83</v>
      </c>
      <c r="W61" s="206" t="s">
        <v>83</v>
      </c>
      <c r="X61" s="206" t="s">
        <v>83</v>
      </c>
      <c r="Y61" s="29" t="s">
        <v>23</v>
      </c>
      <c r="Z61" s="29" t="s">
        <v>23</v>
      </c>
      <c r="AA61" s="110" t="s">
        <v>30</v>
      </c>
      <c r="AB61" s="1357" t="s">
        <v>83</v>
      </c>
      <c r="AC61" s="1357" t="s">
        <v>83</v>
      </c>
      <c r="AD61" s="1357" t="s">
        <v>83</v>
      </c>
      <c r="AE61" s="29" t="s">
        <v>23</v>
      </c>
      <c r="AF61" s="29" t="s">
        <v>23</v>
      </c>
      <c r="AG61" s="11" t="s">
        <v>83</v>
      </c>
      <c r="AH61" s="11" t="s">
        <v>83</v>
      </c>
      <c r="AI61" s="1305"/>
      <c r="AJ61" s="191">
        <f>VLOOKUP(B61,'NOV25'!B:AJ,35,0)</f>
        <v>4</v>
      </c>
      <c r="AK61" s="169">
        <f t="shared" ref="AK61:AK62" si="16">COUNTIF(C61:AG61,"U")</f>
        <v>0</v>
      </c>
      <c r="AL61" s="192">
        <f t="shared" ref="AL61:AL62" si="17">AJ61-AK61</f>
        <v>4</v>
      </c>
    </row>
    <row r="62" spans="1:38" ht="18.75" customHeight="1">
      <c r="A62" s="1296" t="s">
        <v>121</v>
      </c>
      <c r="B62" s="1222" t="s">
        <v>122</v>
      </c>
      <c r="C62" s="1320"/>
      <c r="D62" s="1321"/>
      <c r="E62" s="1321"/>
      <c r="F62" s="1322"/>
      <c r="G62" s="161"/>
      <c r="H62" s="161"/>
      <c r="I62" s="1323"/>
      <c r="J62" s="1323"/>
      <c r="K62" s="1323"/>
      <c r="L62" s="1323"/>
      <c r="M62" s="161"/>
      <c r="N62" s="161"/>
      <c r="O62" s="1321"/>
      <c r="P62" s="1321"/>
      <c r="Q62" s="1321"/>
      <c r="R62" s="1321"/>
      <c r="S62" s="161"/>
      <c r="T62" s="161"/>
      <c r="U62" s="1323"/>
      <c r="V62" s="1323"/>
      <c r="W62" s="1323"/>
      <c r="X62" s="1323"/>
      <c r="Y62" s="161"/>
      <c r="Z62" s="161"/>
      <c r="AA62" s="1321"/>
      <c r="AB62" s="1321"/>
      <c r="AC62" s="1321"/>
      <c r="AD62" s="1321"/>
      <c r="AE62" s="161"/>
      <c r="AF62" s="161"/>
      <c r="AG62" s="1323"/>
      <c r="AH62" s="471"/>
      <c r="AI62" s="1305"/>
      <c r="AJ62" s="1121">
        <f>VLOOKUP(B62,'NOV25'!B:AJ,35,0)</f>
        <v>0</v>
      </c>
      <c r="AK62" s="176">
        <f t="shared" si="16"/>
        <v>0</v>
      </c>
      <c r="AL62" s="487">
        <f t="shared" si="17"/>
        <v>0</v>
      </c>
    </row>
    <row r="63" spans="1:38" ht="9.9499999999999993" customHeight="1">
      <c r="A63" s="1"/>
      <c r="B63" s="1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8"/>
      <c r="Y63" s="338"/>
      <c r="Z63" s="338"/>
      <c r="AA63" s="338"/>
      <c r="AB63" s="338"/>
      <c r="AC63" s="338"/>
      <c r="AD63" s="338"/>
      <c r="AE63" s="338"/>
      <c r="AF63" s="338"/>
      <c r="AG63" s="338"/>
      <c r="AH63" s="338"/>
      <c r="AI63" s="1305"/>
    </row>
    <row r="64" spans="1:38" ht="29.25">
      <c r="A64" s="665" t="s">
        <v>125</v>
      </c>
      <c r="B64" s="666"/>
      <c r="C64" s="56">
        <f t="shared" ref="C64:AH64" si="18">COUNTIF(C45:C50,$A$64)+COUNTIF(C59:C62,$A$64)</f>
        <v>1</v>
      </c>
      <c r="D64" s="56">
        <f t="shared" si="18"/>
        <v>1</v>
      </c>
      <c r="E64" s="56">
        <f t="shared" si="18"/>
        <v>1</v>
      </c>
      <c r="F64" s="56">
        <f t="shared" si="18"/>
        <v>1</v>
      </c>
      <c r="G64" s="56">
        <f t="shared" si="18"/>
        <v>1</v>
      </c>
      <c r="H64" s="56">
        <f t="shared" si="18"/>
        <v>1</v>
      </c>
      <c r="I64" s="56">
        <f t="shared" si="18"/>
        <v>1</v>
      </c>
      <c r="J64" s="56">
        <f t="shared" si="18"/>
        <v>0</v>
      </c>
      <c r="K64" s="56">
        <f t="shared" si="18"/>
        <v>1</v>
      </c>
      <c r="L64" s="56">
        <f t="shared" si="18"/>
        <v>1</v>
      </c>
      <c r="M64" s="56">
        <f t="shared" si="18"/>
        <v>1</v>
      </c>
      <c r="N64" s="56">
        <f t="shared" si="18"/>
        <v>1</v>
      </c>
      <c r="O64" s="56">
        <f t="shared" si="18"/>
        <v>1</v>
      </c>
      <c r="P64" s="56">
        <f t="shared" si="18"/>
        <v>1</v>
      </c>
      <c r="Q64" s="56">
        <f t="shared" si="18"/>
        <v>1</v>
      </c>
      <c r="R64" s="56">
        <f t="shared" si="18"/>
        <v>1</v>
      </c>
      <c r="S64" s="56">
        <f t="shared" si="18"/>
        <v>1</v>
      </c>
      <c r="T64" s="56">
        <f t="shared" si="18"/>
        <v>1</v>
      </c>
      <c r="U64" s="56">
        <f t="shared" si="18"/>
        <v>1</v>
      </c>
      <c r="V64" s="56">
        <f t="shared" si="18"/>
        <v>1</v>
      </c>
      <c r="W64" s="56">
        <f t="shared" si="18"/>
        <v>1</v>
      </c>
      <c r="X64" s="56">
        <f t="shared" si="18"/>
        <v>1</v>
      </c>
      <c r="Y64" s="56">
        <f t="shared" si="18"/>
        <v>1</v>
      </c>
      <c r="Z64" s="56">
        <f t="shared" si="18"/>
        <v>1</v>
      </c>
      <c r="AA64" s="56">
        <f t="shared" ref="C64:AH65" si="19">COUNTIF(AA44:AA49,$A$65)+COUNTIF(AA58:AA61,$A$65)</f>
        <v>1</v>
      </c>
      <c r="AB64" s="56">
        <f t="shared" si="19"/>
        <v>1</v>
      </c>
      <c r="AC64" s="56">
        <f t="shared" si="18"/>
        <v>0</v>
      </c>
      <c r="AD64" s="56">
        <f t="shared" si="18"/>
        <v>0</v>
      </c>
      <c r="AE64" s="16">
        <f t="shared" si="19"/>
        <v>1</v>
      </c>
      <c r="AF64" s="16">
        <f t="shared" si="19"/>
        <v>1</v>
      </c>
      <c r="AG64" s="16">
        <f t="shared" si="19"/>
        <v>1</v>
      </c>
      <c r="AH64" s="56">
        <f t="shared" si="18"/>
        <v>0</v>
      </c>
      <c r="AI64" s="1305"/>
    </row>
    <row r="65" spans="1:35" ht="29.25">
      <c r="A65" s="678" t="s">
        <v>83</v>
      </c>
      <c r="B65" s="679"/>
      <c r="C65" s="16">
        <f t="shared" si="19"/>
        <v>1</v>
      </c>
      <c r="D65" s="16">
        <f t="shared" si="19"/>
        <v>1</v>
      </c>
      <c r="E65" s="16">
        <f t="shared" si="19"/>
        <v>1</v>
      </c>
      <c r="F65" s="16">
        <f t="shared" si="19"/>
        <v>1</v>
      </c>
      <c r="G65" s="16">
        <f t="shared" si="19"/>
        <v>1</v>
      </c>
      <c r="H65" s="16">
        <f t="shared" si="19"/>
        <v>1</v>
      </c>
      <c r="I65" s="16">
        <f t="shared" si="19"/>
        <v>1</v>
      </c>
      <c r="J65" s="16">
        <f t="shared" si="19"/>
        <v>1</v>
      </c>
      <c r="K65" s="16">
        <f t="shared" si="19"/>
        <v>1</v>
      </c>
      <c r="L65" s="16">
        <f t="shared" si="19"/>
        <v>1</v>
      </c>
      <c r="M65" s="16">
        <f t="shared" si="19"/>
        <v>1</v>
      </c>
      <c r="N65" s="16">
        <f t="shared" si="19"/>
        <v>1</v>
      </c>
      <c r="O65" s="16">
        <f t="shared" si="19"/>
        <v>1</v>
      </c>
      <c r="P65" s="16">
        <f t="shared" si="19"/>
        <v>1</v>
      </c>
      <c r="Q65" s="16">
        <f t="shared" si="19"/>
        <v>1</v>
      </c>
      <c r="R65" s="16">
        <f t="shared" si="19"/>
        <v>1</v>
      </c>
      <c r="S65" s="16">
        <f t="shared" si="19"/>
        <v>1</v>
      </c>
      <c r="T65" s="16">
        <f t="shared" si="19"/>
        <v>1</v>
      </c>
      <c r="U65" s="16">
        <f t="shared" si="19"/>
        <v>1</v>
      </c>
      <c r="V65" s="16">
        <f t="shared" si="19"/>
        <v>1</v>
      </c>
      <c r="W65" s="16">
        <f t="shared" si="19"/>
        <v>1</v>
      </c>
      <c r="X65" s="16">
        <f t="shared" si="19"/>
        <v>1</v>
      </c>
      <c r="Y65" s="16">
        <f t="shared" si="19"/>
        <v>1</v>
      </c>
      <c r="Z65" s="16">
        <f t="shared" si="19"/>
        <v>1</v>
      </c>
      <c r="AA65" s="16">
        <f t="shared" si="19"/>
        <v>1</v>
      </c>
      <c r="AB65" s="16">
        <f t="shared" si="19"/>
        <v>1</v>
      </c>
      <c r="AC65" s="16">
        <f t="shared" si="19"/>
        <v>2</v>
      </c>
      <c r="AD65" s="16">
        <f t="shared" si="19"/>
        <v>2</v>
      </c>
      <c r="AE65" s="16">
        <f t="shared" si="19"/>
        <v>1</v>
      </c>
      <c r="AF65" s="16">
        <f t="shared" si="19"/>
        <v>1</v>
      </c>
      <c r="AG65" s="16">
        <f t="shared" si="19"/>
        <v>1</v>
      </c>
      <c r="AH65" s="16">
        <f t="shared" si="19"/>
        <v>1</v>
      </c>
      <c r="AI65" s="1305"/>
    </row>
    <row r="66" spans="1:35" ht="29.25">
      <c r="AI66" s="1305"/>
    </row>
    <row r="67" spans="1:35" ht="15" customHeight="1">
      <c r="AI67" s="1305"/>
    </row>
    <row r="68" spans="1:35" ht="15" customHeight="1">
      <c r="AI68" s="1305"/>
    </row>
    <row r="69" spans="1:35" ht="15" customHeight="1">
      <c r="AI69" s="1305"/>
    </row>
    <row r="70" spans="1:35" ht="15" customHeight="1">
      <c r="AI70" s="1305"/>
    </row>
    <row r="71" spans="1:35" ht="15" customHeight="1">
      <c r="AI71" s="1305"/>
    </row>
    <row r="72" spans="1:35" ht="15" customHeight="1">
      <c r="AI72" s="1305"/>
    </row>
  </sheetData>
  <mergeCells count="7">
    <mergeCell ref="C43:AH43"/>
    <mergeCell ref="C14:AH14"/>
    <mergeCell ref="AJ3:AJ4"/>
    <mergeCell ref="AK3:AK4"/>
    <mergeCell ref="AL3:AL4"/>
    <mergeCell ref="C24:AH24"/>
    <mergeCell ref="C38:AH38"/>
  </mergeCells>
  <phoneticPr fontId="39" type="noConversion"/>
  <conditionalFormatting sqref="C56:AH56">
    <cfRule type="cellIs" dxfId="4" priority="2" operator="lessThan">
      <formula>1.5</formula>
    </cfRule>
    <cfRule type="cellIs" dxfId="3" priority="3" operator="lessThan">
      <formula>2.5</formula>
    </cfRule>
  </conditionalFormatting>
  <conditionalFormatting sqref="C64:AH65">
    <cfRule type="cellIs" dxfId="2" priority="1" operator="lessThan">
      <formula>0.5</formula>
    </cfRule>
  </conditionalFormatting>
  <conditionalFormatting sqref="AL5:AL12">
    <cfRule type="cellIs" dxfId="1" priority="4" operator="greaterThan">
      <formula>0.1</formula>
    </cfRule>
    <cfRule type="cellIs" dxfId="0" priority="5" operator="equal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2D3878C914646AFDAF8DB79C9CBFF" ma:contentTypeVersion="16" ma:contentTypeDescription="Create a new document." ma:contentTypeScope="" ma:versionID="03d1937d80d0a8e7ce848d3cb8198551">
  <xsd:schema xmlns:xsd="http://www.w3.org/2001/XMLSchema" xmlns:xs="http://www.w3.org/2001/XMLSchema" xmlns:p="http://schemas.microsoft.com/office/2006/metadata/properties" xmlns:ns2="8c3af6a4-7f71-4dc2-99e7-9db1cbaccb2c" xmlns:ns3="fa453329-a4c9-4120-b786-6a0f9fa17d90" targetNamespace="http://schemas.microsoft.com/office/2006/metadata/properties" ma:root="true" ma:fieldsID="e1e82be046e0f9abcd1fd76bc3d6d064" ns2:_="" ns3:_="">
    <xsd:import namespace="8c3af6a4-7f71-4dc2-99e7-9db1cbaccb2c"/>
    <xsd:import namespace="fa453329-a4c9-4120-b786-6a0f9fa17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af6a4-7f71-4dc2-99e7-9db1cbaccb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bf9f0b1-3012-463a-bd97-40a726b447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53329-a4c9-4120-b786-6a0f9fa17d9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9063131-8ea6-4516-bec3-5cdb23247884}" ma:internalName="TaxCatchAll" ma:showField="CatchAllData" ma:web="fa453329-a4c9-4120-b786-6a0f9fa17d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453329-a4c9-4120-b786-6a0f9fa17d90" xsi:nil="true"/>
    <lcf76f155ced4ddcb4097134ff3c332f xmlns="8c3af6a4-7f71-4dc2-99e7-9db1cbaccb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3184BB-8A52-44B9-AA8E-B8CD1B355459}"/>
</file>

<file path=customXml/itemProps2.xml><?xml version="1.0" encoding="utf-8"?>
<ds:datastoreItem xmlns:ds="http://schemas.openxmlformats.org/officeDocument/2006/customXml" ds:itemID="{B1F4AE39-C75D-49E2-A068-CB46E3E22D62}"/>
</file>

<file path=customXml/itemProps3.xml><?xml version="1.0" encoding="utf-8"?>
<ds:datastoreItem xmlns:ds="http://schemas.openxmlformats.org/officeDocument/2006/customXml" ds:itemID="{3D0DBF18-A1E4-4BC8-8313-B710B823CC45}"/>
</file>

<file path=docMetadata/LabelInfo.xml><?xml version="1.0" encoding="utf-8"?>
<clbl:labelList xmlns:clbl="http://schemas.microsoft.com/office/2020/mipLabelMetadata">
  <clbl:label id="{2d1c7476-f302-47ca-97a0-972f32671471}" enabled="1" method="Standard" siteId="{72e15514-5be9-46a8-8b0b-af9b1b77b3b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 SILVA, ANA CLAUDIA</dc:creator>
  <cp:keywords/>
  <dc:description/>
  <cp:lastModifiedBy>FERREIRA, CATARINA</cp:lastModifiedBy>
  <cp:revision/>
  <dcterms:created xsi:type="dcterms:W3CDTF">2024-11-11T09:29:35Z</dcterms:created>
  <dcterms:modified xsi:type="dcterms:W3CDTF">2025-11-09T09:31:05Z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c7476-f302-47ca-97a0-972f32671471_Enabled">
    <vt:lpwstr>true</vt:lpwstr>
  </property>
  <property fmtid="{D5CDD505-2E9C-101B-9397-08002B2CF9AE}" pid="3" name="MSIP_Label_2d1c7476-f302-47ca-97a0-972f32671471_SetDate">
    <vt:lpwstr>2024-11-11T09:29:42Z</vt:lpwstr>
  </property>
  <property fmtid="{D5CDD505-2E9C-101B-9397-08002B2CF9AE}" pid="4" name="MSIP_Label_2d1c7476-f302-47ca-97a0-972f32671471_Method">
    <vt:lpwstr>Standard</vt:lpwstr>
  </property>
  <property fmtid="{D5CDD505-2E9C-101B-9397-08002B2CF9AE}" pid="5" name="MSIP_Label_2d1c7476-f302-47ca-97a0-972f32671471_Name">
    <vt:lpwstr>Internal</vt:lpwstr>
  </property>
  <property fmtid="{D5CDD505-2E9C-101B-9397-08002B2CF9AE}" pid="6" name="MSIP_Label_2d1c7476-f302-47ca-97a0-972f32671471_SiteId">
    <vt:lpwstr>72e15514-5be9-46a8-8b0b-af9b1b77b3b8</vt:lpwstr>
  </property>
  <property fmtid="{D5CDD505-2E9C-101B-9397-08002B2CF9AE}" pid="7" name="MSIP_Label_2d1c7476-f302-47ca-97a0-972f32671471_ActionId">
    <vt:lpwstr>2ba40597-7c33-4c5e-978f-44c52761eb25</vt:lpwstr>
  </property>
  <property fmtid="{D5CDD505-2E9C-101B-9397-08002B2CF9AE}" pid="8" name="MSIP_Label_2d1c7476-f302-47ca-97a0-972f32671471_ContentBits">
    <vt:lpwstr>0</vt:lpwstr>
  </property>
  <property fmtid="{D5CDD505-2E9C-101B-9397-08002B2CF9AE}" pid="9" name="ContentTypeId">
    <vt:lpwstr>0x0101001EE2D3878C914646AFDAF8DB79C9CBFF</vt:lpwstr>
  </property>
  <property fmtid="{D5CDD505-2E9C-101B-9397-08002B2CF9AE}" pid="10" name="MediaServiceImageTags">
    <vt:lpwstr/>
  </property>
</Properties>
</file>